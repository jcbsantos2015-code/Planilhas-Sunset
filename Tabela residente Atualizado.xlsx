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G:\Meu Drive\Arquivos Sunset\Financeiros\Boletos\"/>
    </mc:Choice>
  </mc:AlternateContent>
  <xr:revisionPtr revIDLastSave="0" documentId="13_ncr:1_{44736930-0B70-4C4D-91C6-EF11336FEFE2}" xr6:coauthVersionLast="47" xr6:coauthVersionMax="47" xr10:uidLastSave="{00000000-0000-0000-0000-000000000000}"/>
  <bookViews>
    <workbookView xWindow="28680" yWindow="-120" windowWidth="29040" windowHeight="15720" tabRatio="716" activeTab="4" xr2:uid="{37CF0325-DBA4-44A3-A619-C7BF5B12D632}"/>
  </bookViews>
  <sheets>
    <sheet name="Valor por dia de pagamento" sheetId="4" r:id="rId1"/>
    <sheet name="Lista" sheetId="1" r:id="rId2"/>
    <sheet name="Ex residentes" sheetId="5" r:id="rId3"/>
    <sheet name="Total de cães por mês" sheetId="10" r:id="rId4"/>
    <sheet name="BASE_NF" sheetId="12" r:id="rId5"/>
  </sheets>
  <definedNames>
    <definedName name="_xlnm._FilterDatabase" localSheetId="2" hidden="1">'Ex residentes'!$1:$316</definedName>
    <definedName name="_xlnm._FilterDatabase" localSheetId="1" hidden="1">Lista!$A$1:$AC$56</definedName>
  </definedName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2" l="1"/>
  <c r="O4" i="12"/>
  <c r="O5" i="12"/>
  <c r="O6" i="12"/>
  <c r="O2" i="12"/>
  <c r="C3" i="12"/>
  <c r="C4" i="12"/>
  <c r="C5" i="12"/>
  <c r="C6" i="12"/>
  <c r="C2" i="12"/>
  <c r="B3" i="12"/>
  <c r="D3" i="12"/>
  <c r="E3" i="12"/>
  <c r="F3" i="12"/>
  <c r="H3" i="12"/>
  <c r="I3" i="12"/>
  <c r="B4" i="12"/>
  <c r="D4" i="12"/>
  <c r="E4" i="12"/>
  <c r="F4" i="12"/>
  <c r="H4" i="12"/>
  <c r="I4" i="12"/>
  <c r="B5" i="12"/>
  <c r="D5" i="12"/>
  <c r="E5" i="12"/>
  <c r="F5" i="12"/>
  <c r="H5" i="12"/>
  <c r="I5" i="12"/>
  <c r="B6" i="12"/>
  <c r="D6" i="12"/>
  <c r="E6" i="12"/>
  <c r="F6" i="12"/>
  <c r="H6" i="12"/>
  <c r="I6" i="12"/>
  <c r="I2" i="12"/>
  <c r="H2" i="12"/>
  <c r="F2" i="12"/>
  <c r="E2" i="12"/>
  <c r="D2" i="12"/>
  <c r="B2" i="12"/>
  <c r="Z330" i="5"/>
  <c r="AA330" i="5"/>
  <c r="AB330" i="5"/>
  <c r="M330" i="5"/>
  <c r="N330" i="5"/>
  <c r="O330" i="5"/>
  <c r="R330" i="5"/>
  <c r="S330" i="5"/>
  <c r="T330" i="5" s="1"/>
  <c r="U330" i="5" s="1"/>
  <c r="V330" i="5" s="1"/>
  <c r="Z324" i="5"/>
  <c r="AA324" i="5"/>
  <c r="AB324" i="5"/>
  <c r="M324" i="5"/>
  <c r="N324" i="5"/>
  <c r="O324" i="5"/>
  <c r="U324" i="5"/>
  <c r="V324" i="5" s="1"/>
  <c r="Z325" i="5"/>
  <c r="AA325" i="5"/>
  <c r="AB325" i="5"/>
  <c r="M325" i="5"/>
  <c r="N325" i="5"/>
  <c r="O325" i="5"/>
  <c r="S325" i="5"/>
  <c r="T325" i="5" s="1"/>
  <c r="U325" i="5" s="1"/>
  <c r="V325" i="5" s="1"/>
  <c r="Z329" i="5" l="1"/>
  <c r="AA329" i="5"/>
  <c r="AB329" i="5"/>
  <c r="M329" i="5"/>
  <c r="N329" i="5"/>
  <c r="O329" i="5"/>
  <c r="T329" i="5"/>
  <c r="U329" i="5" s="1"/>
  <c r="V329" i="5" s="1"/>
  <c r="Z328" i="5"/>
  <c r="AA328" i="5"/>
  <c r="AB328" i="5"/>
  <c r="U328" i="5"/>
  <c r="V328" i="5" s="1"/>
  <c r="W56" i="1"/>
  <c r="W55" i="1"/>
  <c r="W54" i="1"/>
  <c r="W53" i="1"/>
  <c r="O56" i="1"/>
  <c r="N56" i="1"/>
  <c r="M56" i="1"/>
  <c r="O55" i="1"/>
  <c r="N55" i="1"/>
  <c r="M55" i="1"/>
  <c r="O54" i="1"/>
  <c r="N54" i="1"/>
  <c r="M54" i="1"/>
  <c r="O53" i="1"/>
  <c r="N53" i="1"/>
  <c r="M53" i="1"/>
  <c r="U3" i="1"/>
  <c r="Z327" i="5"/>
  <c r="AA327" i="5"/>
  <c r="AB327" i="5"/>
  <c r="T327" i="5"/>
  <c r="U327" i="5" s="1"/>
  <c r="V327" i="5" s="1"/>
  <c r="O327" i="5"/>
  <c r="N327" i="5"/>
  <c r="M327" i="5"/>
  <c r="Z326" i="5"/>
  <c r="AA326" i="5"/>
  <c r="AB326" i="5"/>
  <c r="M326" i="5"/>
  <c r="N326" i="5"/>
  <c r="O326" i="5"/>
  <c r="U326" i="5"/>
  <c r="V326" i="5" s="1"/>
  <c r="Z323" i="5"/>
  <c r="AA323" i="5"/>
  <c r="AB323" i="5"/>
  <c r="M323" i="5"/>
  <c r="N323" i="5"/>
  <c r="O323" i="5"/>
  <c r="S323" i="5"/>
  <c r="T323" i="5" s="1"/>
  <c r="U323" i="5" s="1"/>
  <c r="V323" i="5" s="1"/>
  <c r="W52" i="1"/>
  <c r="W51" i="1"/>
  <c r="V49" i="1"/>
  <c r="W49" i="1" s="1"/>
  <c r="V50" i="1"/>
  <c r="W50" i="1" s="1"/>
  <c r="W47" i="1"/>
  <c r="V42" i="1"/>
  <c r="W42" i="1" s="1"/>
  <c r="W1" i="1"/>
  <c r="V37" i="1"/>
  <c r="W37" i="1" s="1"/>
  <c r="V38" i="1"/>
  <c r="W38" i="1" s="1"/>
  <c r="V39" i="1"/>
  <c r="W39" i="1" s="1"/>
  <c r="V40" i="1"/>
  <c r="W40" i="1" s="1"/>
  <c r="V41" i="1"/>
  <c r="W41" i="1" s="1"/>
  <c r="V43" i="1"/>
  <c r="W43" i="1" s="1"/>
  <c r="V44" i="1"/>
  <c r="W44" i="1" s="1"/>
  <c r="V45" i="1"/>
  <c r="W45" i="1" s="1"/>
  <c r="V46" i="1"/>
  <c r="W46" i="1" s="1"/>
  <c r="V48" i="1"/>
  <c r="W48" i="1" s="1"/>
  <c r="O48" i="1"/>
  <c r="N48" i="1"/>
  <c r="M48" i="1"/>
  <c r="Z322" i="5"/>
  <c r="AA322" i="5"/>
  <c r="AB322" i="5"/>
  <c r="M322" i="5"/>
  <c r="N322" i="5"/>
  <c r="O322" i="5"/>
  <c r="S322" i="5"/>
  <c r="T322" i="5" s="1"/>
  <c r="U322" i="5" s="1"/>
  <c r="V322" i="5" s="1"/>
  <c r="Z321" i="5"/>
  <c r="AA321" i="5"/>
  <c r="AB321" i="5"/>
  <c r="Z320" i="5"/>
  <c r="AA320" i="5"/>
  <c r="AB320" i="5"/>
  <c r="M320" i="5"/>
  <c r="N320" i="5"/>
  <c r="O320" i="5"/>
  <c r="U320" i="5"/>
  <c r="V320" i="5" s="1"/>
  <c r="Z319" i="5"/>
  <c r="AA319" i="5"/>
  <c r="AB319" i="5"/>
  <c r="M319" i="5"/>
  <c r="N319" i="5"/>
  <c r="O319" i="5"/>
  <c r="V319" i="5"/>
  <c r="Z318" i="5"/>
  <c r="AA318" i="5"/>
  <c r="AB318" i="5"/>
  <c r="M318" i="5"/>
  <c r="N318" i="5"/>
  <c r="O318" i="5"/>
  <c r="T318" i="5"/>
  <c r="U318" i="5" s="1"/>
  <c r="V318" i="5" s="1"/>
  <c r="O46" i="1"/>
  <c r="N46" i="1"/>
  <c r="M46" i="1"/>
  <c r="Z317" i="5"/>
  <c r="AA317" i="5"/>
  <c r="AB317" i="5"/>
  <c r="S317" i="5"/>
  <c r="T317" i="5" s="1"/>
  <c r="U317" i="5" s="1"/>
  <c r="V317" i="5" s="1"/>
  <c r="O317" i="5"/>
  <c r="N317" i="5"/>
  <c r="M317" i="5"/>
  <c r="Z313" i="5"/>
  <c r="AA313" i="5"/>
  <c r="AB313" i="5"/>
  <c r="M313" i="5"/>
  <c r="N313" i="5"/>
  <c r="O313" i="5"/>
  <c r="S313" i="5"/>
  <c r="T313" i="5" s="1"/>
  <c r="U313" i="5" s="1"/>
  <c r="V313" i="5" s="1"/>
  <c r="Z311" i="5"/>
  <c r="AA311" i="5"/>
  <c r="AB311" i="5"/>
  <c r="M311" i="5"/>
  <c r="N311" i="5"/>
  <c r="O311" i="5"/>
  <c r="U311" i="5"/>
  <c r="V311" i="5" s="1"/>
  <c r="O45" i="1"/>
  <c r="N45" i="1"/>
  <c r="M45" i="1"/>
  <c r="Z316" i="5"/>
  <c r="AA316" i="5"/>
  <c r="AB316" i="5"/>
  <c r="V316" i="5"/>
  <c r="Z315" i="5"/>
  <c r="AA315" i="5"/>
  <c r="AB315" i="5"/>
  <c r="T315" i="5"/>
  <c r="U315" i="5" s="1"/>
  <c r="V315" i="5" s="1"/>
  <c r="O315" i="5"/>
  <c r="N315" i="5"/>
  <c r="M315" i="5"/>
  <c r="Z314" i="5"/>
  <c r="AA314" i="5"/>
  <c r="AB314" i="5"/>
  <c r="M314" i="5"/>
  <c r="N314" i="5"/>
  <c r="O314" i="5"/>
  <c r="S314" i="5"/>
  <c r="T314" i="5" s="1"/>
  <c r="U314" i="5" s="1"/>
  <c r="V314" i="5" s="1"/>
  <c r="O43" i="1"/>
  <c r="N43" i="1"/>
  <c r="M43" i="1"/>
  <c r="Z312" i="5"/>
  <c r="AA312" i="5"/>
  <c r="AB312" i="5"/>
  <c r="M312" i="5"/>
  <c r="N312" i="5"/>
  <c r="O312" i="5"/>
  <c r="S312" i="5"/>
  <c r="T312" i="5" s="1"/>
  <c r="U312" i="5" s="1"/>
  <c r="V312" i="5" s="1"/>
  <c r="Z310" i="5"/>
  <c r="AA310" i="5"/>
  <c r="AB310" i="5"/>
  <c r="M310" i="5"/>
  <c r="N310" i="5"/>
  <c r="O310" i="5"/>
  <c r="U310" i="5"/>
  <c r="V310" i="5" s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R35" i="1" s="1"/>
  <c r="S35" i="1" s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Z309" i="5"/>
  <c r="AA309" i="5"/>
  <c r="AB309" i="5"/>
  <c r="M309" i="5"/>
  <c r="N309" i="5"/>
  <c r="O309" i="5"/>
  <c r="V309" i="5"/>
  <c r="Z306" i="5"/>
  <c r="AA306" i="5"/>
  <c r="AB306" i="5"/>
  <c r="M306" i="5"/>
  <c r="N306" i="5"/>
  <c r="O306" i="5"/>
  <c r="U306" i="5"/>
  <c r="V306" i="5" s="1"/>
  <c r="Z308" i="5"/>
  <c r="AA308" i="5"/>
  <c r="AB308" i="5"/>
  <c r="V308" i="5"/>
  <c r="Z307" i="5"/>
  <c r="AA307" i="5"/>
  <c r="AB307" i="5"/>
  <c r="M307" i="5"/>
  <c r="N307" i="5"/>
  <c r="O307" i="5"/>
  <c r="U307" i="5"/>
  <c r="V307" i="5" s="1"/>
  <c r="Z305" i="5"/>
  <c r="AA305" i="5"/>
  <c r="AB305" i="5"/>
  <c r="S305" i="5"/>
  <c r="T305" i="5" s="1"/>
  <c r="U305" i="5" s="1"/>
  <c r="V305" i="5" s="1"/>
  <c r="O305" i="5"/>
  <c r="N305" i="5"/>
  <c r="M305" i="5"/>
  <c r="Z304" i="5"/>
  <c r="AA304" i="5"/>
  <c r="AB304" i="5"/>
  <c r="M304" i="5"/>
  <c r="N304" i="5"/>
  <c r="O304" i="5"/>
  <c r="U304" i="5"/>
  <c r="V304" i="5" s="1"/>
  <c r="Z303" i="5"/>
  <c r="AA303" i="5"/>
  <c r="AB303" i="5"/>
  <c r="M303" i="5"/>
  <c r="N303" i="5"/>
  <c r="O303" i="5"/>
  <c r="U303" i="5"/>
  <c r="V303" i="5" s="1"/>
  <c r="Z302" i="5"/>
  <c r="AA302" i="5"/>
  <c r="AB302" i="5"/>
  <c r="M302" i="5"/>
  <c r="N302" i="5"/>
  <c r="O302" i="5"/>
  <c r="U302" i="5"/>
  <c r="V302" i="5" s="1"/>
  <c r="Z301" i="5"/>
  <c r="AA301" i="5"/>
  <c r="AB301" i="5"/>
  <c r="M301" i="5"/>
  <c r="N301" i="5"/>
  <c r="O301" i="5"/>
  <c r="S301" i="5"/>
  <c r="T301" i="5" s="1"/>
  <c r="U301" i="5" s="1"/>
  <c r="V301" i="5" s="1"/>
  <c r="Z300" i="5"/>
  <c r="AA300" i="5"/>
  <c r="AB300" i="5"/>
  <c r="U300" i="5"/>
  <c r="V300" i="5" s="1"/>
  <c r="O300" i="5"/>
  <c r="N300" i="5"/>
  <c r="M300" i="5"/>
  <c r="Z32" i="1"/>
  <c r="U27" i="1"/>
  <c r="Z299" i="5"/>
  <c r="AA299" i="5"/>
  <c r="AB299" i="5"/>
  <c r="V299" i="5"/>
  <c r="U299" i="5"/>
  <c r="O299" i="5"/>
  <c r="N299" i="5"/>
  <c r="M299" i="5"/>
  <c r="U18" i="1"/>
  <c r="U25" i="1"/>
  <c r="U28" i="1"/>
  <c r="U29" i="1"/>
  <c r="U30" i="1"/>
  <c r="U31" i="1"/>
  <c r="U33" i="1"/>
  <c r="U34" i="1"/>
  <c r="U35" i="1"/>
  <c r="U36" i="1"/>
  <c r="Z298" i="5"/>
  <c r="AA298" i="5"/>
  <c r="AB298" i="5"/>
  <c r="M298" i="5"/>
  <c r="N298" i="5"/>
  <c r="O298" i="5"/>
  <c r="V298" i="5"/>
  <c r="Z297" i="5"/>
  <c r="AA297" i="5"/>
  <c r="AB297" i="5"/>
  <c r="M297" i="5"/>
  <c r="N297" i="5"/>
  <c r="O297" i="5"/>
  <c r="S297" i="5"/>
  <c r="T297" i="5" s="1"/>
  <c r="U297" i="5" s="1"/>
  <c r="V297" i="5" s="1"/>
  <c r="Z296" i="5"/>
  <c r="AA296" i="5"/>
  <c r="AB296" i="5"/>
  <c r="M296" i="5"/>
  <c r="N296" i="5"/>
  <c r="O296" i="5"/>
  <c r="R296" i="5"/>
  <c r="S296" i="5" s="1"/>
  <c r="T296" i="5" s="1"/>
  <c r="U296" i="5" s="1"/>
  <c r="V296" i="5" s="1"/>
  <c r="Z295" i="5"/>
  <c r="AA295" i="5"/>
  <c r="AB295" i="5"/>
  <c r="M295" i="5"/>
  <c r="N295" i="5"/>
  <c r="O295" i="5"/>
  <c r="T295" i="5"/>
  <c r="U295" i="5" s="1"/>
  <c r="V295" i="5" s="1"/>
  <c r="Z294" i="5"/>
  <c r="AA294" i="5"/>
  <c r="AB294" i="5"/>
  <c r="V294" i="5"/>
  <c r="S294" i="5"/>
  <c r="T294" i="5" s="1"/>
  <c r="O294" i="5"/>
  <c r="N294" i="5"/>
  <c r="M294" i="5"/>
  <c r="Z293" i="5"/>
  <c r="AA293" i="5"/>
  <c r="AB293" i="5"/>
  <c r="M293" i="5"/>
  <c r="N293" i="5"/>
  <c r="O293" i="5"/>
  <c r="R293" i="5"/>
  <c r="S293" i="5" s="1"/>
  <c r="T293" i="5" s="1"/>
  <c r="U293" i="5" s="1"/>
  <c r="V293" i="5" s="1"/>
  <c r="Z292" i="5"/>
  <c r="AA292" i="5"/>
  <c r="AB292" i="5"/>
  <c r="V292" i="5"/>
  <c r="O292" i="5"/>
  <c r="N292" i="5"/>
  <c r="M292" i="5"/>
  <c r="T32" i="1"/>
  <c r="U32" i="1" s="1"/>
  <c r="Z291" i="5"/>
  <c r="AA291" i="5"/>
  <c r="AB291" i="5"/>
  <c r="Z290" i="5"/>
  <c r="AA290" i="5"/>
  <c r="AB290" i="5"/>
  <c r="M290" i="5"/>
  <c r="N290" i="5"/>
  <c r="O290" i="5"/>
  <c r="V290" i="5"/>
  <c r="M20" i="1"/>
  <c r="Z289" i="5"/>
  <c r="AA289" i="5"/>
  <c r="AB289" i="5"/>
  <c r="M289" i="5"/>
  <c r="N289" i="5"/>
  <c r="O289" i="5"/>
  <c r="R289" i="5"/>
  <c r="S289" i="5" s="1"/>
  <c r="U289" i="5"/>
  <c r="V289" i="5" s="1"/>
  <c r="Z281" i="5"/>
  <c r="AA281" i="5"/>
  <c r="AB281" i="5"/>
  <c r="M281" i="5"/>
  <c r="N281" i="5"/>
  <c r="O281" i="5"/>
  <c r="U281" i="5"/>
  <c r="V281" i="5" s="1"/>
  <c r="AB280" i="5"/>
  <c r="AA280" i="5"/>
  <c r="Z280" i="5"/>
  <c r="U280" i="5"/>
  <c r="V280" i="5" s="1"/>
  <c r="S280" i="5"/>
  <c r="P280" i="5"/>
  <c r="Q280" i="5" s="1"/>
  <c r="O280" i="5"/>
  <c r="N280" i="5"/>
  <c r="M280" i="5"/>
  <c r="Z288" i="5"/>
  <c r="AA288" i="5"/>
  <c r="AB288" i="5"/>
  <c r="Z287" i="5"/>
  <c r="AA287" i="5"/>
  <c r="AB287" i="5"/>
  <c r="Z286" i="5"/>
  <c r="AA286" i="5"/>
  <c r="AB286" i="5"/>
  <c r="M288" i="5"/>
  <c r="N288" i="5"/>
  <c r="O288" i="5"/>
  <c r="V288" i="5"/>
  <c r="M287" i="5"/>
  <c r="N287" i="5"/>
  <c r="O287" i="5"/>
  <c r="U287" i="5"/>
  <c r="V287" i="5" s="1"/>
  <c r="M286" i="5"/>
  <c r="N286" i="5"/>
  <c r="O286" i="5"/>
  <c r="T286" i="5"/>
  <c r="U286" i="5" s="1"/>
  <c r="V286" i="5" s="1"/>
  <c r="Z285" i="5"/>
  <c r="AA285" i="5"/>
  <c r="AB285" i="5"/>
  <c r="M285" i="5"/>
  <c r="N285" i="5"/>
  <c r="O285" i="5"/>
  <c r="T285" i="5"/>
  <c r="U285" i="5" s="1"/>
  <c r="V285" i="5" s="1"/>
  <c r="Z284" i="5"/>
  <c r="AA284" i="5"/>
  <c r="AB284" i="5"/>
  <c r="M284" i="5"/>
  <c r="N284" i="5"/>
  <c r="O284" i="5"/>
  <c r="T284" i="5"/>
  <c r="U284" i="5" s="1"/>
  <c r="V284" i="5" s="1"/>
  <c r="Z283" i="5"/>
  <c r="AA283" i="5"/>
  <c r="AB283" i="5"/>
  <c r="M283" i="5"/>
  <c r="N283" i="5"/>
  <c r="O283" i="5"/>
  <c r="U283" i="5"/>
  <c r="V283" i="5" s="1"/>
  <c r="Z282" i="5"/>
  <c r="AA282" i="5"/>
  <c r="AB282" i="5"/>
  <c r="M282" i="5"/>
  <c r="N282" i="5"/>
  <c r="O282" i="5"/>
  <c r="T282" i="5"/>
  <c r="U282" i="5" s="1"/>
  <c r="V282" i="5" s="1"/>
  <c r="Z279" i="5"/>
  <c r="AA279" i="5"/>
  <c r="AB279" i="5"/>
  <c r="M279" i="5"/>
  <c r="N279" i="5"/>
  <c r="O279" i="5"/>
  <c r="U279" i="5"/>
  <c r="V279" i="5" s="1"/>
  <c r="Z278" i="5"/>
  <c r="AA278" i="5"/>
  <c r="AB278" i="5"/>
  <c r="M278" i="5"/>
  <c r="N278" i="5"/>
  <c r="O278" i="5"/>
  <c r="R278" i="5"/>
  <c r="S278" i="5" s="1"/>
  <c r="T278" i="5" s="1"/>
  <c r="U278" i="5" s="1"/>
  <c r="V278" i="5" s="1"/>
  <c r="Z276" i="5"/>
  <c r="AA276" i="5"/>
  <c r="AB276" i="5"/>
  <c r="Z277" i="5"/>
  <c r="AA277" i="5"/>
  <c r="AB277" i="5"/>
  <c r="Z275" i="5"/>
  <c r="AA275" i="5"/>
  <c r="AB275" i="5"/>
  <c r="M277" i="5"/>
  <c r="N277" i="5"/>
  <c r="O277" i="5"/>
  <c r="S277" i="5"/>
  <c r="T277" i="5" s="1"/>
  <c r="U277" i="5" s="1"/>
  <c r="V277" i="5" s="1"/>
  <c r="M276" i="5"/>
  <c r="N276" i="5"/>
  <c r="O276" i="5"/>
  <c r="U276" i="5"/>
  <c r="V276" i="5" s="1"/>
  <c r="M275" i="5"/>
  <c r="N275" i="5"/>
  <c r="O275" i="5"/>
  <c r="U275" i="5"/>
  <c r="V275" i="5" s="1"/>
  <c r="Z274" i="5"/>
  <c r="AA274" i="5"/>
  <c r="AB274" i="5"/>
  <c r="M274" i="5"/>
  <c r="N274" i="5"/>
  <c r="O274" i="5"/>
  <c r="Q274" i="5"/>
  <c r="R274" i="5" s="1"/>
  <c r="S274" i="5" s="1"/>
  <c r="T274" i="5" s="1"/>
  <c r="U274" i="5" s="1"/>
  <c r="V274" i="5" s="1"/>
  <c r="Z273" i="5"/>
  <c r="AA273" i="5"/>
  <c r="AB273" i="5"/>
  <c r="M273" i="5"/>
  <c r="N273" i="5"/>
  <c r="O273" i="5"/>
  <c r="Q273" i="5"/>
  <c r="R273" i="5" s="1"/>
  <c r="S273" i="5" s="1"/>
  <c r="T273" i="5" s="1"/>
  <c r="U273" i="5" s="1"/>
  <c r="V273" i="5" s="1"/>
  <c r="Z272" i="5"/>
  <c r="AA272" i="5"/>
  <c r="AB272" i="5"/>
  <c r="Z271" i="5"/>
  <c r="AA271" i="5"/>
  <c r="AB271" i="5"/>
  <c r="M271" i="5"/>
  <c r="N271" i="5"/>
  <c r="O271" i="5"/>
  <c r="U271" i="5"/>
  <c r="V271" i="5" s="1"/>
  <c r="Z270" i="5"/>
  <c r="AA270" i="5"/>
  <c r="AB270" i="5"/>
  <c r="M270" i="5"/>
  <c r="N270" i="5"/>
  <c r="O270" i="5"/>
  <c r="S270" i="5"/>
  <c r="T270" i="5" s="1"/>
  <c r="U270" i="5" s="1"/>
  <c r="V270" i="5" s="1"/>
  <c r="Z269" i="5"/>
  <c r="AA269" i="5"/>
  <c r="AB269" i="5"/>
  <c r="M269" i="5"/>
  <c r="N269" i="5"/>
  <c r="O269" i="5"/>
  <c r="R269" i="5"/>
  <c r="S269" i="5" s="1"/>
  <c r="T269" i="5" s="1"/>
  <c r="U269" i="5" s="1"/>
  <c r="V269" i="5" s="1"/>
  <c r="T26" i="1"/>
  <c r="U26" i="1" s="1"/>
  <c r="T16" i="1"/>
  <c r="U16" i="1" s="1"/>
  <c r="T5" i="1"/>
  <c r="U5" i="1" s="1"/>
  <c r="M2" i="5"/>
  <c r="N2" i="5"/>
  <c r="O2" i="5"/>
  <c r="R2" i="5"/>
  <c r="Z2" i="5"/>
  <c r="AA2" i="5"/>
  <c r="AB2" i="5"/>
  <c r="M3" i="5"/>
  <c r="N3" i="5"/>
  <c r="O3" i="5"/>
  <c r="R3" i="5"/>
  <c r="Z3" i="5"/>
  <c r="AA3" i="5"/>
  <c r="AB3" i="5"/>
  <c r="M4" i="5"/>
  <c r="N4" i="5"/>
  <c r="O4" i="5"/>
  <c r="R4" i="5"/>
  <c r="Z4" i="5"/>
  <c r="AA4" i="5"/>
  <c r="AB4" i="5"/>
  <c r="Q5" i="5"/>
  <c r="R5" i="5" s="1"/>
  <c r="Z5" i="5"/>
  <c r="AA5" i="5"/>
  <c r="AB5" i="5"/>
  <c r="M6" i="5"/>
  <c r="N6" i="5"/>
  <c r="O6" i="5"/>
  <c r="Q6" i="5"/>
  <c r="Z6" i="5"/>
  <c r="AA6" i="5"/>
  <c r="AB6" i="5"/>
  <c r="M7" i="5"/>
  <c r="N7" i="5"/>
  <c r="O7" i="5"/>
  <c r="Q7" i="5"/>
  <c r="R7" i="5" s="1"/>
  <c r="Z7" i="5"/>
  <c r="AA7" i="5"/>
  <c r="AB7" i="5"/>
  <c r="R8" i="5"/>
  <c r="Z8" i="5"/>
  <c r="AA8" i="5"/>
  <c r="AB8" i="5"/>
  <c r="M9" i="5"/>
  <c r="N9" i="5"/>
  <c r="O9" i="5"/>
  <c r="R9" i="5"/>
  <c r="Z9" i="5"/>
  <c r="AA9" i="5"/>
  <c r="AB9" i="5"/>
  <c r="M10" i="5"/>
  <c r="N10" i="5"/>
  <c r="O10" i="5"/>
  <c r="R10" i="5"/>
  <c r="Z10" i="5"/>
  <c r="AA10" i="5"/>
  <c r="AB10" i="5"/>
  <c r="Q11" i="5"/>
  <c r="R11" i="5" s="1"/>
  <c r="Z11" i="5"/>
  <c r="AA11" i="5"/>
  <c r="AB11" i="5"/>
  <c r="Q12" i="5"/>
  <c r="R12" i="5" s="1"/>
  <c r="Z12" i="5"/>
  <c r="AA12" i="5"/>
  <c r="AB12" i="5"/>
  <c r="Q13" i="5"/>
  <c r="R13" i="5" s="1"/>
  <c r="Z13" i="5"/>
  <c r="AA13" i="5"/>
  <c r="AB13" i="5"/>
  <c r="Q14" i="5"/>
  <c r="R14" i="5" s="1"/>
  <c r="Z14" i="5"/>
  <c r="AA14" i="5"/>
  <c r="AB14" i="5"/>
  <c r="M15" i="5"/>
  <c r="N15" i="5"/>
  <c r="O15" i="5"/>
  <c r="Q15" i="5"/>
  <c r="R15" i="5" s="1"/>
  <c r="Z15" i="5"/>
  <c r="AA15" i="5"/>
  <c r="AB15" i="5"/>
  <c r="Q16" i="5"/>
  <c r="R16" i="5" s="1"/>
  <c r="Z16" i="5"/>
  <c r="AA16" i="5"/>
  <c r="AB16" i="5"/>
  <c r="Q17" i="5"/>
  <c r="R17" i="5" s="1"/>
  <c r="Z17" i="5"/>
  <c r="AA17" i="5"/>
  <c r="AB17" i="5"/>
  <c r="M18" i="5"/>
  <c r="N18" i="5"/>
  <c r="O18" i="5"/>
  <c r="R18" i="5"/>
  <c r="Z18" i="5"/>
  <c r="AA18" i="5"/>
  <c r="AB18" i="5"/>
  <c r="Z19" i="5"/>
  <c r="AA19" i="5"/>
  <c r="AB19" i="5"/>
  <c r="M20" i="5"/>
  <c r="N20" i="5"/>
  <c r="O20" i="5"/>
  <c r="Q20" i="5"/>
  <c r="R20" i="5" s="1"/>
  <c r="Z20" i="5"/>
  <c r="AA20" i="5"/>
  <c r="AB20" i="5"/>
  <c r="M21" i="5"/>
  <c r="N21" i="5"/>
  <c r="O21" i="5"/>
  <c r="Q21" i="5"/>
  <c r="R21" i="5" s="1"/>
  <c r="Z21" i="5"/>
  <c r="AA21" i="5"/>
  <c r="AB21" i="5"/>
  <c r="M22" i="5"/>
  <c r="N22" i="5"/>
  <c r="O22" i="5"/>
  <c r="Q22" i="5"/>
  <c r="R22" i="5" s="1"/>
  <c r="Z22" i="5"/>
  <c r="AA22" i="5"/>
  <c r="AB22" i="5"/>
  <c r="M23" i="5"/>
  <c r="N23" i="5"/>
  <c r="O23" i="5"/>
  <c r="Q23" i="5"/>
  <c r="R23" i="5" s="1"/>
  <c r="Z23" i="5"/>
  <c r="AA23" i="5"/>
  <c r="AB23" i="5"/>
  <c r="M24" i="5"/>
  <c r="N24" i="5"/>
  <c r="O24" i="5"/>
  <c r="R24" i="5"/>
  <c r="Z24" i="5"/>
  <c r="AA24" i="5"/>
  <c r="AB24" i="5"/>
  <c r="M25" i="5"/>
  <c r="N25" i="5"/>
  <c r="O25" i="5"/>
  <c r="R25" i="5"/>
  <c r="Z25" i="5"/>
  <c r="AA25" i="5"/>
  <c r="AB25" i="5"/>
  <c r="R26" i="5"/>
  <c r="Z26" i="5"/>
  <c r="AA26" i="5"/>
  <c r="AB26" i="5"/>
  <c r="Z27" i="5"/>
  <c r="AA27" i="5"/>
  <c r="AB27" i="5"/>
  <c r="M28" i="5"/>
  <c r="N28" i="5"/>
  <c r="O28" i="5"/>
  <c r="R28" i="5"/>
  <c r="Z28" i="5"/>
  <c r="AA28" i="5"/>
  <c r="AB28" i="5"/>
  <c r="M29" i="5"/>
  <c r="N29" i="5"/>
  <c r="O29" i="5"/>
  <c r="R29" i="5"/>
  <c r="Z29" i="5"/>
  <c r="AA29" i="5"/>
  <c r="AB29" i="5"/>
  <c r="M30" i="5"/>
  <c r="N30" i="5"/>
  <c r="O30" i="5"/>
  <c r="R30" i="5"/>
  <c r="Z30" i="5"/>
  <c r="AA30" i="5"/>
  <c r="AB30" i="5"/>
  <c r="M31" i="5"/>
  <c r="N31" i="5"/>
  <c r="O31" i="5"/>
  <c r="R31" i="5"/>
  <c r="Z31" i="5"/>
  <c r="AA31" i="5"/>
  <c r="AB31" i="5"/>
  <c r="M32" i="5"/>
  <c r="N32" i="5"/>
  <c r="O32" i="5"/>
  <c r="R32" i="5"/>
  <c r="Z32" i="5"/>
  <c r="AA32" i="5"/>
  <c r="AB32" i="5"/>
  <c r="M33" i="5"/>
  <c r="N33" i="5"/>
  <c r="O33" i="5"/>
  <c r="R33" i="5"/>
  <c r="Z33" i="5"/>
  <c r="AA33" i="5"/>
  <c r="AB33" i="5"/>
  <c r="M34" i="5"/>
  <c r="N34" i="5"/>
  <c r="O34" i="5"/>
  <c r="R34" i="5"/>
  <c r="Z34" i="5"/>
  <c r="AA34" i="5"/>
  <c r="AB34" i="5"/>
  <c r="M35" i="5"/>
  <c r="N35" i="5"/>
  <c r="O35" i="5"/>
  <c r="R35" i="5"/>
  <c r="Z35" i="5"/>
  <c r="AA35" i="5"/>
  <c r="AB35" i="5"/>
  <c r="M36" i="5"/>
  <c r="N36" i="5"/>
  <c r="O36" i="5"/>
  <c r="R36" i="5"/>
  <c r="Z36" i="5"/>
  <c r="AA36" i="5"/>
  <c r="AB36" i="5"/>
  <c r="M37" i="5"/>
  <c r="N37" i="5"/>
  <c r="O37" i="5"/>
  <c r="Q37" i="5"/>
  <c r="R37" i="5" s="1"/>
  <c r="Z37" i="5"/>
  <c r="AA37" i="5"/>
  <c r="AB37" i="5"/>
  <c r="M38" i="5"/>
  <c r="N38" i="5"/>
  <c r="O38" i="5"/>
  <c r="Q38" i="5"/>
  <c r="R38" i="5" s="1"/>
  <c r="Z38" i="5"/>
  <c r="AA38" i="5"/>
  <c r="AB38" i="5"/>
  <c r="M39" i="5"/>
  <c r="N39" i="5"/>
  <c r="O39" i="5"/>
  <c r="Z39" i="5"/>
  <c r="AA39" i="5"/>
  <c r="AB39" i="5"/>
  <c r="M40" i="5"/>
  <c r="N40" i="5"/>
  <c r="O40" i="5"/>
  <c r="R40" i="5"/>
  <c r="Z40" i="5"/>
  <c r="AA40" i="5"/>
  <c r="AB40" i="5"/>
  <c r="M41" i="5"/>
  <c r="N41" i="5"/>
  <c r="O41" i="5"/>
  <c r="Z41" i="5"/>
  <c r="AA41" i="5"/>
  <c r="AB41" i="5"/>
  <c r="M42" i="5"/>
  <c r="N42" i="5"/>
  <c r="O42" i="5"/>
  <c r="R42" i="5"/>
  <c r="Z42" i="5"/>
  <c r="AA42" i="5"/>
  <c r="AB42" i="5"/>
  <c r="M43" i="5"/>
  <c r="N43" i="5"/>
  <c r="O43" i="5"/>
  <c r="R43" i="5"/>
  <c r="Z43" i="5"/>
  <c r="AA43" i="5"/>
  <c r="AB43" i="5"/>
  <c r="M44" i="5"/>
  <c r="N44" i="5"/>
  <c r="O44" i="5"/>
  <c r="R44" i="5"/>
  <c r="Z44" i="5"/>
  <c r="AA44" i="5"/>
  <c r="AB44" i="5"/>
  <c r="M45" i="5"/>
  <c r="N45" i="5"/>
  <c r="O45" i="5"/>
  <c r="R45" i="5"/>
  <c r="Z45" i="5"/>
  <c r="AA45" i="5"/>
  <c r="AB45" i="5"/>
  <c r="M46" i="5"/>
  <c r="N46" i="5"/>
  <c r="O46" i="5"/>
  <c r="Q46" i="5"/>
  <c r="R46" i="5" s="1"/>
  <c r="Z46" i="5"/>
  <c r="AA46" i="5"/>
  <c r="AB46" i="5"/>
  <c r="M47" i="5"/>
  <c r="N47" i="5"/>
  <c r="O47" i="5"/>
  <c r="Q47" i="5"/>
  <c r="R47" i="5" s="1"/>
  <c r="Z47" i="5"/>
  <c r="AA47" i="5"/>
  <c r="AB47" i="5"/>
  <c r="M48" i="5"/>
  <c r="N48" i="5"/>
  <c r="O48" i="5"/>
  <c r="Q48" i="5"/>
  <c r="R48" i="5" s="1"/>
  <c r="Z48" i="5"/>
  <c r="AA48" i="5"/>
  <c r="AB48" i="5"/>
  <c r="M49" i="5"/>
  <c r="N49" i="5"/>
  <c r="O49" i="5"/>
  <c r="R49" i="5"/>
  <c r="Z49" i="5"/>
  <c r="AA49" i="5"/>
  <c r="AB49" i="5"/>
  <c r="M50" i="5"/>
  <c r="N50" i="5"/>
  <c r="O50" i="5"/>
  <c r="R50" i="5"/>
  <c r="Z50" i="5"/>
  <c r="AA50" i="5"/>
  <c r="AB50" i="5"/>
  <c r="M51" i="5"/>
  <c r="N51" i="5"/>
  <c r="O51" i="5"/>
  <c r="R51" i="5"/>
  <c r="Z51" i="5"/>
  <c r="AA51" i="5"/>
  <c r="AB51" i="5"/>
  <c r="M52" i="5"/>
  <c r="N52" i="5"/>
  <c r="O52" i="5"/>
  <c r="Q52" i="5"/>
  <c r="R52" i="5" s="1"/>
  <c r="Z52" i="5"/>
  <c r="AA52" i="5"/>
  <c r="AB52" i="5"/>
  <c r="M53" i="5"/>
  <c r="N53" i="5"/>
  <c r="O53" i="5"/>
  <c r="R53" i="5"/>
  <c r="Z53" i="5"/>
  <c r="AA53" i="5"/>
  <c r="AB53" i="5"/>
  <c r="M54" i="5"/>
  <c r="N54" i="5"/>
  <c r="O54" i="5"/>
  <c r="Z54" i="5"/>
  <c r="AA54" i="5"/>
  <c r="AB54" i="5"/>
  <c r="M55" i="5"/>
  <c r="N55" i="5"/>
  <c r="O55" i="5"/>
  <c r="R55" i="5"/>
  <c r="Z55" i="5"/>
  <c r="AA55" i="5"/>
  <c r="AB55" i="5"/>
  <c r="M56" i="5"/>
  <c r="N56" i="5"/>
  <c r="O56" i="5"/>
  <c r="R56" i="5"/>
  <c r="Z56" i="5"/>
  <c r="AA56" i="5"/>
  <c r="AB56" i="5"/>
  <c r="M57" i="5"/>
  <c r="N57" i="5"/>
  <c r="O57" i="5"/>
  <c r="R57" i="5"/>
  <c r="Z57" i="5"/>
  <c r="AA57" i="5"/>
  <c r="AB57" i="5"/>
  <c r="M58" i="5"/>
  <c r="N58" i="5"/>
  <c r="O58" i="5"/>
  <c r="R58" i="5"/>
  <c r="Z58" i="5"/>
  <c r="AA58" i="5"/>
  <c r="AB58" i="5"/>
  <c r="M59" i="5"/>
  <c r="N59" i="5"/>
  <c r="O59" i="5"/>
  <c r="R59" i="5"/>
  <c r="Z59" i="5"/>
  <c r="AA59" i="5"/>
  <c r="AB59" i="5"/>
  <c r="M60" i="5"/>
  <c r="N60" i="5"/>
  <c r="O60" i="5"/>
  <c r="R60" i="5"/>
  <c r="Z60" i="5"/>
  <c r="AA60" i="5"/>
  <c r="AB60" i="5"/>
  <c r="M61" i="5"/>
  <c r="N61" i="5"/>
  <c r="O61" i="5"/>
  <c r="R61" i="5"/>
  <c r="Z61" i="5"/>
  <c r="AA61" i="5"/>
  <c r="AB61" i="5"/>
  <c r="M62" i="5"/>
  <c r="N62" i="5"/>
  <c r="O62" i="5"/>
  <c r="R62" i="5"/>
  <c r="Z62" i="5"/>
  <c r="AA62" i="5"/>
  <c r="AB62" i="5"/>
  <c r="M63" i="5"/>
  <c r="N63" i="5"/>
  <c r="O63" i="5"/>
  <c r="R63" i="5"/>
  <c r="Z63" i="5"/>
  <c r="AA63" i="5"/>
  <c r="AB63" i="5"/>
  <c r="M64" i="5"/>
  <c r="N64" i="5"/>
  <c r="O64" i="5"/>
  <c r="R64" i="5"/>
  <c r="Z64" i="5"/>
  <c r="AA64" i="5"/>
  <c r="AB64" i="5"/>
  <c r="M65" i="5"/>
  <c r="N65" i="5"/>
  <c r="O65" i="5"/>
  <c r="R65" i="5"/>
  <c r="Z65" i="5"/>
  <c r="AA65" i="5"/>
  <c r="AB65" i="5"/>
  <c r="M66" i="5"/>
  <c r="N66" i="5"/>
  <c r="O66" i="5"/>
  <c r="R66" i="5"/>
  <c r="Z66" i="5"/>
  <c r="AA66" i="5"/>
  <c r="AB66" i="5"/>
  <c r="M67" i="5"/>
  <c r="N67" i="5"/>
  <c r="O67" i="5"/>
  <c r="R67" i="5"/>
  <c r="Z67" i="5"/>
  <c r="AA67" i="5"/>
  <c r="AB67" i="5"/>
  <c r="M68" i="5"/>
  <c r="N68" i="5"/>
  <c r="O68" i="5"/>
  <c r="R68" i="5"/>
  <c r="Z68" i="5"/>
  <c r="AA68" i="5"/>
  <c r="AB68" i="5"/>
  <c r="M69" i="5"/>
  <c r="N69" i="5"/>
  <c r="O69" i="5"/>
  <c r="R69" i="5"/>
  <c r="Z69" i="5"/>
  <c r="AA69" i="5"/>
  <c r="AB69" i="5"/>
  <c r="M70" i="5"/>
  <c r="N70" i="5"/>
  <c r="O70" i="5"/>
  <c r="R70" i="5"/>
  <c r="Z70" i="5"/>
  <c r="AA70" i="5"/>
  <c r="AB70" i="5"/>
  <c r="M71" i="5"/>
  <c r="N71" i="5"/>
  <c r="O71" i="5"/>
  <c r="R71" i="5"/>
  <c r="Z71" i="5"/>
  <c r="AA71" i="5"/>
  <c r="AB71" i="5"/>
  <c r="M72" i="5"/>
  <c r="N72" i="5"/>
  <c r="O72" i="5"/>
  <c r="R72" i="5"/>
  <c r="Z72" i="5"/>
  <c r="AA72" i="5"/>
  <c r="AB72" i="5"/>
  <c r="M73" i="5"/>
  <c r="N73" i="5"/>
  <c r="O73" i="5"/>
  <c r="R73" i="5"/>
  <c r="Z73" i="5"/>
  <c r="AA73" i="5"/>
  <c r="AB73" i="5"/>
  <c r="M74" i="5"/>
  <c r="N74" i="5"/>
  <c r="O74" i="5"/>
  <c r="R74" i="5"/>
  <c r="Z74" i="5"/>
  <c r="AA74" i="5"/>
  <c r="AB74" i="5"/>
  <c r="M75" i="5"/>
  <c r="N75" i="5"/>
  <c r="O75" i="5"/>
  <c r="R75" i="5"/>
  <c r="Z75" i="5"/>
  <c r="AA75" i="5"/>
  <c r="AB75" i="5"/>
  <c r="M76" i="5"/>
  <c r="N76" i="5"/>
  <c r="O76" i="5"/>
  <c r="R76" i="5"/>
  <c r="Z76" i="5"/>
  <c r="AA76" i="5"/>
  <c r="AB76" i="5"/>
  <c r="M77" i="5"/>
  <c r="N77" i="5"/>
  <c r="O77" i="5"/>
  <c r="R77" i="5"/>
  <c r="Z77" i="5"/>
  <c r="AA77" i="5"/>
  <c r="AB77" i="5"/>
  <c r="M78" i="5"/>
  <c r="N78" i="5"/>
  <c r="O78" i="5"/>
  <c r="R78" i="5"/>
  <c r="Z78" i="5"/>
  <c r="AA78" i="5"/>
  <c r="AB78" i="5"/>
  <c r="M79" i="5"/>
  <c r="N79" i="5"/>
  <c r="O79" i="5"/>
  <c r="R79" i="5"/>
  <c r="Z79" i="5"/>
  <c r="AA79" i="5"/>
  <c r="AB79" i="5"/>
  <c r="M80" i="5"/>
  <c r="N80" i="5"/>
  <c r="O80" i="5"/>
  <c r="R80" i="5"/>
  <c r="Z80" i="5"/>
  <c r="AA80" i="5"/>
  <c r="AB80" i="5"/>
  <c r="M81" i="5"/>
  <c r="N81" i="5"/>
  <c r="O81" i="5"/>
  <c r="R81" i="5"/>
  <c r="Z81" i="5"/>
  <c r="AA81" i="5"/>
  <c r="AB81" i="5"/>
  <c r="M82" i="5"/>
  <c r="N82" i="5"/>
  <c r="O82" i="5"/>
  <c r="R82" i="5"/>
  <c r="Z82" i="5"/>
  <c r="AA82" i="5"/>
  <c r="AB82" i="5"/>
  <c r="M83" i="5"/>
  <c r="N83" i="5"/>
  <c r="O83" i="5"/>
  <c r="Z83" i="5"/>
  <c r="AA83" i="5"/>
  <c r="AB83" i="5"/>
  <c r="M84" i="5"/>
  <c r="N84" i="5"/>
  <c r="O84" i="5"/>
  <c r="R84" i="5"/>
  <c r="Z84" i="5"/>
  <c r="AA84" i="5"/>
  <c r="AB84" i="5"/>
  <c r="M85" i="5"/>
  <c r="N85" i="5"/>
  <c r="O85" i="5"/>
  <c r="R85" i="5"/>
  <c r="Z85" i="5"/>
  <c r="AA85" i="5"/>
  <c r="AB85" i="5"/>
  <c r="M86" i="5"/>
  <c r="N86" i="5"/>
  <c r="O86" i="5"/>
  <c r="R86" i="5"/>
  <c r="Z86" i="5"/>
  <c r="AA86" i="5"/>
  <c r="AB86" i="5"/>
  <c r="M87" i="5"/>
  <c r="N87" i="5"/>
  <c r="O87" i="5"/>
  <c r="R87" i="5"/>
  <c r="Z87" i="5"/>
  <c r="AA87" i="5"/>
  <c r="AB87" i="5"/>
  <c r="M88" i="5"/>
  <c r="N88" i="5"/>
  <c r="O88" i="5"/>
  <c r="R88" i="5"/>
  <c r="Z88" i="5"/>
  <c r="AA88" i="5"/>
  <c r="AB88" i="5"/>
  <c r="M89" i="5"/>
  <c r="N89" i="5"/>
  <c r="O89" i="5"/>
  <c r="R89" i="5"/>
  <c r="Z89" i="5"/>
  <c r="AA89" i="5"/>
  <c r="AB89" i="5"/>
  <c r="M90" i="5"/>
  <c r="N90" i="5"/>
  <c r="O90" i="5"/>
  <c r="R90" i="5"/>
  <c r="Z90" i="5"/>
  <c r="AA90" i="5"/>
  <c r="AB90" i="5"/>
  <c r="M91" i="5"/>
  <c r="N91" i="5"/>
  <c r="O91" i="5"/>
  <c r="R91" i="5"/>
  <c r="Z91" i="5"/>
  <c r="AA91" i="5"/>
  <c r="AB91" i="5"/>
  <c r="M92" i="5"/>
  <c r="N92" i="5"/>
  <c r="O92" i="5"/>
  <c r="R92" i="5"/>
  <c r="Z92" i="5"/>
  <c r="AA92" i="5"/>
  <c r="AB92" i="5"/>
  <c r="M93" i="5"/>
  <c r="N93" i="5"/>
  <c r="O93" i="5"/>
  <c r="R93" i="5"/>
  <c r="Z93" i="5"/>
  <c r="AA93" i="5"/>
  <c r="AB93" i="5"/>
  <c r="M94" i="5"/>
  <c r="N94" i="5"/>
  <c r="O94" i="5"/>
  <c r="R94" i="5"/>
  <c r="Z94" i="5"/>
  <c r="AA94" i="5"/>
  <c r="AB94" i="5"/>
  <c r="M95" i="5"/>
  <c r="N95" i="5"/>
  <c r="O95" i="5"/>
  <c r="R95" i="5"/>
  <c r="Z95" i="5"/>
  <c r="AA95" i="5"/>
  <c r="AB95" i="5"/>
  <c r="M96" i="5"/>
  <c r="N96" i="5"/>
  <c r="O96" i="5"/>
  <c r="R96" i="5"/>
  <c r="Z96" i="5"/>
  <c r="AA96" i="5"/>
  <c r="AB96" i="5"/>
  <c r="M97" i="5"/>
  <c r="N97" i="5"/>
  <c r="O97" i="5"/>
  <c r="R97" i="5"/>
  <c r="Z97" i="5"/>
  <c r="AA97" i="5"/>
  <c r="AB97" i="5"/>
  <c r="M98" i="5"/>
  <c r="N98" i="5"/>
  <c r="O98" i="5"/>
  <c r="R98" i="5"/>
  <c r="Z98" i="5"/>
  <c r="AA98" i="5"/>
  <c r="AB98" i="5"/>
  <c r="M99" i="5"/>
  <c r="N99" i="5"/>
  <c r="O99" i="5"/>
  <c r="R99" i="5"/>
  <c r="Z99" i="5"/>
  <c r="AA99" i="5"/>
  <c r="AB99" i="5"/>
  <c r="M100" i="5"/>
  <c r="N100" i="5"/>
  <c r="O100" i="5"/>
  <c r="Z100" i="5"/>
  <c r="AA100" i="5"/>
  <c r="AB100" i="5"/>
  <c r="M101" i="5"/>
  <c r="N101" i="5"/>
  <c r="O101" i="5"/>
  <c r="Z101" i="5"/>
  <c r="AA101" i="5"/>
  <c r="AB101" i="5"/>
  <c r="M102" i="5"/>
  <c r="N102" i="5"/>
  <c r="O102" i="5"/>
  <c r="R102" i="5"/>
  <c r="Z102" i="5"/>
  <c r="AA102" i="5"/>
  <c r="AB102" i="5"/>
  <c r="M103" i="5"/>
  <c r="N103" i="5"/>
  <c r="O103" i="5"/>
  <c r="R103" i="5"/>
  <c r="Z103" i="5"/>
  <c r="AA103" i="5"/>
  <c r="AB103" i="5"/>
  <c r="M104" i="5"/>
  <c r="N104" i="5"/>
  <c r="O104" i="5"/>
  <c r="R104" i="5"/>
  <c r="Z104" i="5"/>
  <c r="AA104" i="5"/>
  <c r="AB104" i="5"/>
  <c r="M105" i="5"/>
  <c r="N105" i="5"/>
  <c r="O105" i="5"/>
  <c r="R105" i="5"/>
  <c r="Z105" i="5"/>
  <c r="AA105" i="5"/>
  <c r="AB105" i="5"/>
  <c r="M106" i="5"/>
  <c r="N106" i="5"/>
  <c r="O106" i="5"/>
  <c r="R106" i="5"/>
  <c r="Z106" i="5"/>
  <c r="AA106" i="5"/>
  <c r="AB106" i="5"/>
  <c r="M107" i="5"/>
  <c r="N107" i="5"/>
  <c r="O107" i="5"/>
  <c r="R107" i="5"/>
  <c r="Z107" i="5"/>
  <c r="AA107" i="5"/>
  <c r="AB107" i="5"/>
  <c r="M108" i="5"/>
  <c r="N108" i="5"/>
  <c r="O108" i="5"/>
  <c r="R108" i="5"/>
  <c r="Z108" i="5"/>
  <c r="AA108" i="5"/>
  <c r="AB108" i="5"/>
  <c r="M109" i="5"/>
  <c r="N109" i="5"/>
  <c r="O109" i="5"/>
  <c r="R109" i="5"/>
  <c r="Z109" i="5"/>
  <c r="AA109" i="5"/>
  <c r="AB109" i="5"/>
  <c r="M110" i="5"/>
  <c r="N110" i="5"/>
  <c r="O110" i="5"/>
  <c r="R110" i="5"/>
  <c r="Z110" i="5"/>
  <c r="AA110" i="5"/>
  <c r="AB110" i="5"/>
  <c r="M111" i="5"/>
  <c r="N111" i="5"/>
  <c r="O111" i="5"/>
  <c r="R111" i="5"/>
  <c r="Z111" i="5"/>
  <c r="AA111" i="5"/>
  <c r="AB111" i="5"/>
  <c r="M112" i="5"/>
  <c r="N112" i="5"/>
  <c r="O112" i="5"/>
  <c r="Q112" i="5"/>
  <c r="R112" i="5" s="1"/>
  <c r="Z112" i="5"/>
  <c r="AA112" i="5"/>
  <c r="AB112" i="5"/>
  <c r="M113" i="5"/>
  <c r="N113" i="5"/>
  <c r="O113" i="5"/>
  <c r="R113" i="5"/>
  <c r="Z113" i="5"/>
  <c r="AA113" i="5"/>
  <c r="AB113" i="5"/>
  <c r="M114" i="5"/>
  <c r="N114" i="5"/>
  <c r="O114" i="5"/>
  <c r="R114" i="5"/>
  <c r="Z114" i="5"/>
  <c r="AA114" i="5"/>
  <c r="AB114" i="5"/>
  <c r="M115" i="5"/>
  <c r="N115" i="5"/>
  <c r="O115" i="5"/>
  <c r="R115" i="5"/>
  <c r="Z115" i="5"/>
  <c r="AA115" i="5"/>
  <c r="AB115" i="5"/>
  <c r="M116" i="5"/>
  <c r="N116" i="5"/>
  <c r="O116" i="5"/>
  <c r="R116" i="5"/>
  <c r="Z116" i="5"/>
  <c r="AA116" i="5"/>
  <c r="AB116" i="5"/>
  <c r="M117" i="5"/>
  <c r="N117" i="5"/>
  <c r="O117" i="5"/>
  <c r="R117" i="5"/>
  <c r="Z117" i="5"/>
  <c r="AA117" i="5"/>
  <c r="AB117" i="5"/>
  <c r="M118" i="5"/>
  <c r="N118" i="5"/>
  <c r="O118" i="5"/>
  <c r="Z118" i="5"/>
  <c r="AA118" i="5"/>
  <c r="AB118" i="5"/>
  <c r="M119" i="5"/>
  <c r="N119" i="5"/>
  <c r="O119" i="5"/>
  <c r="Z119" i="5"/>
  <c r="AA119" i="5"/>
  <c r="AB119" i="5"/>
  <c r="M120" i="5"/>
  <c r="N120" i="5"/>
  <c r="O120" i="5"/>
  <c r="R120" i="5"/>
  <c r="Z120" i="5"/>
  <c r="AA120" i="5"/>
  <c r="AB120" i="5"/>
  <c r="M121" i="5"/>
  <c r="N121" i="5"/>
  <c r="O121" i="5"/>
  <c r="R121" i="5"/>
  <c r="Z121" i="5"/>
  <c r="AA121" i="5"/>
  <c r="AB121" i="5"/>
  <c r="M122" i="5"/>
  <c r="N122" i="5"/>
  <c r="O122" i="5"/>
  <c r="R122" i="5"/>
  <c r="Z122" i="5"/>
  <c r="AA122" i="5"/>
  <c r="AB122" i="5"/>
  <c r="M123" i="5"/>
  <c r="N123" i="5"/>
  <c r="O123" i="5"/>
  <c r="Z123" i="5"/>
  <c r="AA123" i="5"/>
  <c r="AB123" i="5"/>
  <c r="M124" i="5"/>
  <c r="N124" i="5"/>
  <c r="O124" i="5"/>
  <c r="R124" i="5"/>
  <c r="Z124" i="5"/>
  <c r="AA124" i="5"/>
  <c r="AB124" i="5"/>
  <c r="M125" i="5"/>
  <c r="N125" i="5"/>
  <c r="O125" i="5"/>
  <c r="Z125" i="5"/>
  <c r="AA125" i="5"/>
  <c r="AB125" i="5"/>
  <c r="M126" i="5"/>
  <c r="N126" i="5"/>
  <c r="O126" i="5"/>
  <c r="Q126" i="5"/>
  <c r="R126" i="5"/>
  <c r="Z126" i="5"/>
  <c r="AA126" i="5"/>
  <c r="AB126" i="5"/>
  <c r="M127" i="5"/>
  <c r="N127" i="5"/>
  <c r="O127" i="5"/>
  <c r="Q127" i="5"/>
  <c r="R127" i="5"/>
  <c r="Z127" i="5"/>
  <c r="AA127" i="5"/>
  <c r="AB127" i="5"/>
  <c r="M128" i="5"/>
  <c r="N128" i="5"/>
  <c r="O128" i="5"/>
  <c r="Q128" i="5"/>
  <c r="R128" i="5" s="1"/>
  <c r="Z128" i="5"/>
  <c r="AA128" i="5"/>
  <c r="AB128" i="5"/>
  <c r="M129" i="5"/>
  <c r="N129" i="5"/>
  <c r="O129" i="5"/>
  <c r="Q129" i="5"/>
  <c r="R129" i="5"/>
  <c r="Z129" i="5"/>
  <c r="AA129" i="5"/>
  <c r="AB129" i="5"/>
  <c r="M130" i="5"/>
  <c r="N130" i="5"/>
  <c r="O130" i="5"/>
  <c r="Q130" i="5"/>
  <c r="R130" i="5" s="1"/>
  <c r="Z130" i="5"/>
  <c r="AA130" i="5"/>
  <c r="AB130" i="5"/>
  <c r="M131" i="5"/>
  <c r="N131" i="5"/>
  <c r="O131" i="5"/>
  <c r="Q131" i="5"/>
  <c r="Z131" i="5"/>
  <c r="AA131" i="5"/>
  <c r="AB131" i="5"/>
  <c r="M132" i="5"/>
  <c r="N132" i="5"/>
  <c r="O132" i="5"/>
  <c r="Q132" i="5"/>
  <c r="R132" i="5" s="1"/>
  <c r="Z132" i="5"/>
  <c r="AA132" i="5"/>
  <c r="AB132" i="5"/>
  <c r="M133" i="5"/>
  <c r="N133" i="5"/>
  <c r="O133" i="5"/>
  <c r="Z133" i="5"/>
  <c r="AA133" i="5"/>
  <c r="AB133" i="5"/>
  <c r="M134" i="5"/>
  <c r="N134" i="5"/>
  <c r="O134" i="5"/>
  <c r="Q134" i="5"/>
  <c r="R134" i="5" s="1"/>
  <c r="Z134" i="5"/>
  <c r="AA134" i="5"/>
  <c r="AB134" i="5"/>
  <c r="M135" i="5"/>
  <c r="N135" i="5"/>
  <c r="O135" i="5"/>
  <c r="Q135" i="5"/>
  <c r="R135" i="5" s="1"/>
  <c r="Z135" i="5"/>
  <c r="AA135" i="5"/>
  <c r="AB135" i="5"/>
  <c r="M136" i="5"/>
  <c r="N136" i="5"/>
  <c r="O136" i="5"/>
  <c r="Q136" i="5"/>
  <c r="R136" i="5" s="1"/>
  <c r="Z136" i="5"/>
  <c r="AA136" i="5"/>
  <c r="AB136" i="5"/>
  <c r="M137" i="5"/>
  <c r="N137" i="5"/>
  <c r="O137" i="5"/>
  <c r="R137" i="5"/>
  <c r="Z137" i="5"/>
  <c r="AA137" i="5"/>
  <c r="AB137" i="5"/>
  <c r="M138" i="5"/>
  <c r="N138" i="5"/>
  <c r="O138" i="5"/>
  <c r="R138" i="5"/>
  <c r="Z138" i="5"/>
  <c r="AA138" i="5"/>
  <c r="AB138" i="5"/>
  <c r="M139" i="5"/>
  <c r="N139" i="5"/>
  <c r="O139" i="5"/>
  <c r="R139" i="5"/>
  <c r="Z139" i="5"/>
  <c r="AA139" i="5"/>
  <c r="AB139" i="5"/>
  <c r="M140" i="5"/>
  <c r="N140" i="5"/>
  <c r="O140" i="5"/>
  <c r="R140" i="5"/>
  <c r="Z140" i="5"/>
  <c r="AA140" i="5"/>
  <c r="AB140" i="5"/>
  <c r="M141" i="5"/>
  <c r="N141" i="5"/>
  <c r="O141" i="5"/>
  <c r="Q141" i="5"/>
  <c r="R141" i="5" s="1"/>
  <c r="Z141" i="5"/>
  <c r="AA141" i="5"/>
  <c r="AB141" i="5"/>
  <c r="M142" i="5"/>
  <c r="N142" i="5"/>
  <c r="O142" i="5"/>
  <c r="Q142" i="5"/>
  <c r="T142" i="5" s="1"/>
  <c r="Z142" i="5"/>
  <c r="AA142" i="5"/>
  <c r="AB142" i="5"/>
  <c r="M143" i="5"/>
  <c r="N143" i="5"/>
  <c r="O143" i="5"/>
  <c r="R143" i="5"/>
  <c r="Z143" i="5"/>
  <c r="AA143" i="5"/>
  <c r="AB143" i="5"/>
  <c r="M144" i="5"/>
  <c r="N144" i="5"/>
  <c r="O144" i="5"/>
  <c r="Z144" i="5"/>
  <c r="AA144" i="5"/>
  <c r="AB144" i="5"/>
  <c r="M145" i="5"/>
  <c r="N145" i="5"/>
  <c r="O145" i="5"/>
  <c r="P145" i="5"/>
  <c r="R145" i="5"/>
  <c r="Z145" i="5"/>
  <c r="AA145" i="5"/>
  <c r="AB145" i="5"/>
  <c r="M146" i="5"/>
  <c r="N146" i="5"/>
  <c r="O146" i="5"/>
  <c r="Q146" i="5"/>
  <c r="R146" i="5" s="1"/>
  <c r="Z146" i="5"/>
  <c r="AA146" i="5"/>
  <c r="AB146" i="5"/>
  <c r="M147" i="5"/>
  <c r="N147" i="5"/>
  <c r="O147" i="5"/>
  <c r="R147" i="5"/>
  <c r="Z147" i="5"/>
  <c r="AA147" i="5"/>
  <c r="AB147" i="5"/>
  <c r="M148" i="5"/>
  <c r="N148" i="5"/>
  <c r="O148" i="5"/>
  <c r="R148" i="5"/>
  <c r="Z148" i="5"/>
  <c r="AA148" i="5"/>
  <c r="AB148" i="5"/>
  <c r="M149" i="5"/>
  <c r="N149" i="5"/>
  <c r="O149" i="5"/>
  <c r="R149" i="5"/>
  <c r="Z149" i="5"/>
  <c r="AA149" i="5"/>
  <c r="AB149" i="5"/>
  <c r="M150" i="5"/>
  <c r="N150" i="5"/>
  <c r="O150" i="5"/>
  <c r="Q150" i="5"/>
  <c r="R150" i="5" s="1"/>
  <c r="Z150" i="5"/>
  <c r="AA150" i="5"/>
  <c r="AB150" i="5"/>
  <c r="M151" i="5"/>
  <c r="N151" i="5"/>
  <c r="O151" i="5"/>
  <c r="R151" i="5"/>
  <c r="Z151" i="5"/>
  <c r="AA151" i="5"/>
  <c r="AB151" i="5"/>
  <c r="M152" i="5"/>
  <c r="N152" i="5"/>
  <c r="O152" i="5"/>
  <c r="Q152" i="5"/>
  <c r="R152" i="5" s="1"/>
  <c r="Z152" i="5"/>
  <c r="AA152" i="5"/>
  <c r="AB152" i="5"/>
  <c r="M153" i="5"/>
  <c r="N153" i="5"/>
  <c r="O153" i="5"/>
  <c r="R153" i="5"/>
  <c r="Z153" i="5"/>
  <c r="AA153" i="5"/>
  <c r="AB153" i="5"/>
  <c r="M154" i="5"/>
  <c r="N154" i="5"/>
  <c r="O154" i="5"/>
  <c r="Q154" i="5"/>
  <c r="R154" i="5" s="1"/>
  <c r="Z154" i="5"/>
  <c r="AA154" i="5"/>
  <c r="AB154" i="5"/>
  <c r="M155" i="5"/>
  <c r="N155" i="5"/>
  <c r="O155" i="5"/>
  <c r="R155" i="5"/>
  <c r="Z155" i="5"/>
  <c r="AA155" i="5"/>
  <c r="AB155" i="5"/>
  <c r="M156" i="5"/>
  <c r="N156" i="5"/>
  <c r="O156" i="5"/>
  <c r="R156" i="5"/>
  <c r="Z156" i="5"/>
  <c r="AA156" i="5"/>
  <c r="AB156" i="5"/>
  <c r="M157" i="5"/>
  <c r="N157" i="5"/>
  <c r="O157" i="5"/>
  <c r="R157" i="5"/>
  <c r="Z157" i="5"/>
  <c r="AA157" i="5"/>
  <c r="AB157" i="5"/>
  <c r="M158" i="5"/>
  <c r="N158" i="5"/>
  <c r="O158" i="5"/>
  <c r="R158" i="5"/>
  <c r="Z158" i="5"/>
  <c r="AA158" i="5"/>
  <c r="AB158" i="5"/>
  <c r="M159" i="5"/>
  <c r="N159" i="5"/>
  <c r="O159" i="5"/>
  <c r="R159" i="5"/>
  <c r="Z159" i="5"/>
  <c r="AA159" i="5"/>
  <c r="AB159" i="5"/>
  <c r="M160" i="5"/>
  <c r="N160" i="5"/>
  <c r="O160" i="5"/>
  <c r="Z160" i="5"/>
  <c r="AA160" i="5"/>
  <c r="AB160" i="5"/>
  <c r="M161" i="5"/>
  <c r="N161" i="5"/>
  <c r="O161" i="5"/>
  <c r="R161" i="5"/>
  <c r="Z161" i="5"/>
  <c r="AA161" i="5"/>
  <c r="AB161" i="5"/>
  <c r="M162" i="5"/>
  <c r="N162" i="5"/>
  <c r="O162" i="5"/>
  <c r="R162" i="5"/>
  <c r="Z162" i="5"/>
  <c r="AA162" i="5"/>
  <c r="AB162" i="5"/>
  <c r="M163" i="5"/>
  <c r="N163" i="5"/>
  <c r="O163" i="5"/>
  <c r="R163" i="5"/>
  <c r="Z163" i="5"/>
  <c r="AA163" i="5"/>
  <c r="AB163" i="5"/>
  <c r="M164" i="5"/>
  <c r="N164" i="5"/>
  <c r="O164" i="5"/>
  <c r="R164" i="5"/>
  <c r="Z164" i="5"/>
  <c r="AA164" i="5"/>
  <c r="AB164" i="5"/>
  <c r="M165" i="5"/>
  <c r="N165" i="5"/>
  <c r="O165" i="5"/>
  <c r="Z165" i="5"/>
  <c r="AA165" i="5"/>
  <c r="AB165" i="5"/>
  <c r="M166" i="5"/>
  <c r="N166" i="5"/>
  <c r="O166" i="5"/>
  <c r="R166" i="5"/>
  <c r="Z166" i="5"/>
  <c r="AA166" i="5"/>
  <c r="AB166" i="5"/>
  <c r="M167" i="5"/>
  <c r="N167" i="5"/>
  <c r="O167" i="5"/>
  <c r="R167" i="5"/>
  <c r="Z167" i="5"/>
  <c r="AA167" i="5"/>
  <c r="AB167" i="5"/>
  <c r="M168" i="5"/>
  <c r="N168" i="5"/>
  <c r="O168" i="5"/>
  <c r="R168" i="5"/>
  <c r="Z168" i="5"/>
  <c r="AA168" i="5"/>
  <c r="AB168" i="5"/>
  <c r="M169" i="5"/>
  <c r="N169" i="5"/>
  <c r="O169" i="5"/>
  <c r="Z169" i="5"/>
  <c r="AA169" i="5"/>
  <c r="AB169" i="5"/>
  <c r="Z170" i="5"/>
  <c r="AA170" i="5"/>
  <c r="AB170" i="5"/>
  <c r="M171" i="5"/>
  <c r="N171" i="5"/>
  <c r="O171" i="5"/>
  <c r="Q171" i="5"/>
  <c r="R171" i="5" s="1"/>
  <c r="Z171" i="5"/>
  <c r="AA171" i="5"/>
  <c r="AB171" i="5"/>
  <c r="M172" i="5"/>
  <c r="N172" i="5"/>
  <c r="O172" i="5"/>
  <c r="Q172" i="5"/>
  <c r="R172" i="5" s="1"/>
  <c r="Z172" i="5"/>
  <c r="AA172" i="5"/>
  <c r="AB172" i="5"/>
  <c r="M173" i="5"/>
  <c r="N173" i="5"/>
  <c r="O173" i="5"/>
  <c r="Q173" i="5"/>
  <c r="R173" i="5" s="1"/>
  <c r="Z173" i="5"/>
  <c r="AA173" i="5"/>
  <c r="AB173" i="5"/>
  <c r="M174" i="5"/>
  <c r="N174" i="5"/>
  <c r="O174" i="5"/>
  <c r="R174" i="5"/>
  <c r="Z174" i="5"/>
  <c r="AA174" i="5"/>
  <c r="AB174" i="5"/>
  <c r="R175" i="5"/>
  <c r="Z175" i="5"/>
  <c r="AA175" i="5"/>
  <c r="AB175" i="5"/>
  <c r="R176" i="5"/>
  <c r="Z176" i="5"/>
  <c r="AA176" i="5"/>
  <c r="AB176" i="5"/>
  <c r="R177" i="5"/>
  <c r="Z177" i="5"/>
  <c r="AA177" i="5"/>
  <c r="AB177" i="5"/>
  <c r="M178" i="5"/>
  <c r="N178" i="5"/>
  <c r="O178" i="5"/>
  <c r="R178" i="5"/>
  <c r="Z178" i="5"/>
  <c r="AA178" i="5"/>
  <c r="AB178" i="5"/>
  <c r="M179" i="5"/>
  <c r="N179" i="5"/>
  <c r="O179" i="5"/>
  <c r="Z179" i="5"/>
  <c r="AA179" i="5"/>
  <c r="AB179" i="5"/>
  <c r="M180" i="5"/>
  <c r="N180" i="5"/>
  <c r="O180" i="5"/>
  <c r="Q180" i="5"/>
  <c r="R180" i="5" s="1"/>
  <c r="Z180" i="5"/>
  <c r="AA180" i="5"/>
  <c r="AB180" i="5"/>
  <c r="M181" i="5"/>
  <c r="N181" i="5"/>
  <c r="O181" i="5"/>
  <c r="Q181" i="5"/>
  <c r="R181" i="5" s="1"/>
  <c r="Z181" i="5"/>
  <c r="AA181" i="5"/>
  <c r="AB181" i="5"/>
  <c r="M182" i="5"/>
  <c r="N182" i="5"/>
  <c r="O182" i="5"/>
  <c r="Q182" i="5"/>
  <c r="R182" i="5" s="1"/>
  <c r="Z182" i="5"/>
  <c r="AA182" i="5"/>
  <c r="AB182" i="5"/>
  <c r="M183" i="5"/>
  <c r="N183" i="5"/>
  <c r="O183" i="5"/>
  <c r="Q183" i="5"/>
  <c r="R183" i="5" s="1"/>
  <c r="Z183" i="5"/>
  <c r="AA183" i="5"/>
  <c r="AB183" i="5"/>
  <c r="T184" i="5"/>
  <c r="Z184" i="5"/>
  <c r="AA184" i="5"/>
  <c r="AB184" i="5"/>
  <c r="M185" i="5"/>
  <c r="N185" i="5"/>
  <c r="O185" i="5"/>
  <c r="T185" i="5"/>
  <c r="Z185" i="5"/>
  <c r="AA185" i="5"/>
  <c r="AB185" i="5"/>
  <c r="M186" i="5"/>
  <c r="N186" i="5"/>
  <c r="O186" i="5"/>
  <c r="R186" i="5"/>
  <c r="T186" i="5" s="1"/>
  <c r="Z186" i="5"/>
  <c r="AA186" i="5"/>
  <c r="AB186" i="5"/>
  <c r="M187" i="5"/>
  <c r="N187" i="5"/>
  <c r="O187" i="5"/>
  <c r="T187" i="5"/>
  <c r="Z187" i="5"/>
  <c r="AA187" i="5"/>
  <c r="AB187" i="5"/>
  <c r="M188" i="5"/>
  <c r="N188" i="5"/>
  <c r="O188" i="5"/>
  <c r="Q188" i="5"/>
  <c r="R188" i="5" s="1"/>
  <c r="T188" i="5" s="1"/>
  <c r="Z188" i="5"/>
  <c r="AA188" i="5"/>
  <c r="AB188" i="5"/>
  <c r="M189" i="5"/>
  <c r="N189" i="5"/>
  <c r="O189" i="5"/>
  <c r="R189" i="5"/>
  <c r="T189" i="5" s="1"/>
  <c r="Z189" i="5"/>
  <c r="AA189" i="5"/>
  <c r="AB189" i="5"/>
  <c r="M190" i="5"/>
  <c r="N190" i="5"/>
  <c r="O190" i="5"/>
  <c r="T190" i="5"/>
  <c r="Z190" i="5"/>
  <c r="AA190" i="5"/>
  <c r="AB190" i="5"/>
  <c r="M191" i="5"/>
  <c r="N191" i="5"/>
  <c r="O191" i="5"/>
  <c r="Q191" i="5"/>
  <c r="R191" i="5" s="1"/>
  <c r="T191" i="5" s="1"/>
  <c r="Z191" i="5"/>
  <c r="AA191" i="5"/>
  <c r="AB191" i="5"/>
  <c r="M192" i="5"/>
  <c r="N192" i="5"/>
  <c r="O192" i="5"/>
  <c r="Q192" i="5"/>
  <c r="R192" i="5" s="1"/>
  <c r="T192" i="5" s="1"/>
  <c r="Z192" i="5"/>
  <c r="AA192" i="5"/>
  <c r="AB192" i="5"/>
  <c r="M193" i="5"/>
  <c r="N193" i="5"/>
  <c r="O193" i="5"/>
  <c r="R193" i="5"/>
  <c r="T193" i="5" s="1"/>
  <c r="Z193" i="5"/>
  <c r="AA193" i="5"/>
  <c r="AB193" i="5"/>
  <c r="M194" i="5"/>
  <c r="N194" i="5"/>
  <c r="O194" i="5"/>
  <c r="R194" i="5"/>
  <c r="T194" i="5" s="1"/>
  <c r="Z194" i="5"/>
  <c r="AA194" i="5"/>
  <c r="AB194" i="5"/>
  <c r="M195" i="5"/>
  <c r="N195" i="5"/>
  <c r="O195" i="5"/>
  <c r="R195" i="5"/>
  <c r="T195" i="5" s="1"/>
  <c r="Z195" i="5"/>
  <c r="AA195" i="5"/>
  <c r="AB195" i="5"/>
  <c r="M196" i="5"/>
  <c r="N196" i="5"/>
  <c r="O196" i="5"/>
  <c r="Q196" i="5"/>
  <c r="R196" i="5" s="1"/>
  <c r="T196" i="5" s="1"/>
  <c r="Z196" i="5"/>
  <c r="AA196" i="5"/>
  <c r="AB196" i="5"/>
  <c r="M197" i="5"/>
  <c r="N197" i="5"/>
  <c r="O197" i="5"/>
  <c r="R197" i="5"/>
  <c r="T197" i="5" s="1"/>
  <c r="Z197" i="5"/>
  <c r="AA197" i="5"/>
  <c r="AB197" i="5"/>
  <c r="M198" i="5"/>
  <c r="N198" i="5"/>
  <c r="O198" i="5"/>
  <c r="R198" i="5"/>
  <c r="T198" i="5" s="1"/>
  <c r="Z198" i="5"/>
  <c r="AA198" i="5"/>
  <c r="AB198" i="5"/>
  <c r="M199" i="5"/>
  <c r="N199" i="5"/>
  <c r="O199" i="5"/>
  <c r="R199" i="5"/>
  <c r="T199" i="5" s="1"/>
  <c r="Z199" i="5"/>
  <c r="AA199" i="5"/>
  <c r="AB199" i="5"/>
  <c r="M200" i="5"/>
  <c r="N200" i="5"/>
  <c r="O200" i="5"/>
  <c r="T200" i="5"/>
  <c r="Z200" i="5"/>
  <c r="AA200" i="5"/>
  <c r="AB200" i="5"/>
  <c r="M201" i="5"/>
  <c r="N201" i="5"/>
  <c r="O201" i="5"/>
  <c r="T201" i="5"/>
  <c r="Z201" i="5"/>
  <c r="AA201" i="5"/>
  <c r="AB201" i="5"/>
  <c r="M202" i="5"/>
  <c r="N202" i="5"/>
  <c r="O202" i="5"/>
  <c r="Q202" i="5"/>
  <c r="R202" i="5" s="1"/>
  <c r="T202" i="5" s="1"/>
  <c r="Z202" i="5"/>
  <c r="AA202" i="5"/>
  <c r="AB202" i="5"/>
  <c r="M203" i="5"/>
  <c r="N203" i="5"/>
  <c r="O203" i="5"/>
  <c r="T203" i="5"/>
  <c r="Z203" i="5"/>
  <c r="AA203" i="5"/>
  <c r="AB203" i="5"/>
  <c r="M204" i="5"/>
  <c r="N204" i="5"/>
  <c r="O204" i="5"/>
  <c r="T204" i="5"/>
  <c r="Z204" i="5"/>
  <c r="AA204" i="5"/>
  <c r="AB204" i="5"/>
  <c r="M205" i="5"/>
  <c r="N205" i="5"/>
  <c r="O205" i="5"/>
  <c r="R205" i="5"/>
  <c r="T205" i="5" s="1"/>
  <c r="Z205" i="5"/>
  <c r="AA205" i="5"/>
  <c r="AB205" i="5"/>
  <c r="M206" i="5"/>
  <c r="N206" i="5"/>
  <c r="O206" i="5"/>
  <c r="P206" i="5"/>
  <c r="R206" i="5"/>
  <c r="T206" i="5" s="1"/>
  <c r="Z206" i="5"/>
  <c r="AA206" i="5"/>
  <c r="AB206" i="5"/>
  <c r="M207" i="5"/>
  <c r="N207" i="5"/>
  <c r="O207" i="5"/>
  <c r="Z207" i="5"/>
  <c r="AA207" i="5"/>
  <c r="AB207" i="5"/>
  <c r="M208" i="5"/>
  <c r="N208" i="5"/>
  <c r="O208" i="5"/>
  <c r="T208" i="5"/>
  <c r="Z208" i="5"/>
  <c r="AA208" i="5"/>
  <c r="AB208" i="5"/>
  <c r="M209" i="5"/>
  <c r="N209" i="5"/>
  <c r="O209" i="5"/>
  <c r="T209" i="5"/>
  <c r="Z209" i="5"/>
  <c r="AA209" i="5"/>
  <c r="AB209" i="5"/>
  <c r="M210" i="5"/>
  <c r="N210" i="5"/>
  <c r="O210" i="5"/>
  <c r="T210" i="5"/>
  <c r="Z210" i="5"/>
  <c r="AA210" i="5"/>
  <c r="AB210" i="5"/>
  <c r="M211" i="5"/>
  <c r="N211" i="5"/>
  <c r="O211" i="5"/>
  <c r="R211" i="5"/>
  <c r="S211" i="5" s="1"/>
  <c r="T211" i="5" s="1"/>
  <c r="Z211" i="5"/>
  <c r="AA211" i="5"/>
  <c r="AB211" i="5"/>
  <c r="M212" i="5"/>
  <c r="N212" i="5"/>
  <c r="O212" i="5"/>
  <c r="S212" i="5"/>
  <c r="T212" i="5" s="1"/>
  <c r="Z212" i="5"/>
  <c r="AA212" i="5"/>
  <c r="AB212" i="5"/>
  <c r="M213" i="5"/>
  <c r="N213" i="5"/>
  <c r="O213" i="5"/>
  <c r="S213" i="5"/>
  <c r="T213" i="5" s="1"/>
  <c r="Z213" i="5"/>
  <c r="AA213" i="5"/>
  <c r="AB213" i="5"/>
  <c r="M214" i="5"/>
  <c r="N214" i="5"/>
  <c r="O214" i="5"/>
  <c r="Q214" i="5"/>
  <c r="R214" i="5" s="1"/>
  <c r="S214" i="5" s="1"/>
  <c r="T214" i="5" s="1"/>
  <c r="Z214" i="5"/>
  <c r="AA214" i="5"/>
  <c r="AB214" i="5"/>
  <c r="M215" i="5"/>
  <c r="N215" i="5"/>
  <c r="O215" i="5"/>
  <c r="R215" i="5"/>
  <c r="S215" i="5" s="1"/>
  <c r="T215" i="5" s="1"/>
  <c r="Z215" i="5"/>
  <c r="AA215" i="5"/>
  <c r="AB215" i="5"/>
  <c r="M216" i="5"/>
  <c r="N216" i="5"/>
  <c r="O216" i="5"/>
  <c r="T216" i="5"/>
  <c r="Z216" i="5"/>
  <c r="AA216" i="5"/>
  <c r="AB216" i="5"/>
  <c r="M217" i="5"/>
  <c r="N217" i="5"/>
  <c r="O217" i="5"/>
  <c r="R217" i="5"/>
  <c r="S217" i="5" s="1"/>
  <c r="T217" i="5" s="1"/>
  <c r="Z217" i="5"/>
  <c r="AA217" i="5"/>
  <c r="AB217" i="5"/>
  <c r="M218" i="5"/>
  <c r="N218" i="5"/>
  <c r="O218" i="5"/>
  <c r="S218" i="5"/>
  <c r="T218" i="5" s="1"/>
  <c r="Z218" i="5"/>
  <c r="AA218" i="5"/>
  <c r="AB218" i="5"/>
  <c r="M219" i="5"/>
  <c r="N219" i="5"/>
  <c r="O219" i="5"/>
  <c r="S219" i="5"/>
  <c r="T219" i="5" s="1"/>
  <c r="Z219" i="5"/>
  <c r="AA219" i="5"/>
  <c r="AB219" i="5"/>
  <c r="M220" i="5"/>
  <c r="N220" i="5"/>
  <c r="O220" i="5"/>
  <c r="S220" i="5"/>
  <c r="T220" i="5" s="1"/>
  <c r="Z220" i="5"/>
  <c r="AA220" i="5"/>
  <c r="AB220" i="5"/>
  <c r="M221" i="5"/>
  <c r="N221" i="5"/>
  <c r="O221" i="5"/>
  <c r="T221" i="5"/>
  <c r="Z221" i="5"/>
  <c r="AA221" i="5"/>
  <c r="AB221" i="5"/>
  <c r="M222" i="5"/>
  <c r="N222" i="5"/>
  <c r="O222" i="5"/>
  <c r="T222" i="5"/>
  <c r="Z222" i="5"/>
  <c r="AA222" i="5"/>
  <c r="AB222" i="5"/>
  <c r="M223" i="5"/>
  <c r="N223" i="5"/>
  <c r="O223" i="5"/>
  <c r="T223" i="5"/>
  <c r="Z223" i="5"/>
  <c r="AA223" i="5"/>
  <c r="AB223" i="5"/>
  <c r="M224" i="5"/>
  <c r="N224" i="5"/>
  <c r="O224" i="5"/>
  <c r="S224" i="5"/>
  <c r="T224" i="5" s="1"/>
  <c r="Z224" i="5"/>
  <c r="AA224" i="5"/>
  <c r="AB224" i="5"/>
  <c r="M225" i="5"/>
  <c r="N225" i="5"/>
  <c r="O225" i="5"/>
  <c r="T225" i="5"/>
  <c r="Z225" i="5"/>
  <c r="AA225" i="5"/>
  <c r="AB225" i="5"/>
  <c r="M226" i="5"/>
  <c r="N226" i="5"/>
  <c r="O226" i="5"/>
  <c r="T226" i="5"/>
  <c r="Z226" i="5"/>
  <c r="AA226" i="5"/>
  <c r="AB226" i="5"/>
  <c r="M227" i="5"/>
  <c r="N227" i="5"/>
  <c r="O227" i="5"/>
  <c r="T227" i="5"/>
  <c r="Z227" i="5"/>
  <c r="AA227" i="5"/>
  <c r="AB227" i="5"/>
  <c r="M228" i="5"/>
  <c r="N228" i="5"/>
  <c r="O228" i="5"/>
  <c r="T228" i="5"/>
  <c r="Z228" i="5"/>
  <c r="AA228" i="5"/>
  <c r="AB228" i="5"/>
  <c r="M229" i="5"/>
  <c r="N229" i="5"/>
  <c r="O229" i="5"/>
  <c r="T229" i="5"/>
  <c r="Z229" i="5"/>
  <c r="AA229" i="5"/>
  <c r="AB229" i="5"/>
  <c r="M230" i="5"/>
  <c r="N230" i="5"/>
  <c r="O230" i="5"/>
  <c r="R230" i="5"/>
  <c r="S230" i="5" s="1"/>
  <c r="T230" i="5" s="1"/>
  <c r="Z230" i="5"/>
  <c r="AA230" i="5"/>
  <c r="AB230" i="5"/>
  <c r="M231" i="5"/>
  <c r="N231" i="5"/>
  <c r="O231" i="5"/>
  <c r="T231" i="5"/>
  <c r="Z231" i="5"/>
  <c r="AA231" i="5"/>
  <c r="AB231" i="5"/>
  <c r="M232" i="5"/>
  <c r="N232" i="5"/>
  <c r="O232" i="5"/>
  <c r="R232" i="5"/>
  <c r="S232" i="5" s="1"/>
  <c r="T232" i="5" s="1"/>
  <c r="Z232" i="5"/>
  <c r="AA232" i="5"/>
  <c r="AB232" i="5"/>
  <c r="M233" i="5"/>
  <c r="N233" i="5"/>
  <c r="O233" i="5"/>
  <c r="T233" i="5"/>
  <c r="Z233" i="5"/>
  <c r="AA233" i="5"/>
  <c r="AB233" i="5"/>
  <c r="M234" i="5"/>
  <c r="N234" i="5"/>
  <c r="O234" i="5"/>
  <c r="T234" i="5"/>
  <c r="Z234" i="5"/>
  <c r="AA234" i="5"/>
  <c r="AB234" i="5"/>
  <c r="M235" i="5"/>
  <c r="N235" i="5"/>
  <c r="O235" i="5"/>
  <c r="T235" i="5"/>
  <c r="Z235" i="5"/>
  <c r="AA235" i="5"/>
  <c r="AB235" i="5"/>
  <c r="M236" i="5"/>
  <c r="N236" i="5"/>
  <c r="O236" i="5"/>
  <c r="T236" i="5"/>
  <c r="Z236" i="5"/>
  <c r="AA236" i="5"/>
  <c r="AB236" i="5"/>
  <c r="M237" i="5"/>
  <c r="N237" i="5"/>
  <c r="O237" i="5"/>
  <c r="R237" i="5"/>
  <c r="S237" i="5" s="1"/>
  <c r="T237" i="5" s="1"/>
  <c r="Z237" i="5"/>
  <c r="AA237" i="5"/>
  <c r="AB237" i="5"/>
  <c r="M238" i="5"/>
  <c r="N238" i="5"/>
  <c r="O238" i="5"/>
  <c r="Z238" i="5"/>
  <c r="AA238" i="5"/>
  <c r="AB238" i="5"/>
  <c r="M239" i="5"/>
  <c r="N239" i="5"/>
  <c r="O239" i="5"/>
  <c r="T239" i="5"/>
  <c r="Z239" i="5"/>
  <c r="AA239" i="5"/>
  <c r="AB239" i="5"/>
  <c r="M240" i="5"/>
  <c r="N240" i="5"/>
  <c r="O240" i="5"/>
  <c r="S240" i="5"/>
  <c r="T240" i="5" s="1"/>
  <c r="U240" i="5" s="1"/>
  <c r="Z240" i="5"/>
  <c r="AA240" i="5"/>
  <c r="AB240" i="5"/>
  <c r="M241" i="5"/>
  <c r="N241" i="5"/>
  <c r="O241" i="5"/>
  <c r="T241" i="5"/>
  <c r="U241" i="5"/>
  <c r="Z241" i="5"/>
  <c r="AA241" i="5"/>
  <c r="AB241" i="5"/>
  <c r="M242" i="5"/>
  <c r="N242" i="5"/>
  <c r="O242" i="5"/>
  <c r="T242" i="5"/>
  <c r="U242" i="5" s="1"/>
  <c r="Z242" i="5"/>
  <c r="AA242" i="5"/>
  <c r="AB242" i="5"/>
  <c r="M243" i="5"/>
  <c r="N243" i="5"/>
  <c r="O243" i="5"/>
  <c r="T243" i="5"/>
  <c r="U243" i="5" s="1"/>
  <c r="Z243" i="5"/>
  <c r="AA243" i="5"/>
  <c r="AB243" i="5"/>
  <c r="M244" i="5"/>
  <c r="N244" i="5"/>
  <c r="O244" i="5"/>
  <c r="U244" i="5"/>
  <c r="Z244" i="5"/>
  <c r="AA244" i="5"/>
  <c r="AB244" i="5"/>
  <c r="M245" i="5"/>
  <c r="N245" i="5"/>
  <c r="O245" i="5"/>
  <c r="R245" i="5"/>
  <c r="S245" i="5" s="1"/>
  <c r="T245" i="5" s="1"/>
  <c r="U245" i="5" s="1"/>
  <c r="Z245" i="5"/>
  <c r="AA245" i="5"/>
  <c r="AB245" i="5"/>
  <c r="M246" i="5"/>
  <c r="N246" i="5"/>
  <c r="O246" i="5"/>
  <c r="T246" i="5"/>
  <c r="U246" i="5" s="1"/>
  <c r="Z246" i="5"/>
  <c r="AA246" i="5"/>
  <c r="AB246" i="5"/>
  <c r="M247" i="5"/>
  <c r="N247" i="5"/>
  <c r="O247" i="5"/>
  <c r="U247" i="5"/>
  <c r="Z247" i="5"/>
  <c r="AA247" i="5"/>
  <c r="AB247" i="5"/>
  <c r="M248" i="5"/>
  <c r="N248" i="5"/>
  <c r="O248" i="5"/>
  <c r="R248" i="5"/>
  <c r="S248" i="5" s="1"/>
  <c r="T248" i="5" s="1"/>
  <c r="U248" i="5" s="1"/>
  <c r="Z248" i="5"/>
  <c r="AA248" i="5"/>
  <c r="AB248" i="5"/>
  <c r="M249" i="5"/>
  <c r="N249" i="5"/>
  <c r="O249" i="5"/>
  <c r="U249" i="5"/>
  <c r="Z249" i="5"/>
  <c r="AA249" i="5"/>
  <c r="AB249" i="5"/>
  <c r="M250" i="5"/>
  <c r="N250" i="5"/>
  <c r="O250" i="5"/>
  <c r="T250" i="5"/>
  <c r="U250" i="5" s="1"/>
  <c r="Z250" i="5"/>
  <c r="AA250" i="5"/>
  <c r="AB250" i="5"/>
  <c r="M251" i="5"/>
  <c r="N251" i="5"/>
  <c r="O251" i="5"/>
  <c r="T251" i="5"/>
  <c r="U251" i="5" s="1"/>
  <c r="Z251" i="5"/>
  <c r="AA251" i="5"/>
  <c r="AB251" i="5"/>
  <c r="M252" i="5"/>
  <c r="N252" i="5"/>
  <c r="O252" i="5"/>
  <c r="T252" i="5"/>
  <c r="U252" i="5" s="1"/>
  <c r="Z252" i="5"/>
  <c r="AA252" i="5"/>
  <c r="AB252" i="5"/>
  <c r="M253" i="5"/>
  <c r="N253" i="5"/>
  <c r="O253" i="5"/>
  <c r="T253" i="5"/>
  <c r="U253" i="5" s="1"/>
  <c r="Z253" i="5"/>
  <c r="AA253" i="5"/>
  <c r="AB253" i="5"/>
  <c r="M254" i="5"/>
  <c r="N254" i="5"/>
  <c r="O254" i="5"/>
  <c r="U254" i="5"/>
  <c r="Z254" i="5"/>
  <c r="AA254" i="5"/>
  <c r="AB254" i="5"/>
  <c r="M255" i="5"/>
  <c r="N255" i="5"/>
  <c r="O255" i="5"/>
  <c r="T255" i="5"/>
  <c r="U255" i="5" s="1"/>
  <c r="Z255" i="5"/>
  <c r="AA255" i="5"/>
  <c r="AB255" i="5"/>
  <c r="M256" i="5"/>
  <c r="N256" i="5"/>
  <c r="O256" i="5"/>
  <c r="S256" i="5"/>
  <c r="T256" i="5" s="1"/>
  <c r="U256" i="5" s="1"/>
  <c r="Z256" i="5"/>
  <c r="AA256" i="5"/>
  <c r="AB256" i="5"/>
  <c r="U257" i="5"/>
  <c r="Z257" i="5"/>
  <c r="AA257" i="5"/>
  <c r="AB257" i="5"/>
  <c r="M258" i="5"/>
  <c r="N258" i="5"/>
  <c r="O258" i="5"/>
  <c r="S258" i="5"/>
  <c r="T258" i="5" s="1"/>
  <c r="U258" i="5" s="1"/>
  <c r="Z258" i="5"/>
  <c r="AA258" i="5"/>
  <c r="AB258" i="5"/>
  <c r="M259" i="5"/>
  <c r="N259" i="5"/>
  <c r="O259" i="5"/>
  <c r="S259" i="5"/>
  <c r="U259" i="5"/>
  <c r="Z259" i="5"/>
  <c r="AA259" i="5"/>
  <c r="AB259" i="5"/>
  <c r="M260" i="5"/>
  <c r="N260" i="5"/>
  <c r="O260" i="5"/>
  <c r="R260" i="5"/>
  <c r="S260" i="5" s="1"/>
  <c r="T260" i="5" s="1"/>
  <c r="U260" i="5" s="1"/>
  <c r="Z260" i="5"/>
  <c r="AA260" i="5"/>
  <c r="AB260" i="5"/>
  <c r="U261" i="5"/>
  <c r="Z261" i="5"/>
  <c r="AA261" i="5"/>
  <c r="AB261" i="5"/>
  <c r="M262" i="5"/>
  <c r="N262" i="5"/>
  <c r="O262" i="5"/>
  <c r="T262" i="5"/>
  <c r="U262" i="5" s="1"/>
  <c r="Z262" i="5"/>
  <c r="AA262" i="5"/>
  <c r="AB262" i="5"/>
  <c r="M263" i="5"/>
  <c r="N263" i="5"/>
  <c r="O263" i="5"/>
  <c r="T263" i="5"/>
  <c r="U263" i="5" s="1"/>
  <c r="Z263" i="5"/>
  <c r="AA263" i="5"/>
  <c r="AB263" i="5"/>
  <c r="M264" i="5"/>
  <c r="N264" i="5"/>
  <c r="O264" i="5"/>
  <c r="U264" i="5"/>
  <c r="Z264" i="5"/>
  <c r="AA264" i="5"/>
  <c r="AB264" i="5"/>
  <c r="U265" i="5"/>
  <c r="Z265" i="5"/>
  <c r="AA265" i="5"/>
  <c r="AB265" i="5"/>
  <c r="U266" i="5"/>
  <c r="Z266" i="5"/>
  <c r="AA266" i="5"/>
  <c r="AB266" i="5"/>
  <c r="U267" i="5"/>
  <c r="Z267" i="5"/>
  <c r="AA267" i="5"/>
  <c r="AB267" i="5"/>
  <c r="M268" i="5"/>
  <c r="N268" i="5"/>
  <c r="O268" i="5"/>
  <c r="Q268" i="5"/>
  <c r="S268" i="5"/>
  <c r="T268" i="5" s="1"/>
  <c r="U268" i="5" s="1"/>
  <c r="Z268" i="5"/>
  <c r="AA268" i="5"/>
  <c r="AB268" i="5"/>
  <c r="M2" i="1"/>
  <c r="N2" i="1"/>
  <c r="O2" i="1"/>
  <c r="S2" i="1"/>
  <c r="T2" i="1" s="1"/>
  <c r="U2" i="1" s="1"/>
  <c r="M3" i="1"/>
  <c r="N3" i="1"/>
  <c r="O3" i="1"/>
  <c r="M4" i="1"/>
  <c r="N4" i="1"/>
  <c r="O4" i="1"/>
  <c r="S4" i="1"/>
  <c r="T4" i="1" s="1"/>
  <c r="U4" i="1" s="1"/>
  <c r="M5" i="1"/>
  <c r="N5" i="1"/>
  <c r="O5" i="1"/>
  <c r="M6" i="1"/>
  <c r="N6" i="1"/>
  <c r="O6" i="1"/>
  <c r="S6" i="1"/>
  <c r="T6" i="1" s="1"/>
  <c r="U6" i="1" s="1"/>
  <c r="M7" i="1"/>
  <c r="N7" i="1"/>
  <c r="O7" i="1"/>
  <c r="S7" i="1"/>
  <c r="T7" i="1" s="1"/>
  <c r="U7" i="1" s="1"/>
  <c r="M8" i="1"/>
  <c r="N8" i="1"/>
  <c r="O8" i="1"/>
  <c r="S8" i="1"/>
  <c r="T8" i="1" s="1"/>
  <c r="U8" i="1" s="1"/>
  <c r="M9" i="1"/>
  <c r="N9" i="1"/>
  <c r="O9" i="1"/>
  <c r="S9" i="1"/>
  <c r="T9" i="1" s="1"/>
  <c r="U9" i="1" s="1"/>
  <c r="M10" i="1"/>
  <c r="N10" i="1"/>
  <c r="O10" i="1"/>
  <c r="S10" i="1"/>
  <c r="T10" i="1" s="1"/>
  <c r="U10" i="1" s="1"/>
  <c r="M11" i="1"/>
  <c r="N11" i="1"/>
  <c r="O11" i="1"/>
  <c r="S11" i="1"/>
  <c r="T11" i="1" s="1"/>
  <c r="U11" i="1" s="1"/>
  <c r="AA11" i="1"/>
  <c r="AA12" i="1" s="1"/>
  <c r="M12" i="1"/>
  <c r="N12" i="1"/>
  <c r="O12" i="1"/>
  <c r="S12" i="1"/>
  <c r="T12" i="1" s="1"/>
  <c r="U12" i="1" s="1"/>
  <c r="M13" i="1"/>
  <c r="N13" i="1"/>
  <c r="O13" i="1"/>
  <c r="S13" i="1"/>
  <c r="T13" i="1" s="1"/>
  <c r="U13" i="1" s="1"/>
  <c r="V13" i="1" s="1"/>
  <c r="M14" i="1"/>
  <c r="N14" i="1"/>
  <c r="O14" i="1"/>
  <c r="S14" i="1"/>
  <c r="T14" i="1" s="1"/>
  <c r="U14" i="1" s="1"/>
  <c r="M15" i="1"/>
  <c r="N15" i="1"/>
  <c r="O15" i="1"/>
  <c r="S15" i="1"/>
  <c r="T15" i="1" s="1"/>
  <c r="U15" i="1" s="1"/>
  <c r="M16" i="1"/>
  <c r="N16" i="1"/>
  <c r="O16" i="1"/>
  <c r="M17" i="1"/>
  <c r="N17" i="1"/>
  <c r="O17" i="1"/>
  <c r="S17" i="1"/>
  <c r="T17" i="1" s="1"/>
  <c r="U17" i="1" s="1"/>
  <c r="M18" i="1"/>
  <c r="N18" i="1"/>
  <c r="O18" i="1"/>
  <c r="S18" i="1"/>
  <c r="M19" i="1"/>
  <c r="N19" i="1"/>
  <c r="O19" i="1"/>
  <c r="S19" i="1"/>
  <c r="T19" i="1" s="1"/>
  <c r="U19" i="1" s="1"/>
  <c r="N20" i="1"/>
  <c r="O20" i="1"/>
  <c r="S20" i="1"/>
  <c r="T20" i="1" s="1"/>
  <c r="U20" i="1" s="1"/>
  <c r="S21" i="1"/>
  <c r="T21" i="1" s="1"/>
  <c r="U21" i="1" s="1"/>
  <c r="S22" i="1"/>
  <c r="T22" i="1" s="1"/>
  <c r="U22" i="1" s="1"/>
  <c r="S23" i="1"/>
  <c r="T23" i="1" s="1"/>
  <c r="U23" i="1" s="1"/>
  <c r="S24" i="1"/>
  <c r="T24" i="1" s="1"/>
  <c r="U24" i="1" s="1"/>
  <c r="O18" i="4"/>
  <c r="O10" i="4"/>
  <c r="O17" i="4"/>
  <c r="O12" i="4"/>
  <c r="O11" i="4"/>
  <c r="O13" i="4"/>
  <c r="O7" i="4"/>
  <c r="O14" i="4"/>
  <c r="O16" i="4"/>
  <c r="O20" i="4"/>
  <c r="O15" i="4"/>
  <c r="O8" i="4"/>
  <c r="O9" i="4"/>
  <c r="O21" i="4"/>
  <c r="O19" i="4"/>
  <c r="H31" i="10" l="1"/>
  <c r="L13" i="10"/>
  <c r="J25" i="10"/>
  <c r="L16" i="10"/>
  <c r="K37" i="10"/>
  <c r="C13" i="10"/>
  <c r="E34" i="10"/>
  <c r="K16" i="10"/>
  <c r="V3" i="1"/>
  <c r="W3" i="1" s="1"/>
  <c r="V28" i="1"/>
  <c r="W28" i="1" s="1"/>
  <c r="V7" i="1"/>
  <c r="W7" i="1" s="1"/>
  <c r="V26" i="1"/>
  <c r="W26" i="1" s="1"/>
  <c r="V35" i="1"/>
  <c r="W35" i="1" s="1"/>
  <c r="V15" i="1"/>
  <c r="W15" i="1" s="1"/>
  <c r="V11" i="1"/>
  <c r="W11" i="1" s="1"/>
  <c r="V12" i="1"/>
  <c r="W12" i="1" s="1"/>
  <c r="V21" i="1"/>
  <c r="W21" i="1" s="1"/>
  <c r="V19" i="1"/>
  <c r="W19" i="1" s="1"/>
  <c r="C10" i="10"/>
  <c r="V34" i="1"/>
  <c r="W34" i="1" s="1"/>
  <c r="V31" i="1"/>
  <c r="W31" i="1" s="1"/>
  <c r="V27" i="1"/>
  <c r="W27" i="1" s="1"/>
  <c r="V25" i="1"/>
  <c r="W25" i="1" s="1"/>
  <c r="V22" i="1"/>
  <c r="W22" i="1" s="1"/>
  <c r="W18" i="1"/>
  <c r="V14" i="1"/>
  <c r="W14" i="1" s="1"/>
  <c r="V10" i="1"/>
  <c r="W10" i="1" s="1"/>
  <c r="V6" i="1"/>
  <c r="W6" i="1" s="1"/>
  <c r="X6" i="1" s="1"/>
  <c r="Q35" i="1"/>
  <c r="V33" i="1"/>
  <c r="W33" i="1" s="1"/>
  <c r="V30" i="1"/>
  <c r="W30" i="1" s="1"/>
  <c r="V24" i="1"/>
  <c r="W24" i="1" s="1"/>
  <c r="V17" i="1"/>
  <c r="W17" i="1" s="1"/>
  <c r="W13" i="1"/>
  <c r="V9" i="1"/>
  <c r="W9" i="1" s="1"/>
  <c r="V5" i="1"/>
  <c r="W5" i="1" s="1"/>
  <c r="V2" i="1"/>
  <c r="W2" i="1" s="1"/>
  <c r="V23" i="1"/>
  <c r="W23" i="1" s="1"/>
  <c r="AB11" i="1"/>
  <c r="AC11" i="1" s="1"/>
  <c r="AC12" i="1" s="1"/>
  <c r="P35" i="1"/>
  <c r="V36" i="1"/>
  <c r="W36" i="1" s="1"/>
  <c r="V32" i="1"/>
  <c r="W32" i="1" s="1"/>
  <c r="V29" i="1"/>
  <c r="W29" i="1" s="1"/>
  <c r="V20" i="1"/>
  <c r="W20" i="1" s="1"/>
  <c r="V16" i="1"/>
  <c r="W16" i="1" s="1"/>
  <c r="V8" i="1"/>
  <c r="W8" i="1" s="1"/>
  <c r="V4" i="1"/>
  <c r="W4" i="1" s="1"/>
  <c r="M24" i="10"/>
  <c r="N21" i="10"/>
  <c r="J16" i="10"/>
  <c r="J13" i="10"/>
  <c r="C40" i="10"/>
  <c r="C34" i="10"/>
  <c r="K24" i="10"/>
  <c r="C27" i="10"/>
  <c r="D21" i="10"/>
  <c r="J40" i="10"/>
  <c r="L40" i="10"/>
  <c r="C39" i="10"/>
  <c r="N16" i="10"/>
  <c r="I28" i="10"/>
  <c r="F31" i="10"/>
  <c r="R142" i="5"/>
  <c r="I39" i="10"/>
  <c r="N6" i="10"/>
  <c r="H12" i="10"/>
  <c r="F25" i="10"/>
  <c r="H37" i="10"/>
  <c r="E25" i="10"/>
  <c r="D19" i="10"/>
  <c r="F34" i="10"/>
  <c r="I16" i="10"/>
  <c r="K25" i="10"/>
  <c r="D25" i="10"/>
  <c r="G18" i="10"/>
  <c r="M7" i="10"/>
  <c r="L39" i="10"/>
  <c r="C6" i="10"/>
  <c r="M9" i="10"/>
  <c r="M8" i="10"/>
  <c r="L22" i="10"/>
  <c r="K22" i="10"/>
  <c r="I25" i="10"/>
  <c r="N19" i="10"/>
  <c r="M34" i="10"/>
  <c r="D34" i="10"/>
  <c r="I13" i="10"/>
  <c r="N31" i="10"/>
  <c r="G13" i="10"/>
  <c r="D16" i="10"/>
  <c r="F28" i="10"/>
  <c r="G25" i="10"/>
  <c r="N37" i="10"/>
  <c r="L19" i="10"/>
  <c r="H8" i="10"/>
  <c r="C19" i="10"/>
  <c r="C37" i="10"/>
  <c r="C28" i="10"/>
  <c r="D22" i="10"/>
  <c r="J28" i="10"/>
  <c r="F16" i="10"/>
  <c r="G15" i="10"/>
  <c r="D40" i="10"/>
  <c r="J22" i="10"/>
  <c r="I34" i="10"/>
  <c r="L34" i="10"/>
  <c r="D31" i="10"/>
  <c r="M22" i="10"/>
  <c r="J19" i="10"/>
  <c r="K40" i="10"/>
  <c r="C31" i="10"/>
  <c r="I31" i="10"/>
  <c r="G37" i="10"/>
  <c r="G34" i="10"/>
  <c r="H13" i="10"/>
  <c r="M28" i="10"/>
  <c r="H25" i="10"/>
  <c r="K34" i="10"/>
  <c r="I22" i="10"/>
  <c r="F37" i="10"/>
  <c r="M31" i="10"/>
  <c r="E19" i="10"/>
  <c r="H28" i="10"/>
  <c r="D13" i="10"/>
  <c r="G22" i="10"/>
  <c r="M25" i="10"/>
  <c r="I40" i="10"/>
  <c r="F13" i="10"/>
  <c r="J37" i="10"/>
  <c r="K19" i="10"/>
  <c r="H34" i="10"/>
  <c r="G19" i="10"/>
  <c r="E13" i="10"/>
  <c r="I37" i="10"/>
  <c r="E16" i="10"/>
  <c r="N13" i="10"/>
  <c r="E22" i="10"/>
  <c r="E37" i="10"/>
  <c r="N34" i="10"/>
  <c r="G40" i="10"/>
  <c r="M13" i="10"/>
  <c r="H19" i="10"/>
  <c r="K13" i="10"/>
  <c r="M37" i="10"/>
  <c r="L28" i="10"/>
  <c r="C25" i="10"/>
  <c r="H16" i="10"/>
  <c r="N40" i="10"/>
  <c r="M19" i="10"/>
  <c r="G31" i="10"/>
  <c r="D37" i="10"/>
  <c r="G28" i="10"/>
  <c r="C22" i="10"/>
  <c r="M16" i="10"/>
  <c r="J34" i="10"/>
  <c r="E31" i="10"/>
  <c r="E40" i="10"/>
  <c r="G16" i="10"/>
  <c r="K31" i="10"/>
  <c r="L31" i="10"/>
  <c r="K28" i="10"/>
  <c r="N22" i="10"/>
  <c r="F24" i="10"/>
  <c r="C33" i="10"/>
  <c r="N27" i="10"/>
  <c r="M6" i="10"/>
  <c r="F11" i="10"/>
  <c r="K21" i="10"/>
  <c r="L15" i="10"/>
  <c r="H6" i="10"/>
  <c r="D39" i="10"/>
  <c r="E11" i="10"/>
  <c r="K5" i="10"/>
  <c r="I33" i="10"/>
  <c r="I12" i="10"/>
  <c r="K6" i="10"/>
  <c r="K9" i="10"/>
  <c r="E6" i="10"/>
  <c r="F6" i="10"/>
  <c r="M39" i="10"/>
  <c r="H39" i="10"/>
  <c r="G39" i="10"/>
  <c r="D5" i="10"/>
  <c r="C5" i="10"/>
  <c r="C30" i="10"/>
  <c r="L21" i="10"/>
  <c r="H22" i="10"/>
  <c r="D28" i="10"/>
  <c r="M40" i="10"/>
  <c r="N25" i="10"/>
  <c r="F22" i="10"/>
  <c r="J31" i="10"/>
  <c r="F40" i="10"/>
  <c r="N28" i="10"/>
  <c r="L37" i="10"/>
  <c r="I19" i="10"/>
  <c r="E28" i="10"/>
  <c r="L25" i="10"/>
  <c r="C16" i="10"/>
  <c r="F19" i="10"/>
  <c r="H40" i="10"/>
  <c r="M27" i="10"/>
  <c r="D18" i="10"/>
  <c r="L18" i="10"/>
  <c r="H5" i="10"/>
  <c r="M18" i="10"/>
  <c r="N10" i="10"/>
  <c r="E27" i="10"/>
  <c r="E18" i="10"/>
  <c r="L30" i="10"/>
  <c r="N18" i="10"/>
  <c r="J5" i="10"/>
  <c r="D9" i="10"/>
  <c r="E30" i="10"/>
  <c r="L33" i="10"/>
  <c r="E33" i="10"/>
  <c r="H18" i="10"/>
  <c r="N30" i="10"/>
  <c r="H21" i="10"/>
  <c r="M10" i="10"/>
  <c r="D12" i="10"/>
  <c r="C15" i="10"/>
  <c r="E9" i="10"/>
  <c r="N33" i="10"/>
  <c r="I6" i="10"/>
  <c r="D36" i="10"/>
  <c r="F36" i="10"/>
  <c r="J27" i="10"/>
  <c r="E8" i="10"/>
  <c r="C21" i="10"/>
  <c r="I8" i="10"/>
  <c r="K27" i="10"/>
  <c r="I10" i="10"/>
  <c r="G33" i="10"/>
  <c r="M30" i="10"/>
  <c r="H11" i="10"/>
  <c r="C18" i="10"/>
  <c r="F27" i="10"/>
  <c r="D15" i="10"/>
  <c r="I5" i="10"/>
  <c r="E7" i="10"/>
  <c r="M33" i="10"/>
  <c r="G5" i="10"/>
  <c r="K10" i="10"/>
  <c r="N39" i="10"/>
  <c r="D8" i="10"/>
  <c r="J11" i="10"/>
  <c r="K12" i="10"/>
  <c r="F10" i="10"/>
  <c r="J21" i="10"/>
  <c r="H36" i="10"/>
  <c r="J6" i="10"/>
  <c r="G6" i="10"/>
  <c r="K39" i="10"/>
  <c r="E39" i="10"/>
  <c r="N36" i="10"/>
  <c r="J12" i="10"/>
  <c r="F33" i="10"/>
  <c r="K7" i="10"/>
  <c r="N15" i="10"/>
  <c r="E36" i="10"/>
  <c r="J10" i="10"/>
  <c r="L24" i="10"/>
  <c r="C11" i="10"/>
  <c r="F15" i="10"/>
  <c r="K33" i="10"/>
  <c r="E21" i="10"/>
  <c r="D30" i="10"/>
  <c r="M15" i="10"/>
  <c r="I15" i="10"/>
  <c r="L11" i="10"/>
  <c r="L12" i="10"/>
  <c r="F21" i="10"/>
  <c r="K18" i="10"/>
  <c r="N7" i="10"/>
  <c r="F30" i="10"/>
  <c r="L5" i="10"/>
  <c r="L6" i="10"/>
  <c r="L7" i="10"/>
  <c r="I18" i="10"/>
  <c r="D6" i="10"/>
  <c r="J39" i="10"/>
  <c r="F5" i="10"/>
  <c r="E15" i="10"/>
  <c r="F39" i="10"/>
  <c r="G21" i="10"/>
  <c r="K36" i="10"/>
  <c r="L10" i="10"/>
  <c r="E10" i="10"/>
  <c r="D24" i="10"/>
  <c r="H27" i="10"/>
  <c r="F18" i="10"/>
  <c r="E24" i="10"/>
  <c r="H30" i="10"/>
  <c r="C24" i="10"/>
  <c r="J7" i="10"/>
  <c r="K30" i="10"/>
  <c r="H7" i="10"/>
  <c r="I21" i="10"/>
  <c r="D33" i="10"/>
  <c r="M5" i="10"/>
  <c r="J33" i="10"/>
  <c r="C8" i="10"/>
  <c r="K15" i="10"/>
  <c r="G10" i="10"/>
  <c r="K8" i="10"/>
  <c r="C9" i="10"/>
  <c r="J9" i="10"/>
  <c r="I9" i="10"/>
  <c r="G8" i="10"/>
  <c r="H24" i="10"/>
  <c r="F9" i="10"/>
  <c r="I27" i="10"/>
  <c r="N8" i="10"/>
  <c r="G30" i="10"/>
  <c r="D7" i="10"/>
  <c r="G36" i="10"/>
  <c r="N11" i="10"/>
  <c r="F7" i="10"/>
  <c r="G27" i="10"/>
  <c r="C7" i="10"/>
  <c r="M12" i="10"/>
  <c r="C36" i="10"/>
  <c r="G12" i="10"/>
  <c r="F8" i="10"/>
  <c r="F12" i="10"/>
  <c r="N24" i="10"/>
  <c r="I11" i="10"/>
  <c r="J30" i="10"/>
  <c r="J36" i="10"/>
  <c r="H9" i="10"/>
  <c r="C12" i="10"/>
  <c r="D27" i="10"/>
  <c r="H15" i="10"/>
  <c r="J18" i="10"/>
  <c r="N5" i="10"/>
  <c r="E5" i="10"/>
  <c r="G9" i="10"/>
  <c r="I30" i="10"/>
  <c r="M36" i="10"/>
  <c r="J15" i="10"/>
  <c r="I36" i="10"/>
  <c r="L8" i="10"/>
  <c r="J8" i="10"/>
  <c r="I7" i="10"/>
  <c r="I24" i="10"/>
  <c r="H10" i="10"/>
  <c r="M11" i="10"/>
  <c r="L27" i="10"/>
  <c r="M21" i="10"/>
  <c r="H33" i="10"/>
  <c r="L36" i="10"/>
  <c r="D10" i="10"/>
  <c r="J24" i="10"/>
  <c r="G24" i="10"/>
  <c r="E12" i="10"/>
  <c r="N12" i="10"/>
  <c r="L9" i="10"/>
  <c r="N9" i="10"/>
  <c r="G11" i="10"/>
  <c r="D11" i="10"/>
  <c r="G7" i="10"/>
  <c r="K11" i="10"/>
  <c r="O4" i="4"/>
  <c r="X1" i="1" l="1"/>
  <c r="Y1" i="1" s="1"/>
  <c r="B47" i="10" s="1"/>
  <c r="P40" i="10"/>
  <c r="O5" i="10"/>
  <c r="O16" i="10"/>
  <c r="P13" i="10"/>
  <c r="O34" i="10"/>
  <c r="P37" i="10"/>
  <c r="P31" i="10"/>
  <c r="O40" i="10"/>
  <c r="O13" i="10"/>
  <c r="O6" i="10"/>
  <c r="O25" i="10"/>
  <c r="O28" i="10"/>
  <c r="P28" i="10"/>
  <c r="P34" i="10"/>
  <c r="O10" i="10"/>
  <c r="P22" i="10"/>
  <c r="O37" i="10"/>
  <c r="P25" i="10"/>
  <c r="O22" i="10"/>
  <c r="P16" i="10"/>
  <c r="O31" i="10"/>
  <c r="P19" i="10"/>
  <c r="O19" i="10"/>
  <c r="P27" i="10"/>
  <c r="O30" i="10"/>
  <c r="P30" i="10"/>
  <c r="O39" i="10"/>
  <c r="P12" i="10"/>
  <c r="O12" i="10"/>
  <c r="P18" i="10"/>
  <c r="O18" i="10"/>
  <c r="O27" i="10"/>
  <c r="P39" i="10"/>
  <c r="O36" i="10"/>
  <c r="P36" i="10"/>
  <c r="O33" i="10"/>
  <c r="O11" i="10"/>
  <c r="C14" i="10" s="1"/>
  <c r="O9" i="10"/>
  <c r="O8" i="10"/>
  <c r="P24" i="10"/>
  <c r="O24" i="10"/>
  <c r="P33" i="10"/>
  <c r="O7" i="10"/>
  <c r="P21" i="10"/>
  <c r="O21" i="10"/>
  <c r="O15" i="10"/>
  <c r="P15" i="10"/>
  <c r="O35" i="10" l="1"/>
  <c r="O29" i="10"/>
  <c r="O14" i="10"/>
  <c r="O20" i="10"/>
  <c r="O17" i="10"/>
  <c r="O23" i="10"/>
  <c r="O26" i="10"/>
  <c r="O41" i="10"/>
  <c r="O32" i="10"/>
  <c r="O38" i="10"/>
  <c r="D14" i="10"/>
  <c r="E14" i="10" s="1"/>
  <c r="F14" i="10" s="1"/>
  <c r="G14" i="10" s="1"/>
  <c r="H14" i="10" s="1"/>
  <c r="I14" i="10" s="1"/>
  <c r="J14" i="10" s="1"/>
  <c r="K14" i="10" s="1"/>
  <c r="L14" i="10" s="1"/>
  <c r="M14" i="10" s="1"/>
  <c r="N14" i="10" s="1"/>
  <c r="C17" i="10" s="1"/>
  <c r="P14" i="10" l="1"/>
  <c r="D17" i="10"/>
  <c r="E17" i="10" s="1"/>
  <c r="F17" i="10" s="1"/>
  <c r="G17" i="10" s="1"/>
  <c r="H17" i="10" s="1"/>
  <c r="I17" i="10" s="1"/>
  <c r="J17" i="10" s="1"/>
  <c r="K17" i="10" s="1"/>
  <c r="L17" i="10" s="1"/>
  <c r="M17" i="10" s="1"/>
  <c r="N17" i="10" s="1"/>
  <c r="C20" i="10" s="1"/>
  <c r="P17" i="10" l="1"/>
  <c r="Q17" i="10" s="1"/>
  <c r="D20" i="10"/>
  <c r="E20" i="10" s="1"/>
  <c r="F20" i="10" s="1"/>
  <c r="G20" i="10" s="1"/>
  <c r="H20" i="10" s="1"/>
  <c r="I20" i="10" s="1"/>
  <c r="J20" i="10" s="1"/>
  <c r="K20" i="10" s="1"/>
  <c r="L20" i="10" s="1"/>
  <c r="M20" i="10" s="1"/>
  <c r="N20" i="10" s="1"/>
  <c r="C23" i="10" s="1"/>
  <c r="P20" i="10" l="1"/>
  <c r="Q20" i="10" s="1"/>
  <c r="D23" i="10"/>
  <c r="E23" i="10" s="1"/>
  <c r="F23" i="10" s="1"/>
  <c r="G23" i="10" s="1"/>
  <c r="H23" i="10" s="1"/>
  <c r="I23" i="10" s="1"/>
  <c r="J23" i="10" s="1"/>
  <c r="K23" i="10" s="1"/>
  <c r="L23" i="10" s="1"/>
  <c r="M23" i="10" s="1"/>
  <c r="N23" i="10" s="1"/>
  <c r="C26" i="10" s="1"/>
  <c r="P23" i="10" l="1"/>
  <c r="Q23" i="10" s="1"/>
  <c r="D26" i="10"/>
  <c r="C42" i="10"/>
  <c r="D42" i="10" l="1"/>
  <c r="E26" i="10"/>
  <c r="F26" i="10" l="1"/>
  <c r="E42" i="10"/>
  <c r="G26" i="10" l="1"/>
  <c r="F42" i="10"/>
  <c r="H26" i="10" l="1"/>
  <c r="G42" i="10"/>
  <c r="I26" i="10" l="1"/>
  <c r="H42" i="10"/>
  <c r="J26" i="10" l="1"/>
  <c r="I42" i="10"/>
  <c r="J42" i="10" l="1"/>
  <c r="K26" i="10"/>
  <c r="K42" i="10" l="1"/>
  <c r="L26" i="10"/>
  <c r="L42" i="10" l="1"/>
  <c r="M26" i="10"/>
  <c r="M42" i="10" l="1"/>
  <c r="N26" i="10"/>
  <c r="C29" i="10" l="1"/>
  <c r="N42" i="10"/>
  <c r="P26" i="10"/>
  <c r="Q26" i="10" s="1"/>
  <c r="D29" i="10" l="1"/>
  <c r="C43" i="10"/>
  <c r="D43" i="10" l="1"/>
  <c r="E29" i="10"/>
  <c r="F29" i="10" l="1"/>
  <c r="E43" i="10"/>
  <c r="G29" i="10" l="1"/>
  <c r="F43" i="10"/>
  <c r="H29" i="10" l="1"/>
  <c r="G43" i="10"/>
  <c r="H43" i="10" l="1"/>
  <c r="I29" i="10"/>
  <c r="I43" i="10" l="1"/>
  <c r="J29" i="10"/>
  <c r="J43" i="10" l="1"/>
  <c r="K29" i="10"/>
  <c r="L29" i="10" l="1"/>
  <c r="K43" i="10"/>
  <c r="L43" i="10" l="1"/>
  <c r="M29" i="10"/>
  <c r="N29" i="10" l="1"/>
  <c r="M43" i="10"/>
  <c r="C32" i="10" l="1"/>
  <c r="N43" i="10"/>
  <c r="P29" i="10"/>
  <c r="Q29" i="10" s="1"/>
  <c r="D32" i="10" l="1"/>
  <c r="C44" i="10"/>
  <c r="E32" i="10" l="1"/>
  <c r="D44" i="10"/>
  <c r="E44" i="10" l="1"/>
  <c r="F32" i="10"/>
  <c r="G32" i="10" l="1"/>
  <c r="F44" i="10"/>
  <c r="H32" i="10" l="1"/>
  <c r="G44" i="10"/>
  <c r="I32" i="10" l="1"/>
  <c r="H44" i="10"/>
  <c r="I44" i="10" l="1"/>
  <c r="J32" i="10"/>
  <c r="K32" i="10" l="1"/>
  <c r="J44" i="10"/>
  <c r="K44" i="10" l="1"/>
  <c r="L32" i="10"/>
  <c r="M32" i="10" l="1"/>
  <c r="L44" i="10"/>
  <c r="M44" i="10" l="1"/>
  <c r="N32" i="10"/>
  <c r="C35" i="10" l="1"/>
  <c r="N44" i="10"/>
  <c r="P32" i="10"/>
  <c r="Q32" i="10" s="1"/>
  <c r="D35" i="10" l="1"/>
  <c r="C45" i="10"/>
  <c r="D45" i="10" l="1"/>
  <c r="E35" i="10"/>
  <c r="F35" i="10" l="1"/>
  <c r="E45" i="10"/>
  <c r="F45" i="10" l="1"/>
  <c r="G35" i="10"/>
  <c r="G45" i="10" l="1"/>
  <c r="H35" i="10"/>
  <c r="I35" i="10" l="1"/>
  <c r="H45" i="10"/>
  <c r="J35" i="10" l="1"/>
  <c r="I45" i="10"/>
  <c r="J45" i="10" l="1"/>
  <c r="K35" i="10"/>
  <c r="K45" i="10" l="1"/>
  <c r="L35" i="10"/>
  <c r="L45" i="10" l="1"/>
  <c r="M35" i="10"/>
  <c r="N35" i="10" l="1"/>
  <c r="M45" i="10"/>
  <c r="N45" i="10" l="1"/>
  <c r="C38" i="10"/>
  <c r="P35" i="10"/>
  <c r="Q35" i="10" s="1"/>
  <c r="C46" i="10" l="1"/>
  <c r="D38" i="10"/>
  <c r="E38" i="10" l="1"/>
  <c r="D46" i="10"/>
  <c r="E46" i="10" l="1"/>
  <c r="F38" i="10"/>
  <c r="G38" i="10" l="1"/>
  <c r="F46" i="10"/>
  <c r="H38" i="10" l="1"/>
  <c r="G46" i="10"/>
  <c r="I38" i="10" l="1"/>
  <c r="H46" i="10"/>
  <c r="J38" i="10" l="1"/>
  <c r="J46" i="10" s="1"/>
  <c r="I46" i="10"/>
  <c r="K38" i="10" l="1"/>
  <c r="L38" i="10" l="1"/>
  <c r="K46" i="10"/>
  <c r="M38" i="10" l="1"/>
  <c r="L46" i="10"/>
  <c r="N38" i="10" l="1"/>
  <c r="P38" i="10" s="1"/>
  <c r="M46" i="10"/>
  <c r="C41" i="10" l="1"/>
  <c r="C47" i="10" s="1"/>
  <c r="N46" i="10"/>
  <c r="Q38" i="10"/>
  <c r="D41" i="10" l="1"/>
  <c r="E41" i="10" l="1"/>
  <c r="D47" i="10"/>
  <c r="F41" i="10" l="1"/>
  <c r="E47" i="10"/>
  <c r="G41" i="10" l="1"/>
  <c r="F47" i="10"/>
  <c r="H41" i="10" l="1"/>
  <c r="G47" i="10"/>
  <c r="I41" i="10" l="1"/>
  <c r="H47" i="10"/>
  <c r="J41" i="10" l="1"/>
  <c r="I47" i="10"/>
  <c r="K41" i="10" l="1"/>
  <c r="J47" i="10"/>
  <c r="L41" i="10" l="1"/>
  <c r="K47" i="10"/>
  <c r="M41" i="10" l="1"/>
  <c r="L47" i="10"/>
  <c r="N41" i="10" l="1"/>
  <c r="M47" i="10"/>
  <c r="N47" i="10" l="1"/>
  <c r="P41" i="10"/>
  <c r="Q41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João Carlos</author>
    <author>Joao Santos</author>
  </authors>
  <commentList>
    <comment ref="P1" authorId="0" shapeId="0" xr:uid="{F52AED92-871A-4B83-81E9-DF2B19B6940E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2018/2019</t>
        </r>
        <r>
          <rPr>
            <sz val="9"/>
            <color indexed="81"/>
            <rFont val="Segoe UI"/>
            <family val="2"/>
          </rPr>
          <t xml:space="preserve"> Reajuste de 10,41667% 
</t>
        </r>
        <r>
          <rPr>
            <b/>
            <sz val="9"/>
            <color indexed="81"/>
            <rFont val="Segoe UI"/>
            <family val="2"/>
          </rPr>
          <t>2019/2020</t>
        </r>
        <r>
          <rPr>
            <sz val="9"/>
            <color indexed="81"/>
            <rFont val="Segoe UI"/>
            <family val="2"/>
          </rPr>
          <t xml:space="preserve"> Não houve reajuste
</t>
        </r>
      </text>
    </comment>
    <comment ref="Q1" authorId="0" shapeId="0" xr:uid="{0DE4C1FA-BB26-45E5-8547-30F9FD158E54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2020/2021</t>
        </r>
        <r>
          <rPr>
            <sz val="9"/>
            <color indexed="81"/>
            <rFont val="Segoe UI"/>
            <family val="2"/>
          </rPr>
          <t xml:space="preserve"> Reajuste de 5,660377%</t>
        </r>
      </text>
    </comment>
    <comment ref="R1" authorId="1" shapeId="0" xr:uid="{BBC26504-D370-4731-B871-4514BB01AE6C}">
      <text>
        <r>
          <rPr>
            <b/>
            <sz val="11"/>
            <color indexed="81"/>
            <rFont val="Segoe UI"/>
            <family val="2"/>
          </rPr>
          <t>João Carlos:</t>
        </r>
        <r>
          <rPr>
            <sz val="11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2021/2022</t>
        </r>
        <r>
          <rPr>
            <sz val="9"/>
            <color indexed="81"/>
            <rFont val="Segoe UI"/>
            <family val="2"/>
          </rPr>
          <t xml:space="preserve">
Reajuste 10,71%</t>
        </r>
      </text>
    </comment>
    <comment ref="S1" authorId="1" shapeId="0" xr:uid="{94568013-AD5A-47F3-895C-77D72B6305EF}">
      <text>
        <r>
          <rPr>
            <b/>
            <sz val="11"/>
            <color indexed="81"/>
            <rFont val="Segoe UI"/>
            <family val="2"/>
          </rPr>
          <t>João Carlos:</t>
        </r>
        <r>
          <rPr>
            <sz val="11"/>
            <color indexed="81"/>
            <rFont val="Segoe UI"/>
            <family val="2"/>
          </rPr>
          <t xml:space="preserve">
Reajuste de 9,67%</t>
        </r>
      </text>
    </comment>
    <comment ref="P2" authorId="2" shapeId="0" xr:uid="{D16DD454-BE18-425F-9FCB-EB97616EB094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2 banhos adicionais de 70,53</t>
        </r>
      </text>
    </comment>
    <comment ref="Q2" authorId="2" shapeId="0" xr:uid="{AA38EA48-E872-47E0-8DD1-0B2129246C9F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1 banho adicional de 60,00</t>
        </r>
      </text>
    </comment>
    <comment ref="P3" authorId="0" shapeId="0" xr:uid="{A5985912-069F-4554-A98D-1325351FD46E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530+467,46 por adicional</t>
        </r>
      </text>
    </comment>
    <comment ref="Q3" authorId="0" shapeId="0" xr:uid="{9F5DFD30-CA30-43B6-88A0-EB685A57D55A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560 + 493,92 por adicional
no mês de Jan/21 foi adic 296,00 ref a estadia da nina de 14/12 a 02/01</t>
        </r>
      </text>
    </comment>
    <comment ref="S3" authorId="1" shapeId="0" xr:uid="{0C7615A5-FCD2-4DCC-A8A9-1B1713C172E3}">
      <text>
        <r>
          <rPr>
            <b/>
            <sz val="11"/>
            <color indexed="81"/>
            <rFont val="Segoe UI"/>
            <family val="2"/>
          </rPr>
          <t>João Carlos:</t>
        </r>
        <r>
          <rPr>
            <sz val="11"/>
            <color indexed="81"/>
            <rFont val="Segoe UI"/>
            <family val="2"/>
          </rPr>
          <t xml:space="preserve">
Valor 2023 desconsiderando saida do Fedor</t>
        </r>
      </text>
    </comment>
    <comment ref="Q5" authorId="0" shapeId="0" xr:uid="{4B42A5AD-4EA5-4350-9E51-602D7EC4C1AF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Aplicado reajuste 5,66%
Cobrado valor normal
560 + 504 (10% desc)
</t>
        </r>
      </text>
    </comment>
    <comment ref="P6" authorId="2" shapeId="0" xr:uid="{0E3CE3BA-9939-4CE2-A994-98D5F6AEF3A2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frontline 65,50</t>
        </r>
      </text>
    </comment>
    <comment ref="Q6" authorId="2" shapeId="0" xr:uid="{0339B0E9-8237-416D-91A4-2B52F5A5906E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frontline 65,50</t>
        </r>
      </text>
    </comment>
    <comment ref="P9" authorId="2" shapeId="0" xr:uid="{C4C4C221-6963-47C3-B1BF-0FC96B4B6774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Incluir tosa janeiro</t>
        </r>
      </text>
    </comment>
    <comment ref="R15" authorId="1" shapeId="0" xr:uid="{CAB5D4C8-D850-4944-B3DD-4EA1C68AC8FC}">
      <text>
        <r>
          <rPr>
            <b/>
            <sz val="11"/>
            <color indexed="81"/>
            <rFont val="Segoe UI"/>
            <family val="2"/>
          </rPr>
          <t>João Carlos:</t>
        </r>
        <r>
          <rPr>
            <sz val="11"/>
            <color indexed="81"/>
            <rFont val="Segoe UI"/>
            <family val="2"/>
          </rPr>
          <t xml:space="preserve">
Descontado 160,00 do boleto porque foi tirada a ração do pacote de serviços e será cobrado a parte
</t>
        </r>
      </text>
    </comment>
    <comment ref="R19" authorId="1" shapeId="0" xr:uid="{2032A2A2-B7DA-454A-8CA4-9F08482DB477}">
      <text>
        <r>
          <rPr>
            <b/>
            <sz val="11"/>
            <color indexed="81"/>
            <rFont val="Segoe UI"/>
            <family val="2"/>
          </rPr>
          <t>João Carlos:</t>
        </r>
        <r>
          <rPr>
            <sz val="11"/>
            <color indexed="81"/>
            <rFont val="Segoe UI"/>
            <family val="2"/>
          </rPr>
          <t xml:space="preserve">
Reajuste de 11,11% para arredondar para 500,00</t>
        </r>
      </text>
    </comment>
    <comment ref="L20" authorId="1" shapeId="0" xr:uid="{604C92F3-0C88-4BEC-B979-745C87EC48DC}">
      <text>
        <r>
          <rPr>
            <b/>
            <sz val="11"/>
            <color indexed="81"/>
            <rFont val="Segoe UI"/>
            <family val="2"/>
          </rPr>
          <t>João Carlos:</t>
        </r>
        <r>
          <rPr>
            <sz val="11"/>
            <color indexed="81"/>
            <rFont val="Segoe UI"/>
            <family val="2"/>
          </rPr>
          <t xml:space="preserve">
alterado data para dia 30 a pedido da cliente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Joao Santos</author>
    <author>Dell</author>
    <author>João Carlos</author>
  </authors>
  <commentList>
    <comment ref="Q8" authorId="0" shapeId="0" xr:uid="{E641A9C7-0911-4079-8EA2-624CDDE1AB38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INLCUIDO MEDICAMENTO E RAÇÃO
</t>
        </r>
      </text>
    </comment>
    <comment ref="Q75" authorId="0" shapeId="0" xr:uid="{49D20569-933E-4085-9FFB-EDCFA4E47B5F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02 banhos adicionais
60,00</t>
        </r>
      </text>
    </comment>
    <comment ref="Q82" authorId="0" shapeId="0" xr:uid="{87252CB8-49AA-475A-943B-552D1B1985C0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01 banho adicional 30,00</t>
        </r>
      </text>
    </comment>
    <comment ref="Q98" authorId="0" shapeId="0" xr:uid="{1EF5C93F-0A75-440A-AD8B-E5C9D75FE716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01 banho adicional 30,00</t>
        </r>
      </text>
    </comment>
    <comment ref="Q107" authorId="0" shapeId="0" xr:uid="{55CD1720-50F0-4F0C-8ACE-A603B39D517A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adicional banho 30,00
</t>
        </r>
      </text>
    </comment>
    <comment ref="Q141" authorId="0" shapeId="0" xr:uid="{0CD4F9AC-2B82-4F11-9F7A-BB3EED5BF0FB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Com ração Max Frango e Arroz
</t>
        </r>
      </text>
    </comment>
    <comment ref="Q145" authorId="0" shapeId="0" xr:uid="{3BB95CAE-3ABA-4B04-97F0-FCC73CB57D2F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1 ração Max 115,00
</t>
        </r>
      </text>
    </comment>
    <comment ref="P147" authorId="0" shapeId="0" xr:uid="{7C5C65F1-1F65-49A5-BF05-DE47AFD520B3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Incluso Frontline</t>
        </r>
      </text>
    </comment>
    <comment ref="Q147" authorId="0" shapeId="0" xr:uid="{2BA30487-FE45-4DF4-A2C2-11877E30946E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frontline 75,50</t>
        </r>
      </text>
    </comment>
    <comment ref="Q155" authorId="0" shapeId="0" xr:uid="{2BDFAB11-C637-4BD6-ACA4-A9064FC540E4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Incluir 130 janeiroVacinas + transporte
</t>
        </r>
      </text>
    </comment>
    <comment ref="P182" authorId="0" shapeId="0" xr:uid="{9563E323-C934-42A1-8998-69E5D5127E29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1 transporte com desconto valor 88,33
</t>
        </r>
      </text>
    </comment>
    <comment ref="Q182" authorId="0" shapeId="0" xr:uid="{9A3D1CD8-51C4-4E25-97E0-D70F8DBDDFE0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1 transporte com desconto valor 88,33
</t>
        </r>
      </text>
    </comment>
    <comment ref="Q188" authorId="0" shapeId="0" xr:uid="{2E693772-767C-4B83-B013-DB2B3886E0EA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2 banhos adicionais de 70,53</t>
        </r>
      </text>
    </comment>
    <comment ref="R188" authorId="0" shapeId="0" xr:uid="{36A41625-8784-44E1-9ED8-DACAF5126743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2 banhos adicionais de 70,53</t>
        </r>
      </text>
    </comment>
    <comment ref="Q193" authorId="0" shapeId="0" xr:uid="{004E60D1-8CEB-43DB-9EC2-59E26CE33553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Reajustar em Jan/20 com IGP-M</t>
        </r>
      </text>
    </comment>
    <comment ref="R195" authorId="1" shapeId="0" xr:uid="{3B6918D6-4E37-40D9-A3B5-0F470843DC8C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Royal Canin incluso</t>
        </r>
      </text>
    </comment>
    <comment ref="Q199" authorId="1" shapeId="0" xr:uid="{6E59A8FE-B7EC-4761-876C-B2BFDF95F1AB}">
      <text>
        <r>
          <rPr>
            <b/>
            <sz val="9"/>
            <color indexed="81"/>
            <rFont val="Segoe UI"/>
            <family val="2"/>
          </rPr>
          <t>João:</t>
        </r>
        <r>
          <rPr>
            <sz val="9"/>
            <color indexed="81"/>
            <rFont val="Segoe UI"/>
            <family val="2"/>
          </rPr>
          <t xml:space="preserve">
Acrescentado 114,50 da vacina giardia em Dez/20</t>
        </r>
      </text>
    </comment>
    <comment ref="R199" authorId="1" shapeId="0" xr:uid="{063F2AC5-D77D-4FF9-B727-DF0BA5E6F2B9}">
      <text>
        <r>
          <rPr>
            <b/>
            <sz val="9"/>
            <color indexed="81"/>
            <rFont val="Segoe UI"/>
            <family val="2"/>
          </rPr>
          <t>João:</t>
        </r>
        <r>
          <rPr>
            <sz val="9"/>
            <color indexed="81"/>
            <rFont val="Segoe UI"/>
            <family val="2"/>
          </rPr>
          <t xml:space="preserve">
Acrescentado 114,50 da vacina giardia em Dez/20</t>
        </r>
      </text>
    </comment>
    <comment ref="P206" authorId="0" shapeId="0" xr:uid="{8127E024-E13C-47C6-BF9B-E07D7B6273DD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Inlcuido 128,00 ração Max senior</t>
        </r>
      </text>
    </comment>
    <comment ref="R232" authorId="1" shapeId="0" xr:uid="{376804A4-4D8F-4221-9484-40EE39A9E06B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Incluido 30,00  ref banho adicional</t>
        </r>
      </text>
    </comment>
    <comment ref="R237" authorId="1" shapeId="0" xr:uid="{64AAF462-D90C-43C7-BD1E-2BA7A9D26453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Incluido 60,00 ref banho adicional</t>
        </r>
      </text>
    </comment>
    <comment ref="P238" authorId="0" shapeId="0" xr:uid="{7260DEEA-0CB5-4525-AC6F-4D6CCF418109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480 + 423,36 por adic
</t>
        </r>
      </text>
    </comment>
    <comment ref="Q238" authorId="1" shapeId="0" xr:uid="{5C929C5B-661A-41C8-A9E9-351901200149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530+467,46 por adicional</t>
        </r>
      </text>
    </comment>
    <comment ref="R238" authorId="1" shapeId="0" xr:uid="{EDE6C5B6-D0A8-40D5-A1F5-3AF8006DEF16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560 + 493,92 por adicional
no mês de Jan/21 foi adic 296,00 ref a estadia da nina de 14/12 a 02/01</t>
        </r>
      </text>
    </comment>
    <comment ref="L242" authorId="2" shapeId="0" xr:uid="{3933ADF7-6881-4AE2-9311-08FCD24E9C27}">
      <text>
        <r>
          <rPr>
            <b/>
            <sz val="11"/>
            <color indexed="81"/>
            <rFont val="Segoe UI"/>
            <family val="2"/>
          </rPr>
          <t>João Carlos:</t>
        </r>
        <r>
          <rPr>
            <sz val="11"/>
            <color indexed="81"/>
            <rFont val="Segoe UI"/>
            <family val="2"/>
          </rPr>
          <t xml:space="preserve">
A data de entrada foi dia 26/02/2022 porém por solicitação do cliente foi alterada data de pagamento para dia 01
</t>
        </r>
      </text>
    </comment>
    <comment ref="R268" authorId="1" shapeId="0" xr:uid="{52311338-892F-44A4-91C3-FC77F6E9F3CE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Aplicado reajuste 5,66%
Cobrado valor normal
560 + 504 (10% desc)
</t>
        </r>
      </text>
    </comment>
    <comment ref="P277" authorId="0" shapeId="0" xr:uid="{210AD530-D978-4262-BF7D-615123C34569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R$108,00 Ração MAX
</t>
        </r>
      </text>
    </comment>
    <comment ref="R277" authorId="1" shapeId="0" xr:uid="{2BA541AA-DB01-497F-9651-937EB670DC73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Não foi aplicado reajuste devido a recente desconto aplicado</t>
        </r>
      </text>
    </comment>
    <comment ref="P280" authorId="0" shapeId="0" xr:uid="{EE5DF2A9-8232-40A5-83A0-A63102611534}">
      <text>
        <r>
          <rPr>
            <b/>
            <sz val="9"/>
            <color indexed="81"/>
            <rFont val="Tahoma"/>
            <family val="2"/>
          </rPr>
          <t>Joao Santos:</t>
        </r>
        <r>
          <rPr>
            <sz val="9"/>
            <color indexed="81"/>
            <rFont val="Tahoma"/>
            <family val="2"/>
          </rPr>
          <t xml:space="preserve">
480 + 423,36 por adic
</t>
        </r>
      </text>
    </comment>
    <comment ref="Q280" authorId="1" shapeId="0" xr:uid="{EACB70E6-C770-4DB5-909E-563CA10989F9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530+467,46 por adicional</t>
        </r>
      </text>
    </comment>
    <comment ref="R280" authorId="1" shapeId="0" xr:uid="{6A754CD6-4C5D-4ACE-8493-69C9AA5DBA95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560 + 493,92 por adicional
no mês de Jan/21 foi adic 296,00 ref a estadia da nina de 14/12 a 02/01</t>
        </r>
      </text>
    </comment>
    <comment ref="T280" authorId="2" shapeId="0" xr:uid="{75793236-599B-434D-99E8-0CEE428D920B}">
      <text>
        <r>
          <rPr>
            <b/>
            <sz val="11"/>
            <color indexed="81"/>
            <rFont val="Segoe UI"/>
            <family val="2"/>
          </rPr>
          <t>João Carlos:</t>
        </r>
        <r>
          <rPr>
            <sz val="11"/>
            <color indexed="81"/>
            <rFont val="Segoe UI"/>
            <family val="2"/>
          </rPr>
          <t xml:space="preserve">
Valor 2023 desconsiderando saida do Fedor</t>
        </r>
      </text>
    </comment>
    <comment ref="L284" authorId="2" shapeId="0" xr:uid="{B8C01E50-ECBC-4E06-BD04-949D870B49CC}">
      <text>
        <r>
          <rPr>
            <b/>
            <sz val="11"/>
            <color indexed="81"/>
            <rFont val="Segoe UI"/>
            <family val="2"/>
          </rPr>
          <t>João Carlos:</t>
        </r>
        <r>
          <rPr>
            <sz val="11"/>
            <color indexed="81"/>
            <rFont val="Segoe UI"/>
            <family val="2"/>
          </rPr>
          <t xml:space="preserve">
Entrou dia 03/01/2021, mas pediu alteração do pagamento para dia 08</t>
        </r>
      </text>
    </comment>
    <comment ref="S293" authorId="2" shapeId="0" xr:uid="{542EE9FA-EB83-4E66-8E68-5C46D7FACC76}">
      <text>
        <r>
          <rPr>
            <b/>
            <sz val="11"/>
            <color indexed="81"/>
            <rFont val="Segoe UI"/>
            <family val="2"/>
          </rPr>
          <t>João Carlos:</t>
        </r>
        <r>
          <rPr>
            <sz val="11"/>
            <color indexed="81"/>
            <rFont val="Segoe UI"/>
            <family val="2"/>
          </rPr>
          <t xml:space="preserve">
Reajsute negociado de 5% em Janeiro/22 e 5,7143% em Julho/22
</t>
        </r>
      </text>
    </comment>
    <comment ref="P299" authorId="1" shapeId="0" xr:uid="{0EC3E7D6-316E-4EB7-8E43-865EE61B6D18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530+467,46 por adicional</t>
        </r>
      </text>
    </comment>
    <comment ref="Q299" authorId="1" shapeId="0" xr:uid="{E23651EE-C3E7-4DA6-AA97-EF0D3F69836B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560 + 493,92 por adicional
no mês de Jan/21 foi adic 296,00 ref a estadia da nina de 14/12 a 02/01</t>
        </r>
      </text>
    </comment>
    <comment ref="S299" authorId="2" shapeId="0" xr:uid="{71803C11-45F9-4C02-A5D5-7E5EA9FEA08C}">
      <text>
        <r>
          <rPr>
            <b/>
            <sz val="11"/>
            <color indexed="81"/>
            <rFont val="Segoe UI"/>
            <family val="2"/>
          </rPr>
          <t>João Carlos:</t>
        </r>
        <r>
          <rPr>
            <sz val="11"/>
            <color indexed="81"/>
            <rFont val="Segoe UI"/>
            <family val="2"/>
          </rPr>
          <t xml:space="preserve">
Valor 2023 desconsiderando saida do Fedor</t>
        </r>
      </text>
    </comment>
    <comment ref="R305" authorId="2" shapeId="0" xr:uid="{9ED2E52B-7B07-4332-91D1-9C9FA696C70A}">
      <text>
        <r>
          <rPr>
            <b/>
            <sz val="11"/>
            <color indexed="81"/>
            <rFont val="Segoe UI"/>
            <family val="2"/>
          </rPr>
          <t>João Carlos:</t>
        </r>
        <r>
          <rPr>
            <sz val="11"/>
            <color indexed="81"/>
            <rFont val="Segoe UI"/>
            <family val="2"/>
          </rPr>
          <t xml:space="preserve">
Descontado 160,00 do boleto porque foi tirada a ração do pacote de serviços e será cobrado a parte
</t>
        </r>
      </text>
    </comment>
    <comment ref="P327" authorId="1" shapeId="0" xr:uid="{6048629F-30DD-4C58-8F82-0BAF299B9F38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560 + 493,92 por adicional
no mês de Jan/21 foi adic 296,00 ref a estadia da nina de 14/12 a 02/01</t>
        </r>
      </text>
    </comment>
    <comment ref="R327" authorId="2" shapeId="0" xr:uid="{EAFE7392-1972-49C0-B0F6-9AE6D8EF5EF5}">
      <text>
        <r>
          <rPr>
            <b/>
            <sz val="11"/>
            <color indexed="81"/>
            <rFont val="Segoe UI"/>
            <family val="2"/>
          </rPr>
          <t>João Carlos:</t>
        </r>
        <r>
          <rPr>
            <sz val="11"/>
            <color indexed="81"/>
            <rFont val="Segoe UI"/>
            <family val="2"/>
          </rPr>
          <t xml:space="preserve">
Valor 2023 desconsiderando saida do Fedor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N21" authorId="0" shapeId="0" xr:uid="{88BE4F93-EF20-4FFE-BCB0-B185B64D6981}">
      <text>
        <r>
          <rPr>
            <b/>
            <sz val="9"/>
            <color indexed="81"/>
            <rFont val="Segoe UI"/>
            <family val="2"/>
          </rPr>
          <t>Dell:</t>
        </r>
        <r>
          <rPr>
            <sz val="9"/>
            <color indexed="81"/>
            <rFont val="Segoe UI"/>
            <family val="2"/>
          </rPr>
          <t xml:space="preserve">
Nina da Sra Neiva entrou em Dez/20 mas foi alocado em Abr/20 devido aos pagamentos</t>
        </r>
      </text>
    </comment>
  </commentList>
</comments>
</file>

<file path=xl/sharedStrings.xml><?xml version="1.0" encoding="utf-8"?>
<sst xmlns="http://schemas.openxmlformats.org/spreadsheetml/2006/main" count="4126" uniqueCount="2805">
  <si>
    <t xml:space="preserve">Bairro </t>
  </si>
  <si>
    <t xml:space="preserve">Telefone </t>
  </si>
  <si>
    <t>RG</t>
  </si>
  <si>
    <t xml:space="preserve">Nome </t>
  </si>
  <si>
    <t xml:space="preserve">Cep </t>
  </si>
  <si>
    <t xml:space="preserve">Valor </t>
  </si>
  <si>
    <t>CPF</t>
  </si>
  <si>
    <t xml:space="preserve">Endereço </t>
  </si>
  <si>
    <t xml:space="preserve">Email </t>
  </si>
  <si>
    <t xml:space="preserve">Nome do cão </t>
  </si>
  <si>
    <t>Data de pagamento</t>
  </si>
  <si>
    <t>TATUAPE</t>
  </si>
  <si>
    <t>AV ANTONIO JOAQUIM DE MOURA ANDRADE Nº 320</t>
  </si>
  <si>
    <t>VILA N. CONCEICAO(JD.PAULISTA</t>
  </si>
  <si>
    <t>04507-000</t>
  </si>
  <si>
    <t>44046182-0</t>
  </si>
  <si>
    <t>11 8912-5128</t>
  </si>
  <si>
    <t>FERNANDAVON@HOTMAIL.COM</t>
  </si>
  <si>
    <t>LIGIA FUMIKO MINAMI</t>
  </si>
  <si>
    <t xml:space="preserve">11 3341-7598 </t>
  </si>
  <si>
    <t xml:space="preserve">MARISA DE SOUZA SIQUEIRA </t>
  </si>
  <si>
    <t xml:space="preserve">11 3824-0005  </t>
  </si>
  <si>
    <t xml:space="preserve">RUA DOUTOR SERGIO MEIRA N° 230 APTO 81 - BL. 2 </t>
  </si>
  <si>
    <t>BARRA FUNDA</t>
  </si>
  <si>
    <t>01153-010</t>
  </si>
  <si>
    <t xml:space="preserve">massj@uol.com.br </t>
  </si>
  <si>
    <t>TOMI SAITO</t>
  </si>
  <si>
    <t xml:space="preserve">11 4443-1900    </t>
  </si>
  <si>
    <t xml:space="preserve">RUA CAPIVARINHAS  N° 54  </t>
  </si>
  <si>
    <t xml:space="preserve">ALTO DE PINHEIROS   </t>
  </si>
  <si>
    <t>05458-010</t>
  </si>
  <si>
    <t xml:space="preserve">tomiakio@gmail.com  </t>
  </si>
  <si>
    <t xml:space="preserve">FERNANDA CAROLINA HILARIO DE CAMPOS  </t>
  </si>
  <si>
    <t xml:space="preserve">30769370-3 </t>
  </si>
  <si>
    <t>11 2364-9105</t>
  </si>
  <si>
    <t xml:space="preserve">RUA PADRE JOAO GUALBERTO N°581  APTO 15 A </t>
  </si>
  <si>
    <t xml:space="preserve">IMIRIM </t>
  </si>
  <si>
    <t>02537-000</t>
  </si>
  <si>
    <t xml:space="preserve">fernanda.carolina@hotmail.com </t>
  </si>
  <si>
    <t>PRETA</t>
  </si>
  <si>
    <t xml:space="preserve">WAGNER FARIAS DE ANDRADE   </t>
  </si>
  <si>
    <t xml:space="preserve">8.946.325-0  </t>
  </si>
  <si>
    <t>11 2097-3959</t>
  </si>
  <si>
    <t xml:space="preserve">RUA TEIXEIRA DE MELO  n°225  APTO 224    </t>
  </si>
  <si>
    <t>03067-000</t>
  </si>
  <si>
    <t>andrade.nesp@gmail.com</t>
  </si>
  <si>
    <t>PLUG</t>
  </si>
  <si>
    <t xml:space="preserve">PRISCILA ROSANETE DOS REIS   </t>
  </si>
  <si>
    <t>11 9551-0046</t>
  </si>
  <si>
    <t xml:space="preserve">RUA MINAS GERAIS N°428  APTO 107     </t>
  </si>
  <si>
    <t xml:space="preserve">HIGIENOPOLIS  </t>
  </si>
  <si>
    <t>01244-010</t>
  </si>
  <si>
    <t>pri.reis@gmail.com</t>
  </si>
  <si>
    <t>CHE GUEVARA</t>
  </si>
  <si>
    <t xml:space="preserve">THAI </t>
  </si>
  <si>
    <t xml:space="preserve">MARIA CRISTINA HOLTMANN   </t>
  </si>
  <si>
    <t xml:space="preserve">11 3288-1500   </t>
  </si>
  <si>
    <t>RUA DR° BRASILIO MACHADO, 218 - APTO 152</t>
  </si>
  <si>
    <t>SANTA CECILIA</t>
  </si>
  <si>
    <t>01230-010</t>
  </si>
  <si>
    <t>TAIO</t>
  </si>
  <si>
    <t>QDE DE CÃES</t>
  </si>
  <si>
    <t>SANTANA</t>
  </si>
  <si>
    <t>MOEMA</t>
  </si>
  <si>
    <t>329474088-37</t>
  </si>
  <si>
    <t>879622258-15</t>
  </si>
  <si>
    <t>305666628-76</t>
  </si>
  <si>
    <t>055798348-70</t>
  </si>
  <si>
    <t>169881668-58</t>
  </si>
  <si>
    <t>230974978-89</t>
  </si>
  <si>
    <t>941442148-34</t>
  </si>
  <si>
    <t>FERNANDA LOPES VONKUTZLEBEN</t>
  </si>
  <si>
    <t>339251428-43</t>
  </si>
  <si>
    <t xml:space="preserve">cris.pastore@yahoo.com.br </t>
  </si>
  <si>
    <t>MARINA SOARES PORFIRIO DE SOUZA</t>
  </si>
  <si>
    <t xml:space="preserve">11 2619-1459   </t>
  </si>
  <si>
    <t xml:space="preserve">marinaspsouza@hotmail.com </t>
  </si>
  <si>
    <t>SPIKE</t>
  </si>
  <si>
    <t>996872168-91</t>
  </si>
  <si>
    <t>Cidade</t>
  </si>
  <si>
    <t>Santo André</t>
  </si>
  <si>
    <t>São Paulo</t>
  </si>
  <si>
    <t>São Bernardo do Campo</t>
  </si>
  <si>
    <t>Dia</t>
  </si>
  <si>
    <t>Total</t>
  </si>
  <si>
    <t>GABRIELLE HEIN COCA</t>
  </si>
  <si>
    <t>gabrielle_hein@yahoo.com.br</t>
  </si>
  <si>
    <t>ANA PAULA DE OLIVEIRA VIEIRA</t>
  </si>
  <si>
    <t>50320046-3</t>
  </si>
  <si>
    <t>11 3763-3068</t>
  </si>
  <si>
    <t>apovieira@yahoo.com</t>
  </si>
  <si>
    <t xml:space="preserve">44.199.121-X </t>
  </si>
  <si>
    <t xml:space="preserve">11 3063-4852 </t>
  </si>
  <si>
    <t xml:space="preserve">ESTRADA DOS INDIOS, 342 </t>
  </si>
  <si>
    <t>042486506-81</t>
  </si>
  <si>
    <t>337582838-17</t>
  </si>
  <si>
    <t>ARUJA</t>
  </si>
  <si>
    <t>ARUJAZINHO 04</t>
  </si>
  <si>
    <t>07400-000</t>
  </si>
  <si>
    <t xml:space="preserve">AVENIDA NOVA CANTAREIRA n° 1076  APTO 114    </t>
  </si>
  <si>
    <t xml:space="preserve">TUCURUVI  </t>
  </si>
  <si>
    <t>02330-001</t>
  </si>
  <si>
    <t>MIREIA VILA GARCIA</t>
  </si>
  <si>
    <t>34425320-X</t>
  </si>
  <si>
    <t>11 5055-3402</t>
  </si>
  <si>
    <t>04524-001</t>
  </si>
  <si>
    <t>AGATHA</t>
  </si>
  <si>
    <t>220156098-65</t>
  </si>
  <si>
    <t>SÃO PAULO</t>
  </si>
  <si>
    <t>PAULA MATHIAS GOMES</t>
  </si>
  <si>
    <t>11 2369-5248</t>
  </si>
  <si>
    <t>mathiaspaula9540@hotmail.com</t>
  </si>
  <si>
    <t>BUSTER</t>
  </si>
  <si>
    <t>222644058-56</t>
  </si>
  <si>
    <t>GLADSTONE DE JESUS CARDOSO</t>
  </si>
  <si>
    <t>M1477793</t>
  </si>
  <si>
    <t>371952556-20</t>
  </si>
  <si>
    <t>11 4362-5491</t>
  </si>
  <si>
    <t>Av. Senador Vergueiro Nº 1320 APTO 02</t>
  </si>
  <si>
    <t>JARDIM TRES MARIAS</t>
  </si>
  <si>
    <t>09750-001</t>
  </si>
  <si>
    <t>miguel.rc@bol.com.br</t>
  </si>
  <si>
    <t>JUNINHO</t>
  </si>
  <si>
    <t>Total Geral</t>
  </si>
  <si>
    <t>ANGELINA DE OLIVEIRA SOUZA</t>
  </si>
  <si>
    <t xml:space="preserve">11 3774-6239 </t>
  </si>
  <si>
    <t xml:space="preserve">RUA PEDRO DOLL N°269 APTO 32 </t>
  </si>
  <si>
    <t>02404-000</t>
  </si>
  <si>
    <t xml:space="preserve">geldeoliveira@hotmail.com    </t>
  </si>
  <si>
    <t>FRED</t>
  </si>
  <si>
    <t>326214328-67</t>
  </si>
  <si>
    <t>ANA CRISTINA COLLOR</t>
  </si>
  <si>
    <t>21 2146-4182</t>
  </si>
  <si>
    <t xml:space="preserve">AVENIDA PREFEITO DUCIDIO CARDOSO N°1100 BLC. II - APTº 403  </t>
  </si>
  <si>
    <t>BARRA DA TIJUCA</t>
  </si>
  <si>
    <t>Rio de Janeiro</t>
  </si>
  <si>
    <t>22620-311</t>
  </si>
  <si>
    <t xml:space="preserve">anapetrone@uol.com.br  </t>
  </si>
  <si>
    <t>HANNA</t>
  </si>
  <si>
    <t>RENATA CRISTINA MARCILIO</t>
  </si>
  <si>
    <t xml:space="preserve">11 3563-9037   </t>
  </si>
  <si>
    <t>RUA FILIPINAS n°235 apto 2304</t>
  </si>
  <si>
    <t>ALTO DA LAPA</t>
  </si>
  <si>
    <t>05083-120</t>
  </si>
  <si>
    <t xml:space="preserve">renata_mar@hotmail.com    </t>
  </si>
  <si>
    <t>GODOFREDO</t>
  </si>
  <si>
    <t>142372768-13</t>
  </si>
  <si>
    <t>191250328-01</t>
  </si>
  <si>
    <t>ANA HELENA DE CAMPOS</t>
  </si>
  <si>
    <t xml:space="preserve">11 2609-1545  </t>
  </si>
  <si>
    <t xml:space="preserve">RUA CORINTO  n° 199 APTO 181 M  </t>
  </si>
  <si>
    <t>VILA INDIANA</t>
  </si>
  <si>
    <t>05586-060</t>
  </si>
  <si>
    <t xml:space="preserve">decamposah@gmail.com </t>
  </si>
  <si>
    <t>TRUPPY</t>
  </si>
  <si>
    <t>EDUARDO NUNES VILARINHO</t>
  </si>
  <si>
    <t xml:space="preserve">11 9276-4942    </t>
  </si>
  <si>
    <t xml:space="preserve">AVENIDA ANGELICA N°2190 APTO 125  </t>
  </si>
  <si>
    <t>CONSOLAÇÃO</t>
  </si>
  <si>
    <t>01228-200</t>
  </si>
  <si>
    <t xml:space="preserve">eduardvilarinho@uol.com.br  </t>
  </si>
  <si>
    <t>BACO</t>
  </si>
  <si>
    <t>Emitido boleto Jul a dez_12</t>
  </si>
  <si>
    <t>206085958-10</t>
  </si>
  <si>
    <t>339678418-98</t>
  </si>
  <si>
    <t>DDA</t>
  </si>
  <si>
    <t>JACK</t>
  </si>
  <si>
    <t>Mês</t>
  </si>
  <si>
    <t>Ano</t>
  </si>
  <si>
    <t>(vazio)</t>
  </si>
  <si>
    <t>2010 Total</t>
  </si>
  <si>
    <t>2011 Total</t>
  </si>
  <si>
    <t>2012 Total</t>
  </si>
  <si>
    <t>Soma de QDE DE CÃES</t>
  </si>
  <si>
    <t>ALCINDO HEBLING JUNIOR</t>
  </si>
  <si>
    <t>11 5183-3654</t>
  </si>
  <si>
    <t>RUA ALEXANDRE DUMAS N°1410, APTO 42</t>
  </si>
  <si>
    <t>CHACARA SANTO ANTONIO</t>
  </si>
  <si>
    <t>04717-003</t>
  </si>
  <si>
    <t>rhebling@me.com</t>
  </si>
  <si>
    <t>073356968-44</t>
  </si>
  <si>
    <t xml:space="preserve">LUCIA HELENA JORGE DE AZEVEDO  </t>
  </si>
  <si>
    <t xml:space="preserve">11  3564-4337   </t>
  </si>
  <si>
    <t>lucinhadubladora@uol.com.br</t>
  </si>
  <si>
    <t>041032858-85</t>
  </si>
  <si>
    <t>TOBI</t>
  </si>
  <si>
    <t xml:space="preserve">40.633.923-5  </t>
  </si>
  <si>
    <t xml:space="preserve">11 2503-3359  </t>
  </si>
  <si>
    <t>ZEUS</t>
  </si>
  <si>
    <t>SUELI DI MAURO</t>
  </si>
  <si>
    <t xml:space="preserve">thalita.nobrega@itaubba.com  </t>
  </si>
  <si>
    <t xml:space="preserve">11 9770-3734 </t>
  </si>
  <si>
    <t xml:space="preserve">RUA UBIRACICA N° 460 A </t>
  </si>
  <si>
    <t>BOAÇAVA</t>
  </si>
  <si>
    <t>05470-020</t>
  </si>
  <si>
    <t>suelidimauro@hotmail.com</t>
  </si>
  <si>
    <t>THALITA JOAZEIRO DA NOBREGA</t>
  </si>
  <si>
    <t xml:space="preserve">11 3461-5600    </t>
  </si>
  <si>
    <t>RUA FILIPINAS n°235 apto 2203</t>
  </si>
  <si>
    <t>PHILL</t>
  </si>
  <si>
    <t xml:space="preserve">MAYLOW </t>
  </si>
  <si>
    <t>eduardobernardes@ig.com.br</t>
  </si>
  <si>
    <t>01454-010</t>
  </si>
  <si>
    <t xml:space="preserve">CRISTINA FERNANDEZ VARELA   </t>
  </si>
  <si>
    <t>194.410.098-90</t>
  </si>
  <si>
    <t xml:space="preserve">20473710-2     </t>
  </si>
  <si>
    <t xml:space="preserve">11 99449-3739   </t>
  </si>
  <si>
    <t>DEXTER</t>
  </si>
  <si>
    <t>cristina.varela@ge.com</t>
  </si>
  <si>
    <t>REGIANE BIONDO PAIVA</t>
  </si>
  <si>
    <t>47192022-8</t>
  </si>
  <si>
    <t>11 3815-1574</t>
  </si>
  <si>
    <t>RUA NAVARRO DE ANDRADE, 284 APTO 06</t>
  </si>
  <si>
    <t>FREDY</t>
  </si>
  <si>
    <t>PINHEIROS</t>
  </si>
  <si>
    <t>05418-020</t>
  </si>
  <si>
    <t>RUA EULO MARONI N°171 BLC05 APTO 31</t>
  </si>
  <si>
    <t>VILA LAGEADO</t>
  </si>
  <si>
    <t>regiane.paiva@escribanet.com.br</t>
  </si>
  <si>
    <t>MARIA CECILIA SOBRAL</t>
  </si>
  <si>
    <t xml:space="preserve">11 3887-9767  </t>
  </si>
  <si>
    <t>mcsobral@yahoo.com.br</t>
  </si>
  <si>
    <t>DANIELA LUCAS PEDRO</t>
  </si>
  <si>
    <t>VILA MIRA</t>
  </si>
  <si>
    <t>04377-060</t>
  </si>
  <si>
    <t>SUZI</t>
  </si>
  <si>
    <t>RUA CAJAIBA N° 389 APTO 21</t>
  </si>
  <si>
    <t>POMPEIA</t>
  </si>
  <si>
    <t>RUA COPACABANA N°406 APTO 92</t>
  </si>
  <si>
    <t>SANTA TEREZINHA</t>
  </si>
  <si>
    <t>RUA SANTO ANDRÉ N° 430 APTO 54</t>
  </si>
  <si>
    <t>VILA ASSUNÇÃO</t>
  </si>
  <si>
    <t>09020-230</t>
  </si>
  <si>
    <t>JARDIM PAULISTANO</t>
  </si>
  <si>
    <t>RUA PROFESSOR ARTHUR RAMOS N°204 APTO 101</t>
  </si>
  <si>
    <t>EDUARDO BERNARDES</t>
  </si>
  <si>
    <t>RUA LEOPOLDO COUTO DE MAGALHÃES JUNIOR N°540 Apto 103</t>
  </si>
  <si>
    <t>Rua Loureiro da Cruz, 354 apto 22-Aclimação</t>
  </si>
  <si>
    <t>ACLIMAÇÃO</t>
  </si>
  <si>
    <t>01529-020</t>
  </si>
  <si>
    <t>ITAIM BIBI</t>
  </si>
  <si>
    <t>05338-100</t>
  </si>
  <si>
    <t>403647498-73</t>
  </si>
  <si>
    <t>47.599.094-8</t>
  </si>
  <si>
    <t xml:space="preserve">mireia.vilagarcia@gmail.com </t>
  </si>
  <si>
    <t>02461-000</t>
  </si>
  <si>
    <t>RUA BELMIRO ZANETTI ESTEVES, 223 CASA 2</t>
  </si>
  <si>
    <t>2013 Total</t>
  </si>
  <si>
    <t>ALAMEDA DOS ARAPANES n° 1084 apto 182</t>
  </si>
  <si>
    <t>JAYME FERNANDEZ</t>
  </si>
  <si>
    <t xml:space="preserve">11-999620702     </t>
  </si>
  <si>
    <t>RUA CAMILO NADER  123 APTO 81</t>
  </si>
  <si>
    <t xml:space="preserve">VILA MORUMBI          </t>
  </si>
  <si>
    <t>05688-031</t>
  </si>
  <si>
    <t xml:space="preserve">recopelli@hotmail.com                                       </t>
  </si>
  <si>
    <t>TONHO</t>
  </si>
  <si>
    <t>JOTA</t>
  </si>
  <si>
    <t xml:space="preserve">luciar@telefonica.com      </t>
  </si>
  <si>
    <t xml:space="preserve">11 2955-4370   </t>
  </si>
  <si>
    <t>RUA RUBENS MEIRELLES 105 APTO 31 MAGIC</t>
  </si>
  <si>
    <t>VARZEA DA BARRA FUNDA</t>
  </si>
  <si>
    <t>01141-000</t>
  </si>
  <si>
    <t>NEIVA DOURADO MARTINS MENDES</t>
  </si>
  <si>
    <t xml:space="preserve">11 4121-7832     </t>
  </si>
  <si>
    <t>RUA DOMICIANO ROSSI 600 APTO193 H</t>
  </si>
  <si>
    <t>SÃO BERNARDO DO CAMPO</t>
  </si>
  <si>
    <t>09726-121</t>
  </si>
  <si>
    <t>ANDRE GEORG GRUNGLASSE</t>
  </si>
  <si>
    <t xml:space="preserve">11 3262-0608   </t>
  </si>
  <si>
    <t>ALAMEDA MINISTRO ROCHA DE AZEVEDO, 545 APTO 61</t>
  </si>
  <si>
    <t>CERQUEIRA CESAR</t>
  </si>
  <si>
    <t>andregrun69@hotmail.com</t>
  </si>
  <si>
    <t>KURA</t>
  </si>
  <si>
    <t>CLIMERIO PEREIRA DO NASCIMENTO JUNIOR</t>
  </si>
  <si>
    <t>50780525-2</t>
  </si>
  <si>
    <t>932190244-91</t>
  </si>
  <si>
    <t>11 4305-6059</t>
  </si>
  <si>
    <t>RUA JUREIA, 299</t>
  </si>
  <si>
    <t>CHACARA INGLESA</t>
  </si>
  <si>
    <t>climeriojr@yahoo.com.br</t>
  </si>
  <si>
    <t>SANSÃO</t>
  </si>
  <si>
    <t>NINA</t>
  </si>
  <si>
    <t>EMITIDO JUL A DEZ 14</t>
  </si>
  <si>
    <t>EMITIDO JUL A SET 14</t>
  </si>
  <si>
    <t>LUCIA IRENE ROCCA MONTEIRO</t>
  </si>
  <si>
    <t xml:space="preserve">ALEXANDRINA TOMAZINI TEIXEIRA DOS SANTOS      </t>
  </si>
  <si>
    <t>063.790.858-90</t>
  </si>
  <si>
    <t>11 3971-8617</t>
  </si>
  <si>
    <t>Rua SANTO AMARO 766 APTO 154 A</t>
  </si>
  <si>
    <t>BELA VISTA</t>
  </si>
  <si>
    <t>01315-000</t>
  </si>
  <si>
    <t xml:space="preserve">alexsp74@hotmail.com </t>
  </si>
  <si>
    <t>SOPHIA</t>
  </si>
  <si>
    <t>AMANDA KUHLMANN DE MELLO ANGERAMI</t>
  </si>
  <si>
    <t>29.763.214-6</t>
  </si>
  <si>
    <t>11 5083-1458</t>
  </si>
  <si>
    <t>RUA  JORGE TIBIRIÇA, 159 APTO 63</t>
  </si>
  <si>
    <t>VILA MARIANA</t>
  </si>
  <si>
    <t xml:space="preserve">amandakangerami@gmail.com                                   </t>
  </si>
  <si>
    <t>MEL E CHE GUEVARA</t>
  </si>
  <si>
    <t>351976598-58</t>
  </si>
  <si>
    <t>BRUNELLA MAR</t>
  </si>
  <si>
    <t>11 97283-2929</t>
  </si>
  <si>
    <t>VILA VERMELHA</t>
  </si>
  <si>
    <t>04297-000</t>
  </si>
  <si>
    <t>brunella.mar@terra.com.br</t>
  </si>
  <si>
    <t>NEGÃO</t>
  </si>
  <si>
    <t>CAMILA MOYA ALBERA DA COSTA</t>
  </si>
  <si>
    <t>11 5521-6564</t>
  </si>
  <si>
    <t>RUA VERGUEIRO 8993 BLC 2 APTO 14</t>
  </si>
  <si>
    <t>?</t>
  </si>
  <si>
    <t>camilamoya@picture.com.br</t>
  </si>
  <si>
    <t>NENE</t>
  </si>
  <si>
    <t>CRISTIANE DE SANTANA MONTEIRO</t>
  </si>
  <si>
    <t xml:space="preserve">11-97330-6120 </t>
  </si>
  <si>
    <t xml:space="preserve">AV. MARQUES DE SAO VICENTE  2914 APTO 144 A                              </t>
  </si>
  <si>
    <t xml:space="preserve">csmonteiro@ig.com.br      </t>
  </si>
  <si>
    <t>DANIEL HABERER</t>
  </si>
  <si>
    <t>W368408</t>
  </si>
  <si>
    <t>11 98122-8818</t>
  </si>
  <si>
    <t>RUA IBIAPINOPOLIS, 947 APTO 91</t>
  </si>
  <si>
    <t>01457-030</t>
  </si>
  <si>
    <t xml:space="preserve">daniel@cosmotrade.com.br     </t>
  </si>
  <si>
    <t>SANNY</t>
  </si>
  <si>
    <t>EDUARDO ARANTES BARCELLOS</t>
  </si>
  <si>
    <t>11 3807-5611</t>
  </si>
  <si>
    <t>AL TALIA, 37 CONDOMINIO JARDIM IOLANDA</t>
  </si>
  <si>
    <t xml:space="preserve">TABOÃO DA SERRA </t>
  </si>
  <si>
    <t>edubarcellos@uol.com.br</t>
  </si>
  <si>
    <t>LUNA</t>
  </si>
  <si>
    <t>LUIZ FRANCISCO TORQUATO AVOLIO</t>
  </si>
  <si>
    <t>11 3063-4627</t>
  </si>
  <si>
    <t>ALAMEDA CASA BRANCA, 978 APTO 151</t>
  </si>
  <si>
    <t xml:space="preserve">lfavolio@uol.com.br      </t>
  </si>
  <si>
    <t>CHICO</t>
  </si>
  <si>
    <t>MARIA FERNANDA RIGO CAVINATO</t>
  </si>
  <si>
    <t>25943880-7</t>
  </si>
  <si>
    <t>368990678-46</t>
  </si>
  <si>
    <t>11 999887550</t>
  </si>
  <si>
    <t xml:space="preserve">RUA TIRADENTES, 95 APTO 33 </t>
  </si>
  <si>
    <t>CENTRO</t>
  </si>
  <si>
    <t>09780-000</t>
  </si>
  <si>
    <t xml:space="preserve">mfrcavinato@gmail.com  </t>
  </si>
  <si>
    <t>ZUKE</t>
  </si>
  <si>
    <t>MARIANGELA ALVAREZ YAMIM</t>
  </si>
  <si>
    <t>11 3501-1325</t>
  </si>
  <si>
    <t>RUA JOSÉ CARLOS DE TOLEDO PIZA, 149 APTO 23</t>
  </si>
  <si>
    <t>JARDIM PARQUE MORUMBI</t>
  </si>
  <si>
    <t>05712-070</t>
  </si>
  <si>
    <t xml:space="preserve">mary.yamin@gmail.com   </t>
  </si>
  <si>
    <t>JERRY</t>
  </si>
  <si>
    <t>PAULO RENATO BATISTA ALEXANDRE</t>
  </si>
  <si>
    <t>05516900-7</t>
  </si>
  <si>
    <t>52 777-1109129</t>
  </si>
  <si>
    <t xml:space="preserve">AVENIDA . JANDIRA, 79 BLC A APTO 24 </t>
  </si>
  <si>
    <t>04080-007</t>
  </si>
  <si>
    <t xml:space="preserve">paulorenatoba@yahoo.com   </t>
  </si>
  <si>
    <t>CONCA E BILLY</t>
  </si>
  <si>
    <t>EMITIDO OUT A DEZ 14</t>
  </si>
  <si>
    <t>129154208-66</t>
  </si>
  <si>
    <t>023116948-55</t>
  </si>
  <si>
    <t>2014 Total</t>
  </si>
  <si>
    <t>FAISCA</t>
  </si>
  <si>
    <t xml:space="preserve">JOÃO BATISTA SANTANA       </t>
  </si>
  <si>
    <t xml:space="preserve">4.136.945-22 </t>
  </si>
  <si>
    <t xml:space="preserve">11-5562-4254  </t>
  </si>
  <si>
    <t xml:space="preserve">VILA STA. CATARINA    </t>
  </si>
  <si>
    <t>04369-000</t>
  </si>
  <si>
    <t xml:space="preserve">jotabe.santana@uol.com.br   </t>
  </si>
  <si>
    <t>BELLA</t>
  </si>
  <si>
    <t>LUCAS FERNANDES DIAS</t>
  </si>
  <si>
    <t>082.284.866-00</t>
  </si>
  <si>
    <t xml:space="preserve">11-98663-4661   </t>
  </si>
  <si>
    <t>RUA AUGUSTA 554 APTO 41</t>
  </si>
  <si>
    <t xml:space="preserve">CONSOLAÇÃO   </t>
  </si>
  <si>
    <t xml:space="preserve">dsinerlucas@hotmail.com   </t>
  </si>
  <si>
    <t>JUANNA</t>
  </si>
  <si>
    <t>23/1014</t>
  </si>
  <si>
    <t>EMITIDO JAN A JUN 2015</t>
  </si>
  <si>
    <t>EMITIDO JAN A JUN 15</t>
  </si>
  <si>
    <t>194222968-20</t>
  </si>
  <si>
    <t xml:space="preserve">RUA CONTOS GAUCHESCOS 251  </t>
  </si>
  <si>
    <t>ANA CLAUDIA CUNHA TRAVASSOS</t>
  </si>
  <si>
    <t xml:space="preserve">11-982446128 </t>
  </si>
  <si>
    <t xml:space="preserve">AV. GUILHERME DUMONT VILLARES, 2001 APTO 13 </t>
  </si>
  <si>
    <t>JD LONDRINA</t>
  </si>
  <si>
    <t xml:space="preserve">acctravassos@gmail.com      </t>
  </si>
  <si>
    <t>NICK E MEL</t>
  </si>
  <si>
    <t>245768928-78</t>
  </si>
  <si>
    <t>RENATA DE CARVALHO PINTO BUENO</t>
  </si>
  <si>
    <t xml:space="preserve">11 33617185  </t>
  </si>
  <si>
    <t>SAUSALITO</t>
  </si>
  <si>
    <t>MAIRIPORÃ</t>
  </si>
  <si>
    <t xml:space="preserve">renata@gaiolaestudio.com.br </t>
  </si>
  <si>
    <t>AZUL E RAICA</t>
  </si>
  <si>
    <t>JOSÉ FRANCISCO RODRIGUES DA SILVA</t>
  </si>
  <si>
    <t xml:space="preserve">20412865-1          </t>
  </si>
  <si>
    <t xml:space="preserve">11 4152-3397                            </t>
  </si>
  <si>
    <t xml:space="preserve">ALAMEDA PEROLA, 194  ALPHAVILLE 9             </t>
  </si>
  <si>
    <t xml:space="preserve">SANTANA DO PARNAIBA        </t>
  </si>
  <si>
    <t xml:space="preserve">josefranciscosilva77@gmail.com      </t>
  </si>
  <si>
    <t>BLACK E HANNA</t>
  </si>
  <si>
    <t>RODRIGO SERVIO VERGARA</t>
  </si>
  <si>
    <t xml:space="preserve">19404112-8     </t>
  </si>
  <si>
    <t xml:space="preserve">11-996395266 </t>
  </si>
  <si>
    <t>RUA  SÃO BENTO, 2583 JARDIM PRIMAVERA</t>
  </si>
  <si>
    <t xml:space="preserve">JARDIM PRIMAVERA       </t>
  </si>
  <si>
    <t xml:space="preserve">rodrigosvergara@gmail.com </t>
  </si>
  <si>
    <t>VOS E CHE</t>
  </si>
  <si>
    <t>VANESSA MUN HEE KIM</t>
  </si>
  <si>
    <t xml:space="preserve">V172174U  </t>
  </si>
  <si>
    <t xml:space="preserve">RUA BRIGADEIRO GALVÃO,127 APTO 55 </t>
  </si>
  <si>
    <t xml:space="preserve">v.mhkim@gmail.com   </t>
  </si>
  <si>
    <t xml:space="preserve">TOMMY </t>
  </si>
  <si>
    <t>282496648-33</t>
  </si>
  <si>
    <t>084705668-65</t>
  </si>
  <si>
    <t>138735788-32</t>
  </si>
  <si>
    <t>366077308-50</t>
  </si>
  <si>
    <t>06540-245</t>
  </si>
  <si>
    <t>01151-000</t>
  </si>
  <si>
    <t>07600-000</t>
  </si>
  <si>
    <t xml:space="preserve">RUA CAJUEIRO, 57 </t>
  </si>
  <si>
    <t xml:space="preserve">VANESSA BARBIERI       </t>
  </si>
  <si>
    <t>ALAMEDA JOAQUIM EUGENIO DE LIMA, 881 APTO 1307</t>
  </si>
  <si>
    <t>JARDIM PAULISTA</t>
  </si>
  <si>
    <t xml:space="preserve">farfallablue@uol.com.br      </t>
  </si>
  <si>
    <t>ZICO</t>
  </si>
  <si>
    <t>281205228-77</t>
  </si>
  <si>
    <t>01403-001</t>
  </si>
  <si>
    <t>2015 Total</t>
  </si>
  <si>
    <t>276845858-94</t>
  </si>
  <si>
    <t>AV. PE ARLINDO VIEIRA , 700 - APTO 164B</t>
  </si>
  <si>
    <t>MARIZILDA ESCUDEIRO DE OLIVEIRA</t>
  </si>
  <si>
    <t xml:space="preserve">8784813-2      </t>
  </si>
  <si>
    <t>AV. SARGENTO GERALDO SANTANA 1100 BLC 12 APTO 34</t>
  </si>
  <si>
    <t>JARDIM TAQUARAL</t>
  </si>
  <si>
    <t xml:space="preserve">marizilda.escudeiro@gmail.com    </t>
  </si>
  <si>
    <t>SIMBA</t>
  </si>
  <si>
    <t>KARINA ROLIM PEREIRA DOS SANTOS</t>
  </si>
  <si>
    <t xml:space="preserve">11 2309-9402 </t>
  </si>
  <si>
    <t xml:space="preserve">RUA ANTONIO AGGIO,400 APTO 41 </t>
  </si>
  <si>
    <t>JARDIM AMPLIAÇÃO</t>
  </si>
  <si>
    <t>05713-420</t>
  </si>
  <si>
    <t xml:space="preserve">karinarolim@hotmail.com </t>
  </si>
  <si>
    <t>VALENTINO</t>
  </si>
  <si>
    <t>EMITIDO DE JULHO A DEZ15</t>
  </si>
  <si>
    <t>ligia.gepe@gmail.com&gt;</t>
  </si>
  <si>
    <t>danishadowcat@yahoo.com.br</t>
  </si>
  <si>
    <t>05640-003</t>
  </si>
  <si>
    <t>251289448-75</t>
  </si>
  <si>
    <t>326189408-30</t>
  </si>
  <si>
    <t>355677048-28</t>
  </si>
  <si>
    <t>816441838-20</t>
  </si>
  <si>
    <t>253550098-16</t>
  </si>
  <si>
    <t>316771568-56</t>
  </si>
  <si>
    <t>052771178-06</t>
  </si>
  <si>
    <t>040203438-45</t>
  </si>
  <si>
    <t>034823648-42</t>
  </si>
  <si>
    <t>044598338-83</t>
  </si>
  <si>
    <t>030283108-80</t>
  </si>
  <si>
    <t>387443718-37</t>
  </si>
  <si>
    <t>284528128-50</t>
  </si>
  <si>
    <t>368500578-20</t>
  </si>
  <si>
    <t xml:space="preserve">11 56773454 </t>
  </si>
  <si>
    <t xml:space="preserve">11 991317217                            </t>
  </si>
  <si>
    <t xml:space="preserve">11 32665403    </t>
  </si>
  <si>
    <t xml:space="preserve">11 97313-4004   </t>
  </si>
  <si>
    <t xml:space="preserve">05516900-7   </t>
  </si>
  <si>
    <t>11 2769-3572</t>
  </si>
  <si>
    <t>AV. JANDIRA, 79 BLOCÃO A APTO 24</t>
  </si>
  <si>
    <t xml:space="preserve">paulorenatoba@yahoo.com  </t>
  </si>
  <si>
    <t>BILLY</t>
  </si>
  <si>
    <t>EMITIDO DE JULHO A SET15</t>
  </si>
  <si>
    <t>CAIO PEREIRA PINTO</t>
  </si>
  <si>
    <t xml:space="preserve">41470681X     </t>
  </si>
  <si>
    <t>RUA ELISA SILVEIRA, 397</t>
  </si>
  <si>
    <t xml:space="preserve">CS VILA SANTO ESTÉFANO </t>
  </si>
  <si>
    <t>caioinbox@gmail.com</t>
  </si>
  <si>
    <t>MHELL</t>
  </si>
  <si>
    <t>11 9 4727-2910</t>
  </si>
  <si>
    <t xml:space="preserve">RUA NOSSA SENHORA DA SAÚDE, 287 APTO 68 BLC II </t>
  </si>
  <si>
    <t>VILA SANTO ESTEFANO</t>
  </si>
  <si>
    <t xml:space="preserve">christianyegh@gmail.com       </t>
  </si>
  <si>
    <t>CHRISTIAN MESQUITA YEGH</t>
  </si>
  <si>
    <t>DONATELLA</t>
  </si>
  <si>
    <t>MAURICIO TADEU DI GIORGIO</t>
  </si>
  <si>
    <t>3797447-6</t>
  </si>
  <si>
    <t>595504228-87</t>
  </si>
  <si>
    <t>11 94190-1295</t>
  </si>
  <si>
    <t>AV. BARTOLOMEU DE GUSMÃO, 17 APTO 121 BLOCO GRAUSSAS</t>
  </si>
  <si>
    <t>BOQUEIRÃO</t>
  </si>
  <si>
    <t>SANTOS</t>
  </si>
  <si>
    <t>04152-000</t>
  </si>
  <si>
    <t>11045-400</t>
  </si>
  <si>
    <t>mtgiorgio@uol.com.br</t>
  </si>
  <si>
    <t>NERO</t>
  </si>
  <si>
    <t>836537407-20</t>
  </si>
  <si>
    <t>340766688-80</t>
  </si>
  <si>
    <t>292738368-52</t>
  </si>
  <si>
    <t>04159-000</t>
  </si>
  <si>
    <t>PANDORA</t>
  </si>
  <si>
    <t>NED</t>
  </si>
  <si>
    <t>LUCIA HELENA MOURA XAVIER GARCIA</t>
  </si>
  <si>
    <t>18.432.729-5</t>
  </si>
  <si>
    <t>11 9 8100-5756</t>
  </si>
  <si>
    <t xml:space="preserve">RUA DA PAZ N° 2150 APTO 104A </t>
  </si>
  <si>
    <t>luciaxaviergarcia@gmail.com</t>
  </si>
  <si>
    <t>RUTHY DEBORA SASSOON</t>
  </si>
  <si>
    <t>9894547-6</t>
  </si>
  <si>
    <t xml:space="preserve">11  3666-2982           </t>
  </si>
  <si>
    <t>AVENIDA HIGIENOPOLIS, 1048 APTO 76</t>
  </si>
  <si>
    <t>01238-000</t>
  </si>
  <si>
    <t xml:space="preserve">ruthysassoon@bol.com.br        </t>
  </si>
  <si>
    <t>ROCKY CROC</t>
  </si>
  <si>
    <t>EDNA MARIA COSTA BEDINI</t>
  </si>
  <si>
    <t>9.738.994-8</t>
  </si>
  <si>
    <t>11 2642-2261</t>
  </si>
  <si>
    <t>RUA DOUTOR VICENTE GIACAGLINI, 556 TORRE 1 APTO 22</t>
  </si>
  <si>
    <t>VILA BELA</t>
  </si>
  <si>
    <t>03203-000</t>
  </si>
  <si>
    <t xml:space="preserve">ednabedini@gmail.com    </t>
  </si>
  <si>
    <t>OTAVIO VILLARES DE FREITAS</t>
  </si>
  <si>
    <t>49663378-36</t>
  </si>
  <si>
    <t>770578138-72</t>
  </si>
  <si>
    <t>126400238-61</t>
  </si>
  <si>
    <t>11 99982-7221</t>
  </si>
  <si>
    <t xml:space="preserve">RUA DR. PINTO FERRAZ, 49 AP 116 </t>
  </si>
  <si>
    <t>04117-040</t>
  </si>
  <si>
    <t>OTAVIOVF@GMAIL.COM</t>
  </si>
  <si>
    <t>183942698-50</t>
  </si>
  <si>
    <t>PAGO POR 3 MESES SET, OUT E NOV</t>
  </si>
  <si>
    <t>DEBORA DURANTE PRANDO</t>
  </si>
  <si>
    <t>11 2649-1975</t>
  </si>
  <si>
    <t xml:space="preserve">RUA TUMIARU, 171 APTO 121 </t>
  </si>
  <si>
    <t xml:space="preserve">deoma@uol.com.br </t>
  </si>
  <si>
    <t>DANDI</t>
  </si>
  <si>
    <t>SAMANTHA SARAIVA</t>
  </si>
  <si>
    <t>MG2087209</t>
  </si>
  <si>
    <t>11 942492977</t>
  </si>
  <si>
    <t>samantha.saraiva@gmail.com</t>
  </si>
  <si>
    <t>VIVIAN</t>
  </si>
  <si>
    <t>04008-050</t>
  </si>
  <si>
    <t>259495578-75</t>
  </si>
  <si>
    <t>011750776-82</t>
  </si>
  <si>
    <t>EMITIDO DE JAN A JUN16</t>
  </si>
  <si>
    <t>HULK , NEGUINHO E BRAD</t>
  </si>
  <si>
    <t xml:space="preserve">MARINA HARUKO MORI BIONDO     </t>
  </si>
  <si>
    <t>310.211.708-28</t>
  </si>
  <si>
    <t>VILA GUMERCINDO</t>
  </si>
  <si>
    <t>04134-110</t>
  </si>
  <si>
    <t xml:space="preserve">marinahmori@gmail.com          </t>
  </si>
  <si>
    <t>VITO E DOCINHO</t>
  </si>
  <si>
    <t>POR 06 MESES</t>
  </si>
  <si>
    <t xml:space="preserve">FREDERICO JAYME NASSER </t>
  </si>
  <si>
    <t xml:space="preserve">Rua Pedroso Alvarenga, 147 APTO 32 </t>
  </si>
  <si>
    <t>Itaim Bibi</t>
  </si>
  <si>
    <t>fnasser@pobox.com</t>
  </si>
  <si>
    <t xml:space="preserve">ELIZA MARA CRISTINO COSTA </t>
  </si>
  <si>
    <t>RUA TONELEIROS, 346 APTO 91</t>
  </si>
  <si>
    <t>VILA IPOJUCA</t>
  </si>
  <si>
    <t>05056-000</t>
  </si>
  <si>
    <t xml:space="preserve">elizasp2008@hotmail.com       </t>
  </si>
  <si>
    <t>AISHA</t>
  </si>
  <si>
    <t xml:space="preserve">11 2769-3572                            </t>
  </si>
  <si>
    <t>AV. JANDIRA, 79 BLOCÃO A  APTO 24</t>
  </si>
  <si>
    <r>
      <t>paulorenatoba@yahoo.com</t>
    </r>
    <r>
      <rPr>
        <sz val="8"/>
        <color indexed="63"/>
        <rFont val="Verdana"/>
        <family val="2"/>
      </rPr>
      <t> </t>
    </r>
  </si>
  <si>
    <t>CONCA</t>
  </si>
  <si>
    <t>ANDREA APARECIDA MARTINS PEREIRA</t>
  </si>
  <si>
    <t>RUA IMBITUBA, 205 BLC 05 APTO 32</t>
  </si>
  <si>
    <t>VILA PRUDENTE</t>
  </si>
  <si>
    <t xml:space="preserve">andy_mpereira@hotmail.com  </t>
  </si>
  <si>
    <t>BOBY</t>
  </si>
  <si>
    <t>HOMER</t>
  </si>
  <si>
    <t>ALEX TAVARES FAIOTTO</t>
  </si>
  <si>
    <t>RUA DOUTOR LUIZ MIGLIANO 761 APTO 184 A</t>
  </si>
  <si>
    <t>JARDIM CABORE</t>
  </si>
  <si>
    <t>GORDUCHA</t>
  </si>
  <si>
    <t xml:space="preserve">29087248-0   </t>
  </si>
  <si>
    <t>259.283.388-99</t>
  </si>
  <si>
    <t xml:space="preserve">PERDIZES          </t>
  </si>
  <si>
    <t>05010-040</t>
  </si>
  <si>
    <t xml:space="preserve">poletecalvoso@gmail.com     </t>
  </si>
  <si>
    <t>PIRATA</t>
  </si>
  <si>
    <t>POR 02 MESES</t>
  </si>
  <si>
    <t>RUA DOM CONSTANTINO BARRADAS, 130 APTO 12</t>
  </si>
  <si>
    <t>PAULA RAMOS C. da S. PRADO</t>
  </si>
  <si>
    <t xml:space="preserve">11 99801 9800   </t>
  </si>
  <si>
    <t>499.549.118-04</t>
  </si>
  <si>
    <t>04531-010</t>
  </si>
  <si>
    <t>11-30792274</t>
  </si>
  <si>
    <t>032.179.018-94</t>
  </si>
  <si>
    <t>11 28180392</t>
  </si>
  <si>
    <t>836.537.407-20</t>
  </si>
  <si>
    <t>130.430.778-65</t>
  </si>
  <si>
    <t>03132-090</t>
  </si>
  <si>
    <t xml:space="preserve">11 27379664 </t>
  </si>
  <si>
    <t>04716-001</t>
  </si>
  <si>
    <t>RUA FERNANDES MOREIRA, 582 APTO 142</t>
  </si>
  <si>
    <t>396.550.868-79</t>
  </si>
  <si>
    <t>05711-001</t>
  </si>
  <si>
    <t>11 29050159</t>
  </si>
  <si>
    <t>EMITIDO DE FEV A JUN16</t>
  </si>
  <si>
    <t>RUA DESEMBARGADOR DO VALE 932 AP 61</t>
  </si>
  <si>
    <t xml:space="preserve">11-983776061  </t>
  </si>
  <si>
    <t>EMITIDO BOLETO FEV16</t>
  </si>
  <si>
    <t>NATASHA NISHIDA</t>
  </si>
  <si>
    <t xml:space="preserve">RUA PARACATU 515 APTO 11 </t>
  </si>
  <si>
    <t xml:space="preserve">PARQUE IMPERIAL </t>
  </si>
  <si>
    <t>04302-021</t>
  </si>
  <si>
    <t>nat.nishida@gmail.com</t>
  </si>
  <si>
    <t>WILLY WONKA</t>
  </si>
  <si>
    <t xml:space="preserve">van.aparicio@hotmail.com  </t>
  </si>
  <si>
    <t>TUCA</t>
  </si>
  <si>
    <t>RENAN DE BRITO VIANA</t>
  </si>
  <si>
    <t>11 37218070</t>
  </si>
  <si>
    <t>RUA DOS TRES IRMÃOS 149 APTO 91</t>
  </si>
  <si>
    <t>VILA PROGREDIDOR</t>
  </si>
  <si>
    <t>renanviana.pt@gmail.com</t>
  </si>
  <si>
    <t>MADALENA</t>
  </si>
  <si>
    <t>ALAN DE MELO GOMES</t>
  </si>
  <si>
    <t>11 9 73986075</t>
  </si>
  <si>
    <t>AV. COMENDADOR FEIZ ZARZUR, 1054</t>
  </si>
  <si>
    <t>PIRITUBA</t>
  </si>
  <si>
    <t>alan.gomescoulook.com</t>
  </si>
  <si>
    <t>CHARLIE</t>
  </si>
  <si>
    <t>380 cada</t>
  </si>
  <si>
    <t>351.050.918-84</t>
  </si>
  <si>
    <t>402.688.038-97</t>
  </si>
  <si>
    <t>356.155.858-54</t>
  </si>
  <si>
    <t>284.101.428-21</t>
  </si>
  <si>
    <t>05615-190</t>
  </si>
  <si>
    <t>02942-000</t>
  </si>
  <si>
    <t>11 997951351</t>
  </si>
  <si>
    <t>11 982621181</t>
  </si>
  <si>
    <t>2016 Total</t>
  </si>
  <si>
    <t>APARECIDA DONZETTI HENRIQUES</t>
  </si>
  <si>
    <t>144.209.678-03</t>
  </si>
  <si>
    <t>11 3251-4725</t>
  </si>
  <si>
    <t>AV. PAULISTA, 671 APTO 707</t>
  </si>
  <si>
    <t>01311-100</t>
  </si>
  <si>
    <t>terapeuta.com@hotmail.com</t>
  </si>
  <si>
    <t>Bobby, Bebé, Sacha</t>
  </si>
  <si>
    <t>WOLFGANG VON PUTTKAMMER NETO</t>
  </si>
  <si>
    <t>112.221.878-84</t>
  </si>
  <si>
    <t>11 96327-2884</t>
  </si>
  <si>
    <t>ESTRADA VELHA DE SOROCABA 00649 CASA 23</t>
  </si>
  <si>
    <t>GRANJA VIANA</t>
  </si>
  <si>
    <t>COTIA</t>
  </si>
  <si>
    <t>06709-320</t>
  </si>
  <si>
    <t>wolf.von@terra.com.br</t>
  </si>
  <si>
    <t>Marley</t>
  </si>
  <si>
    <t>EMITIDO ABR16</t>
  </si>
  <si>
    <t>MARCIA DO AMARAL LOURENÇO</t>
  </si>
  <si>
    <t>931.128.157-34</t>
  </si>
  <si>
    <t>11 3683-5251</t>
  </si>
  <si>
    <t>ALAMEDA TERRAS ALTAS, 433 CASA 74</t>
  </si>
  <si>
    <t>TAMBORÉ</t>
  </si>
  <si>
    <t>marcia_mastec@hotmail.com</t>
  </si>
  <si>
    <t>POR 12 MESES</t>
  </si>
  <si>
    <t>06544-515</t>
  </si>
  <si>
    <t>RONE CARVALHO COSTA</t>
  </si>
  <si>
    <t>142.813.728-90</t>
  </si>
  <si>
    <t>RUA URANO 46 APTO 93</t>
  </si>
  <si>
    <t>01529-010</t>
  </si>
  <si>
    <t>BENTO</t>
  </si>
  <si>
    <t>BISBI</t>
  </si>
  <si>
    <t>11 959749671</t>
  </si>
  <si>
    <t>costarone.c@gmail.com</t>
  </si>
  <si>
    <t>EMITIDO BOLETO DE JUL A DEZ 16</t>
  </si>
  <si>
    <t xml:space="preserve">EMITIDO BOLETO DE JUL </t>
  </si>
  <si>
    <t>EMITIDO BOLETO DE JUNHO</t>
  </si>
  <si>
    <t>SEBA, PINGO, DOG, LUKE,</t>
  </si>
  <si>
    <t>11 9 6179-7755</t>
  </si>
  <si>
    <t>VILA EMA</t>
  </si>
  <si>
    <t>03282-001</t>
  </si>
  <si>
    <t>dora.cairiac@hotmail.com</t>
  </si>
  <si>
    <t>BETOVEN</t>
  </si>
  <si>
    <t>MIRACI SILVA COSTA</t>
  </si>
  <si>
    <t>RUA ESTRELA DALVA, 167</t>
  </si>
  <si>
    <t>JARDIM ROBRU</t>
  </si>
  <si>
    <t>08441-050</t>
  </si>
  <si>
    <t> miracisilvacosta65@hotmail.com</t>
  </si>
  <si>
    <t>SOFIA</t>
  </si>
  <si>
    <t>ALESSANDRA ALVES PEREIRA DUARTE</t>
  </si>
  <si>
    <t>11 9 67244322</t>
  </si>
  <si>
    <t xml:space="preserve">alemist.21@hotmail.com             </t>
  </si>
  <si>
    <t>RUSTY E ROLLIE</t>
  </si>
  <si>
    <t>GABRIEL SEBASTIAN RAPHAELO LUNA LOPES</t>
  </si>
  <si>
    <t>11 45619840</t>
  </si>
  <si>
    <t>RUA COMENDADOR FRANCITESCO PETINATTI 44 APTO 113</t>
  </si>
  <si>
    <t xml:space="preserve">JARDIM MONKEL </t>
  </si>
  <si>
    <t>05634-010</t>
  </si>
  <si>
    <t xml:space="preserve">gabriel.raph@gmail.com       </t>
  </si>
  <si>
    <t>ALFREDO</t>
  </si>
  <si>
    <t>101464438-02</t>
  </si>
  <si>
    <t>303944458-13</t>
  </si>
  <si>
    <t>348965238-06</t>
  </si>
  <si>
    <t>404961058-25</t>
  </si>
  <si>
    <t>04131-020</t>
  </si>
  <si>
    <t>EMITIDO BOLETO DE AGO A DEZ 16</t>
  </si>
  <si>
    <t>DORA CAIRIAC VERONEZZI</t>
  </si>
  <si>
    <t>AV. VILA EMA 5446 TORRE 3 AP 114</t>
  </si>
  <si>
    <t>RUA TUPANACI 311</t>
  </si>
  <si>
    <t>JOYCE DUARTE PEREIRA</t>
  </si>
  <si>
    <t xml:space="preserve">RUA ENG AMERICO DE CARVALHO RAMOS 165 </t>
  </si>
  <si>
    <t>joyce.duarte@gmail.com</t>
  </si>
  <si>
    <t>JULLIAN</t>
  </si>
  <si>
    <t>POR 03MESES</t>
  </si>
  <si>
    <t>OSVALDO AOYAGUI</t>
  </si>
  <si>
    <t>8.602.760-8</t>
  </si>
  <si>
    <t xml:space="preserve">RUA GUIBATINGA 1088 APTO 61 </t>
  </si>
  <si>
    <t>IGOR</t>
  </si>
  <si>
    <t>RAFAEL SILVA DE ANDRADE</t>
  </si>
  <si>
    <t>119 9854-5059</t>
  </si>
  <si>
    <t>RUA TITO 842 APTO 201 ED VITRE</t>
  </si>
  <si>
    <t>VILA ROMANA</t>
  </si>
  <si>
    <t>05051-000</t>
  </si>
  <si>
    <t>rafael@grupofuncional.com.br</t>
  </si>
  <si>
    <t>ZULU</t>
  </si>
  <si>
    <t>RHAYSA RAVENNA DE ALMEIDA PEREIRA</t>
  </si>
  <si>
    <t>042.985.951-10</t>
  </si>
  <si>
    <t>RUA MONTE ALEGRE 90 APTO 54</t>
  </si>
  <si>
    <t>PERDIZES</t>
  </si>
  <si>
    <t>05014-000</t>
  </si>
  <si>
    <t xml:space="preserve">rhaysaravena26@hotmail.com   </t>
  </si>
  <si>
    <t>FERNANDO CORDELLI COAN</t>
  </si>
  <si>
    <t>11 97995-1010</t>
  </si>
  <si>
    <t>05057-070</t>
  </si>
  <si>
    <t xml:space="preserve">fccoan@gmail.com  </t>
  </si>
  <si>
    <t>TOKO</t>
  </si>
  <si>
    <t>RUA AGOSTINHO DE QUEIROZ 28</t>
  </si>
  <si>
    <t>194495388-40</t>
  </si>
  <si>
    <t>309561628-78</t>
  </si>
  <si>
    <t>04130-040</t>
  </si>
  <si>
    <t>11 50773973</t>
  </si>
  <si>
    <t>528.980.918-04</t>
  </si>
  <si>
    <t>04141-001</t>
  </si>
  <si>
    <t>11 25396626</t>
  </si>
  <si>
    <t>318.014.778-41</t>
  </si>
  <si>
    <t xml:space="preserve">11-962149817 </t>
  </si>
  <si>
    <t>EMITIDO BOLETO ANUAL DE AGO 16 A JUL17</t>
  </si>
  <si>
    <t>CIBELE MOMESSE RODRIGUEZ</t>
  </si>
  <si>
    <t>11 9 9192-2630</t>
  </si>
  <si>
    <t>TRAVESSA ARCADIA 84</t>
  </si>
  <si>
    <t>VILA PALMARES</t>
  </si>
  <si>
    <t>SANTO ANDRÉ</t>
  </si>
  <si>
    <t>cibelerodriguez@yahoo.com.br</t>
  </si>
  <si>
    <t>TRUTA</t>
  </si>
  <si>
    <t>GABRIEL ASSIS</t>
  </si>
  <si>
    <t>11 9 8240-6708</t>
  </si>
  <si>
    <t>RUA DOUTOR NOGUEIRA MARTINS 634 APTO 24</t>
  </si>
  <si>
    <t>SAÚDE</t>
  </si>
  <si>
    <t xml:space="preserve">cmsassis@hotmail.com  </t>
  </si>
  <si>
    <t>THOR</t>
  </si>
  <si>
    <t>11 5077-3973</t>
  </si>
  <si>
    <t>JANE</t>
  </si>
  <si>
    <t>POR 01 MÊS</t>
  </si>
  <si>
    <t>PATRICIA BENETATI CAPUANO BERNARDES</t>
  </si>
  <si>
    <t>11 9 6364-8761</t>
  </si>
  <si>
    <t>RUA ALESSANDRO ALBERTI, 236 TORRE 01 APTO 62</t>
  </si>
  <si>
    <t xml:space="preserve">JARDIM CELESTE </t>
  </si>
  <si>
    <t>04195-130</t>
  </si>
  <si>
    <t>pattybene@ig.com.br</t>
  </si>
  <si>
    <t>PIT</t>
  </si>
  <si>
    <t>2009 Total</t>
  </si>
  <si>
    <t>EMITIDO DE ABR A SET 16</t>
  </si>
  <si>
    <t>V172174U</t>
  </si>
  <si>
    <t>RUA LUIS ANTONIO DOS SANTOS 196 APTO 24</t>
  </si>
  <si>
    <t>02460-000</t>
  </si>
  <si>
    <t xml:space="preserve">v.mhkim@gmail.com        </t>
  </si>
  <si>
    <t>TOMMY</t>
  </si>
  <si>
    <t>ANDRÉ GEORGE GRUNGLASSE</t>
  </si>
  <si>
    <t>ALAMEDA MINISTRO ROCHA DE AZEVEDO 00545 APTO 61</t>
  </si>
  <si>
    <t xml:space="preserve">andregrun69@hotmail.com </t>
  </si>
  <si>
    <t>MARIA CAROLINA ALVES RODRIGUES COLOMBO</t>
  </si>
  <si>
    <t xml:space="preserve">AV.GIOVANI GRONCH 6829 APTO 242 BEIJO FLOR </t>
  </si>
  <si>
    <t>VILA ANDRADE</t>
  </si>
  <si>
    <t>05724-005</t>
  </si>
  <si>
    <t xml:space="preserve">PAULO FORTUNATO </t>
  </si>
  <si>
    <t xml:space="preserve">RUA SALMA 510 PARQUE SÃO JORGE </t>
  </si>
  <si>
    <t>PARQUE SÃO JORGE</t>
  </si>
  <si>
    <t xml:space="preserve">p-fortunato@hotmail.com   </t>
  </si>
  <si>
    <t>ALI</t>
  </si>
  <si>
    <t>11 979134004</t>
  </si>
  <si>
    <t>11 999418877</t>
  </si>
  <si>
    <t>11 45619215</t>
  </si>
  <si>
    <t>303.523.628-39</t>
  </si>
  <si>
    <t>06708-090</t>
  </si>
  <si>
    <t>22 98509772</t>
  </si>
  <si>
    <t>REGINA AIKO FUKUNAGA KATO</t>
  </si>
  <si>
    <t>011.684.048-00</t>
  </si>
  <si>
    <t xml:space="preserve">KITTY </t>
  </si>
  <si>
    <t>GEORGIA PIGHINI PACHECO</t>
  </si>
  <si>
    <t>11 3812-2049</t>
  </si>
  <si>
    <t xml:space="preserve">RUA AGISSÊ 268 APTO 92 </t>
  </si>
  <si>
    <t>JARDIM DAS BANDEIRAS</t>
  </si>
  <si>
    <t xml:space="preserve">georgia.chieco@gmail.com </t>
  </si>
  <si>
    <t>ZUCA</t>
  </si>
  <si>
    <t>GILBERTO ARMENTANO CLARK REIS</t>
  </si>
  <si>
    <t>083.748.368-90</t>
  </si>
  <si>
    <t xml:space="preserve">RUA AUGUSTA 1460 APTO 32 </t>
  </si>
  <si>
    <t>LOLLA</t>
  </si>
  <si>
    <t>EMITIDO BOLETO DE AGO A DEZ16</t>
  </si>
  <si>
    <t>148.586.928-50</t>
  </si>
  <si>
    <t> 05439-010</t>
  </si>
  <si>
    <t>01304-001</t>
  </si>
  <si>
    <t xml:space="preserve">11 31293591  </t>
  </si>
  <si>
    <t>RUA DOUTOR DIOGO FARIA 1320, APTO 64</t>
  </si>
  <si>
    <t>VILA CLEMENTINO</t>
  </si>
  <si>
    <t>04037-005</t>
  </si>
  <si>
    <t>dentistafnd@terra.com.br</t>
  </si>
  <si>
    <t>11 5549-8720/ 995215123</t>
  </si>
  <si>
    <t>Somente a partir de Fev/17</t>
  </si>
  <si>
    <t xml:space="preserve">11-32054028   </t>
  </si>
  <si>
    <t>JESSICA CAROLINE BRITTO DA SILVA</t>
  </si>
  <si>
    <t>RUA ROLANDO CURTI  301 BLC 3 APTO 11</t>
  </si>
  <si>
    <t>VILA SANTA MARGARIDA</t>
  </si>
  <si>
    <t>ANDREA CRISTINA MONTEIRO MALTA</t>
  </si>
  <si>
    <t>05716-090</t>
  </si>
  <si>
    <t xml:space="preserve">andreacmmalta@gmail.com       </t>
  </si>
  <si>
    <t>BOLT</t>
  </si>
  <si>
    <t>EMITIDO CARTÃO ATÉ JAN/16</t>
  </si>
  <si>
    <t>403.114.898-42</t>
  </si>
  <si>
    <t>04414-000</t>
  </si>
  <si>
    <t>11 95550-1642</t>
  </si>
  <si>
    <t>158.105.098-43</t>
  </si>
  <si>
    <t xml:space="preserve">RUA ITAPIMIRUM, 915 APTO 132A </t>
  </si>
  <si>
    <t>11 972192741</t>
  </si>
  <si>
    <t>NEGO</t>
  </si>
  <si>
    <t>EMITIDO BOLETO JAN A JUN 17</t>
  </si>
  <si>
    <t>adicional</t>
  </si>
  <si>
    <t xml:space="preserve"> </t>
  </si>
  <si>
    <t>CINDY</t>
  </si>
  <si>
    <t>205401078-24</t>
  </si>
  <si>
    <t>271015728-47</t>
  </si>
  <si>
    <t>14083634-96</t>
  </si>
  <si>
    <t>179983938-90</t>
  </si>
  <si>
    <t>04713-002</t>
  </si>
  <si>
    <t>01408-000</t>
  </si>
  <si>
    <t>DATA DE SAIDA</t>
  </si>
  <si>
    <t>Dia Saida</t>
  </si>
  <si>
    <t>Mês Saida</t>
  </si>
  <si>
    <t>Ano Saída</t>
  </si>
  <si>
    <t>VANESSA ANDRADE APARÍCIO</t>
  </si>
  <si>
    <t>RUA SIMÃO ALVARES 479 AP 124</t>
  </si>
  <si>
    <t>05417-030</t>
  </si>
  <si>
    <t>CRISTIANE MARIA BENVENUTO ANDRADE</t>
  </si>
  <si>
    <t>11 9 7598-7766</t>
  </si>
  <si>
    <t>RUA MANOEL JACINTO, 932 BLC 10 APTO 101</t>
  </si>
  <si>
    <t>VILA MORSE</t>
  </si>
  <si>
    <t xml:space="preserve">cristianebenvenuto@hotmail.com    </t>
  </si>
  <si>
    <t>05624-001</t>
  </si>
  <si>
    <t>764168520-04</t>
  </si>
  <si>
    <t>ROSEMARY YOOKO NAKABAYASHI KRAMER ESQUILLARO</t>
  </si>
  <si>
    <t>8.543.148-5</t>
  </si>
  <si>
    <t>RUA REGO BARROS 1208 BLC 1 APTO 53</t>
  </si>
  <si>
    <t xml:space="preserve">VILA ANTONIETA </t>
  </si>
  <si>
    <t xml:space="preserve">SÃO PAULO </t>
  </si>
  <si>
    <t xml:space="preserve">rosemary.esquillaro@hotmail.com    </t>
  </si>
  <si>
    <t xml:space="preserve">FORNECE GOLDEN </t>
  </si>
  <si>
    <t>TEX</t>
  </si>
  <si>
    <t>FORNECE ROYAL CANIN PERFORMANCE</t>
  </si>
  <si>
    <t>MARIANA GIL FURLANETTI</t>
  </si>
  <si>
    <t>25.483.331-7</t>
  </si>
  <si>
    <t>AVENIDA NOVE DE JULHO 3239 APTO 76</t>
  </si>
  <si>
    <t>01407-200</t>
  </si>
  <si>
    <t xml:space="preserve">marianam_gil@hotmail.com      </t>
  </si>
  <si>
    <t>LUCY</t>
  </si>
  <si>
    <t>FORNECE GOLDEN</t>
  </si>
  <si>
    <t>2017 Total</t>
  </si>
  <si>
    <t>057.181.018-76</t>
  </si>
  <si>
    <t>03460-000</t>
  </si>
  <si>
    <t>11 991574660</t>
  </si>
  <si>
    <t>368.771.618-07</t>
  </si>
  <si>
    <t>11 981794783</t>
  </si>
  <si>
    <t>ALINE AMAND</t>
  </si>
  <si>
    <t>11 997776104</t>
  </si>
  <si>
    <t xml:space="preserve">RUA MOTUCA, 71 </t>
  </si>
  <si>
    <t>BROWNIE</t>
  </si>
  <si>
    <t>JOSÉ GABRIEL N DE ASSIS</t>
  </si>
  <si>
    <t>EMILY CHRISTINE MIRANDA DE ALMEIDA</t>
  </si>
  <si>
    <t>37.655.902-0</t>
  </si>
  <si>
    <t>436.242.378-88</t>
  </si>
  <si>
    <t xml:space="preserve">11 999607084  </t>
  </si>
  <si>
    <t>RUA FLORINEIA 234</t>
  </si>
  <si>
    <t>JARDIM SÃO PAULO</t>
  </si>
  <si>
    <t>02334-050</t>
  </si>
  <si>
    <t>BOMMIE</t>
  </si>
  <si>
    <t>014.083.634-96</t>
  </si>
  <si>
    <t>433.536.318-44</t>
  </si>
  <si>
    <t>04143-020</t>
  </si>
  <si>
    <t>04109-100</t>
  </si>
  <si>
    <t>EMITIDO BOLETO MAR A JUN 17</t>
  </si>
  <si>
    <t>TANIA MARIA DE OLIVEIRA MOREIRA</t>
  </si>
  <si>
    <t>12300161-4</t>
  </si>
  <si>
    <t>168.896.788-50</t>
  </si>
  <si>
    <t>112035-7972</t>
  </si>
  <si>
    <t>RUA DONA CECILIA SANTANA 72 APTO 52</t>
  </si>
  <si>
    <t>VILA GRANADA</t>
  </si>
  <si>
    <t>03622-010</t>
  </si>
  <si>
    <t xml:space="preserve">tanniamoreira@hotmail.com          </t>
  </si>
  <si>
    <t>JADE</t>
  </si>
  <si>
    <t>POR 03 MESES</t>
  </si>
  <si>
    <t>MANUEL FERREIRA DA MATA SOARES POVOAS</t>
  </si>
  <si>
    <t>076.921.198-48</t>
  </si>
  <si>
    <t>11 9 8115-8844</t>
  </si>
  <si>
    <t xml:space="preserve">RUA TOMÁS CARVALHAL 728 APTO 410 </t>
  </si>
  <si>
    <t>PARAISO</t>
  </si>
  <si>
    <t xml:space="preserve">povoas.manuel@gmail.com                                     </t>
  </si>
  <si>
    <t>FLOQUINHO</t>
  </si>
  <si>
    <t>ALAN ROBERTO DOS SANTOS LEME</t>
  </si>
  <si>
    <t>403.551.638-45</t>
  </si>
  <si>
    <t>RUA MANOEL DA NOBREGA 435 APTO 122 A CENTRO</t>
  </si>
  <si>
    <t>DIADEMA</t>
  </si>
  <si>
    <t>09910-720</t>
  </si>
  <si>
    <t>leme-alan@gmail.com</t>
  </si>
  <si>
    <t>LUKE</t>
  </si>
  <si>
    <t>COMPRA NOSSA RAÇÃO GOLDEN</t>
  </si>
  <si>
    <t>04006-002</t>
  </si>
  <si>
    <t>11 99622860</t>
  </si>
  <si>
    <t>EMITIDO BOLETO ABR A JUN17</t>
  </si>
  <si>
    <t>EMITIDO BOLETO DE ABR A MAI17</t>
  </si>
  <si>
    <t>obs1</t>
  </si>
  <si>
    <t>obs2</t>
  </si>
  <si>
    <t>obs3</t>
  </si>
  <si>
    <t>obs4</t>
  </si>
  <si>
    <t>Valor1</t>
  </si>
  <si>
    <t>Valor2</t>
  </si>
  <si>
    <t>2017 Soma</t>
  </si>
  <si>
    <t>ESTEVAM MAGALHÃES DE FREITAS</t>
  </si>
  <si>
    <t>37.743.217-9</t>
  </si>
  <si>
    <t>427.739.078-17</t>
  </si>
  <si>
    <t xml:space="preserve">11 3569-1123 </t>
  </si>
  <si>
    <t>RUA HUMAITA, 349 APTO 24</t>
  </si>
  <si>
    <t xml:space="preserve">BELA VISTA </t>
  </si>
  <si>
    <t>01321-010</t>
  </si>
  <si>
    <t xml:space="preserve">estevam.mag@gmail.com         </t>
  </si>
  <si>
    <t>THEO</t>
  </si>
  <si>
    <t>POR 03 MESES JÁ PAGO</t>
  </si>
  <si>
    <t>SACHA E JOSUÉ</t>
  </si>
  <si>
    <t>carolineb10@hotmail.com</t>
  </si>
  <si>
    <t>VITOR BARBANTI PAZIN</t>
  </si>
  <si>
    <t>CRISTINA NAVARRO BARON</t>
  </si>
  <si>
    <t>DANIELA LEITE NUNES</t>
  </si>
  <si>
    <t xml:space="preserve">emykka@gmail.com/jl.almeida01@gmail.com         </t>
  </si>
  <si>
    <t>BALOTELLI</t>
  </si>
  <si>
    <t>katecorrea@bol.com.br</t>
  </si>
  <si>
    <t>03412-030</t>
  </si>
  <si>
    <t>VILA ANTONINA</t>
  </si>
  <si>
    <t>RUA CACAQUERA    N° 800  CASA 02</t>
  </si>
  <si>
    <t xml:space="preserve">112674-0066  </t>
  </si>
  <si>
    <t>249.555.338-92</t>
  </si>
  <si>
    <t xml:space="preserve">KATE NORMAN SOUSA CORREA  </t>
  </si>
  <si>
    <t>45.008.412-7</t>
  </si>
  <si>
    <t>383.938.468-03</t>
  </si>
  <si>
    <t>11 4166-8503</t>
  </si>
  <si>
    <t>RUA URUANA, 215 CHACARA DOS JUNQUEIRAS</t>
  </si>
  <si>
    <t>CARAPICUIBA</t>
  </si>
  <si>
    <t>06355-480</t>
  </si>
  <si>
    <t>inumes.daniela@gmail.com</t>
  </si>
  <si>
    <t>JOSUE, MOISES, MEG, NATANAEL</t>
  </si>
  <si>
    <t>46.517.691-4</t>
  </si>
  <si>
    <t>400.762.228-02</t>
  </si>
  <si>
    <t xml:space="preserve">11 2682 9229  </t>
  </si>
  <si>
    <t>VILA ARAGUAIA</t>
  </si>
  <si>
    <t>03735-120</t>
  </si>
  <si>
    <t>087.125.328-35</t>
  </si>
  <si>
    <t xml:space="preserve">11  2918-2473  </t>
  </si>
  <si>
    <t>RUA DANIEL MIRABELO 130 CASA 29</t>
  </si>
  <si>
    <t>03275-008</t>
  </si>
  <si>
    <t>MUSTAFFÁ</t>
  </si>
  <si>
    <t>RUA GUARAS 17</t>
  </si>
  <si>
    <t>vitor.pazin@gmail.com</t>
  </si>
  <si>
    <t xml:space="preserve">cristinabaron@vivointernetdiscada.com.br         </t>
  </si>
  <si>
    <t>EMITIDO BOLETO JUL A DEZ17</t>
  </si>
  <si>
    <t>SOMAR 65,50 Frontline</t>
  </si>
  <si>
    <t>EMITIDO BOLETO JUL A DEZ 17</t>
  </si>
  <si>
    <t>EMITIDO BOLETO DE JUL A DEZ 17</t>
  </si>
  <si>
    <t>ELIANE SILVEIRA FRANCO</t>
  </si>
  <si>
    <t>8.277.080-3</t>
  </si>
  <si>
    <t>022880048-00</t>
  </si>
  <si>
    <t>11 9 7497-3809</t>
  </si>
  <si>
    <t xml:space="preserve">RUA AYRES DA MATA MACHADO FILHO N° 115 </t>
  </si>
  <si>
    <t xml:space="preserve">SANTANA    </t>
  </si>
  <si>
    <t>02013-008</t>
  </si>
  <si>
    <t xml:space="preserve">elianesilveirafranco@gmail.com    </t>
  </si>
  <si>
    <t>BANZÉ</t>
  </si>
  <si>
    <t>PAGO ATÉ JULHO - PAGAR EM 26/07</t>
  </si>
  <si>
    <t>ANTONIO FERNANDEZ NIETO</t>
  </si>
  <si>
    <t>RUA JOAQUIM FERREIRA, 124 APTO 06</t>
  </si>
  <si>
    <t>05033-080</t>
  </si>
  <si>
    <t>CLIPER</t>
  </si>
  <si>
    <t>259.438.528-08</t>
  </si>
  <si>
    <t xml:space="preserve">toninho@arfernandez.com.br </t>
  </si>
  <si>
    <t>11 97309-0878</t>
  </si>
  <si>
    <t>FABIANA SIKULA DA SILVA</t>
  </si>
  <si>
    <t>47.738.489-4</t>
  </si>
  <si>
    <t>292.534.268-02</t>
  </si>
  <si>
    <t>11 2574-8479</t>
  </si>
  <si>
    <t xml:space="preserve">emaildasikula@gmail.com   </t>
  </si>
  <si>
    <t>SNOW</t>
  </si>
  <si>
    <t>ROSELI APARECIDA DE MIRANDA</t>
  </si>
  <si>
    <t>55.606.291-7</t>
  </si>
  <si>
    <t>483.650.331-00</t>
  </si>
  <si>
    <t>11 2013-2147</t>
  </si>
  <si>
    <t xml:space="preserve">RUA JOSE APOLONIO 36 </t>
  </si>
  <si>
    <t>FAZENDA DA JUTA</t>
  </si>
  <si>
    <t>03977-755</t>
  </si>
  <si>
    <t>VALENTINA</t>
  </si>
  <si>
    <t>26.449.395-2</t>
  </si>
  <si>
    <t>273.717.298-54</t>
  </si>
  <si>
    <t xml:space="preserve">13 3227-3058    </t>
  </si>
  <si>
    <t>RUA CEL PEDRO ARBUES 186 APTO 32</t>
  </si>
  <si>
    <t>PONTA DA PRAIA</t>
  </si>
  <si>
    <t>11035-050</t>
  </si>
  <si>
    <t>JONI</t>
  </si>
  <si>
    <t>fccoan@gmail.com</t>
  </si>
  <si>
    <t>rosely.miranda@uol.com.br</t>
  </si>
  <si>
    <t>moraes63@ig.com.br</t>
  </si>
  <si>
    <t>EMITIDO BOLETO DE SET A DEZ 17</t>
  </si>
  <si>
    <t>FABIANO SOARES DE MORAES BARBOSA</t>
  </si>
  <si>
    <t>MEL</t>
  </si>
  <si>
    <t>WEVERTON LUIS CORREIA DE OLIVEIRA</t>
  </si>
  <si>
    <t>36.576.451-6</t>
  </si>
  <si>
    <t>11 2052-1205</t>
  </si>
  <si>
    <t>RUA RUBENS HENRIQUE PICCHI 311 BLC 08 APTO  C34</t>
  </si>
  <si>
    <t>PARQUE CECAP</t>
  </si>
  <si>
    <t>GUARULHOS</t>
  </si>
  <si>
    <t>07190-907</t>
  </si>
  <si>
    <t>weverton.oliver07@gmail.com</t>
  </si>
  <si>
    <t>BORYS</t>
  </si>
  <si>
    <t>COM RAÇÃO NERO</t>
  </si>
  <si>
    <t>BIANCA BENTO DE OLIVEIRA RIBEIRO</t>
  </si>
  <si>
    <t>11 2589-2116</t>
  </si>
  <si>
    <t xml:space="preserve">RUA JOAO GOMES, 1025 CASA </t>
  </si>
  <si>
    <t>BUTANTÃ</t>
  </si>
  <si>
    <t>05592-001</t>
  </si>
  <si>
    <t xml:space="preserve">biancabentoribeiro@gmail.com  </t>
  </si>
  <si>
    <t>BOB</t>
  </si>
  <si>
    <t>389.020.748-03</t>
  </si>
  <si>
    <t>291.774.178-36</t>
  </si>
  <si>
    <t>EMITIDO BOLETO DE OUT A DEZ 17</t>
  </si>
  <si>
    <t>Entraram e permanecem</t>
  </si>
  <si>
    <t>Entraram e já sairam</t>
  </si>
  <si>
    <t>Total de entrada</t>
  </si>
  <si>
    <t>Total de saida</t>
  </si>
  <si>
    <t>09750-000</t>
  </si>
  <si>
    <t>DARTANHA</t>
  </si>
  <si>
    <t>COMPRA NOSSA RAÇÃO</t>
  </si>
  <si>
    <t>MARÍLIA DE TOLEDO ALMEIDA</t>
  </si>
  <si>
    <t>26.656.044-1</t>
  </si>
  <si>
    <t>152.996.348-62</t>
  </si>
  <si>
    <t xml:space="preserve">11 50813161 </t>
  </si>
  <si>
    <t>RUA JULIO VERNE, 185</t>
  </si>
  <si>
    <t>JARDIM HIPICO</t>
  </si>
  <si>
    <t>04725-060</t>
  </si>
  <si>
    <t>AGLAI DIAS DE MACEDO SOARES</t>
  </si>
  <si>
    <t>117.874.958-41</t>
  </si>
  <si>
    <t xml:space="preserve">RUA DR. BARROS CRUZ, 33 APTO 14 B </t>
  </si>
  <si>
    <t>04118-130</t>
  </si>
  <si>
    <t>aglaisoares@hotmail.com</t>
  </si>
  <si>
    <t>CACAU</t>
  </si>
  <si>
    <t>DANIEL ROLIM SAHAGOFF</t>
  </si>
  <si>
    <t> 7.735.462-X</t>
  </si>
  <si>
    <t>RUA MANOEL GUEDES 474</t>
  </si>
  <si>
    <t>daniel@cantaloup.com.br</t>
  </si>
  <si>
    <t>OLIVER E SAM</t>
  </si>
  <si>
    <t>JOAO VICENTE PEREYRA JUNIOR</t>
  </si>
  <si>
    <t>015.913.440-42</t>
  </si>
  <si>
    <t xml:space="preserve">AVENIDA SEN VERGUEIRO, 608 BLC 03 PLANTEON APTO 172 </t>
  </si>
  <si>
    <t>joaor66@gmail.com</t>
  </si>
  <si>
    <t>mariliadetoledo@gmail.com</t>
  </si>
  <si>
    <t>11 34592438</t>
  </si>
  <si>
    <t>014.714.808-10</t>
  </si>
  <si>
    <t>04536-070</t>
  </si>
  <si>
    <t>11 30783445</t>
  </si>
  <si>
    <t>RUA PEIXOTO GOMIDE, 1769 APTO 31</t>
  </si>
  <si>
    <t>01409-000</t>
  </si>
  <si>
    <t>jan e fev</t>
  </si>
  <si>
    <t>11 9 9941-8877</t>
  </si>
  <si>
    <t>ALAMEDA MINISTRO ROCHA DE AZEVEDO 545 APTO 61</t>
  </si>
  <si>
    <t>01410-001</t>
  </si>
  <si>
    <t>KEYNES CHEN</t>
  </si>
  <si>
    <t>221.074.028-25</t>
  </si>
  <si>
    <t>11 9 8131-2383</t>
  </si>
  <si>
    <t>RUA PAULISTANIA, 205 APTO 152 TORRE C</t>
  </si>
  <si>
    <t>SUMAREZINHO</t>
  </si>
  <si>
    <t>05440-000</t>
  </si>
  <si>
    <t xml:space="preserve">keynes.chen@gmail.com    </t>
  </si>
  <si>
    <t>CHEZ</t>
  </si>
  <si>
    <t>MARLENE ALVES DA SILVA</t>
  </si>
  <si>
    <t>056.321.558-54</t>
  </si>
  <si>
    <t>11  99612-6805</t>
  </si>
  <si>
    <t>RUA RAFAEL CORREIA SAMPAIO, 410 APTO 152</t>
  </si>
  <si>
    <t xml:space="preserve">SÃO CAETANO DO SUL </t>
  </si>
  <si>
    <t>09541-250</t>
  </si>
  <si>
    <t xml:space="preserve">departamentopessoal@vitan.com.br </t>
  </si>
  <si>
    <t>INDIANAPOLIS</t>
  </si>
  <si>
    <t>04080-000</t>
  </si>
  <si>
    <t>BILLY E TOBIAS</t>
  </si>
  <si>
    <t>FORNECE TODAS AS MARCAS NÃO TEM ESPECIFICA</t>
  </si>
  <si>
    <t>EMITIDO DE JAN A FEV/18</t>
  </si>
  <si>
    <t>EMITIDO JAN</t>
  </si>
  <si>
    <t>EMITIDOS BOLETOS JAN A JUN18</t>
  </si>
  <si>
    <t>EMITIDO BOLETO ATE JAN18</t>
  </si>
  <si>
    <t>2018 Soma</t>
  </si>
  <si>
    <t xml:space="preserve">AMANDA GONÇALVES MATTOS DOS SANTOS </t>
  </si>
  <si>
    <t>RUA EUGENIO DE FREITAS, 371 BLC A APTO 105</t>
  </si>
  <si>
    <t>PATRICK</t>
  </si>
  <si>
    <t>SHEILA MARINHO PAGANO</t>
  </si>
  <si>
    <t>314.297.908-57</t>
  </si>
  <si>
    <t>11 99244-2546</t>
  </si>
  <si>
    <t>RUA FAISÃO 70 CASA</t>
  </si>
  <si>
    <t>VILA MADALENA</t>
  </si>
  <si>
    <t>05433-030</t>
  </si>
  <si>
    <t>HERUS</t>
  </si>
  <si>
    <t>BARBARA SIERRA GONÇALVES</t>
  </si>
  <si>
    <t>448.769.188-56</t>
  </si>
  <si>
    <t>11 9 8543-9886</t>
  </si>
  <si>
    <t xml:space="preserve">RUA ULISSES CRUZ 668 APTO 125 TORRE STAR </t>
  </si>
  <si>
    <t>03077-000</t>
  </si>
  <si>
    <t>ZÉ</t>
  </si>
  <si>
    <t>MONICA DOS SANTOS COUTINHO</t>
  </si>
  <si>
    <t>18870928-9</t>
  </si>
  <si>
    <t>091.175.968-90</t>
  </si>
  <si>
    <t>11 9 856-8838</t>
  </si>
  <si>
    <t>RUA PROFESSOR JOAO ARRUDA 134 APTO 54</t>
  </si>
  <si>
    <t>05012-000</t>
  </si>
  <si>
    <t>FAÍSCA</t>
  </si>
  <si>
    <t>CAROLINA JUSTI MARTINELLI</t>
  </si>
  <si>
    <t>305.002.798.37</t>
  </si>
  <si>
    <t>11 9 8421-2777</t>
  </si>
  <si>
    <t>RUA FREDERICO ABRANCHES 79 APTO 14</t>
  </si>
  <si>
    <t>VILA BUARQUE</t>
  </si>
  <si>
    <t>01225-001</t>
  </si>
  <si>
    <t>JAMES</t>
  </si>
  <si>
    <t>RICARDO FORGERINI ABUD</t>
  </si>
  <si>
    <t>316.090.508-00</t>
  </si>
  <si>
    <t>11 2274-3179</t>
  </si>
  <si>
    <t>BAETA NEVES</t>
  </si>
  <si>
    <t>09760-300</t>
  </si>
  <si>
    <t>MIKE</t>
  </si>
  <si>
    <t>2018 Total</t>
  </si>
  <si>
    <t>1197994-6697</t>
  </si>
  <si>
    <t>amanda_demattos@hotmail.com</t>
  </si>
  <si>
    <t>sheilapaganno@gmail.com</t>
  </si>
  <si>
    <t xml:space="preserve">barbara-sierra@live.com     </t>
  </si>
  <si>
    <t>monicascoutinho@live.com</t>
  </si>
  <si>
    <t>caroljusti@hotmail.com</t>
  </si>
  <si>
    <t xml:space="preserve">RUA D. JULIA CESAR FERREIRA 330  APTO 51 BL1 </t>
  </si>
  <si>
    <t>ricardoabud1@hotmail.com</t>
  </si>
  <si>
    <t xml:space="preserve">VILA GUILHERME </t>
  </si>
  <si>
    <t>EMITIDO BOLETO FEV A JUN18</t>
  </si>
  <si>
    <t>VITO</t>
  </si>
  <si>
    <t>SALAME</t>
  </si>
  <si>
    <t>CARAMELO</t>
  </si>
  <si>
    <t>MARINA HARUKO MORI BIONDO</t>
  </si>
  <si>
    <t>1199801-9800</t>
  </si>
  <si>
    <t xml:space="preserve">RUA DOM CONSTANTINO BARRADAS, 130 APTO 12 </t>
  </si>
  <si>
    <t xml:space="preserve">marinahmori@gmail.com       </t>
  </si>
  <si>
    <t>JULIANA LOPES CAMPANO</t>
  </si>
  <si>
    <t>321.745.838-95</t>
  </si>
  <si>
    <t>11 5510-1600</t>
  </si>
  <si>
    <t>RUA QUARARIBEIA 200 TORRE 3 BLC TOPAZ APT21</t>
  </si>
  <si>
    <t>04689-160</t>
  </si>
  <si>
    <t>DALVA MARIA DE CARVALHO</t>
  </si>
  <si>
    <t>012.631.778.08</t>
  </si>
  <si>
    <t>11 9 9943-5233</t>
  </si>
  <si>
    <t>AL. DOS ANAPURUS 1370 APTO 92</t>
  </si>
  <si>
    <t>04087-004</t>
  </si>
  <si>
    <t>EMITIDO BOLETO MAR A JUN18</t>
  </si>
  <si>
    <t>Vila Isa</t>
  </si>
  <si>
    <t xml:space="preserve">ju_campano@hotmail.com     </t>
  </si>
  <si>
    <t>FERNANDO DE CARVALHO GOMES</t>
  </si>
  <si>
    <t>11 9 9651-2881</t>
  </si>
  <si>
    <t>PARQUE IPÊ</t>
  </si>
  <si>
    <t xml:space="preserve">fcgomes@me.com   </t>
  </si>
  <si>
    <t>LÉO</t>
  </si>
  <si>
    <t>SORAYA FERREIRA KURY VIARD DE AGUIAR</t>
  </si>
  <si>
    <t>185.619.261-04</t>
  </si>
  <si>
    <t>11 9 9958-0120</t>
  </si>
  <si>
    <t xml:space="preserve">sorayakuryaguiar@gmail.com        </t>
  </si>
  <si>
    <t>JOE</t>
  </si>
  <si>
    <t xml:space="preserve">FABIO HIROSHI HABE         </t>
  </si>
  <si>
    <t>29725838-2</t>
  </si>
  <si>
    <t>282.965.638-51</t>
  </si>
  <si>
    <t>11 9 9277-8083</t>
  </si>
  <si>
    <t>AV JACUTINGA  352 APTO 131</t>
  </si>
  <si>
    <t>04515-030</t>
  </si>
  <si>
    <t xml:space="preserve">fabio_habe@yahoo.com       </t>
  </si>
  <si>
    <t>AMENDOIM</t>
  </si>
  <si>
    <t>ANA LUZIA MARANINI</t>
  </si>
  <si>
    <t>294.415.128.-26</t>
  </si>
  <si>
    <t>11 3693-7193</t>
  </si>
  <si>
    <t>RUA CONDE DE ITÚ 120</t>
  </si>
  <si>
    <t>ALTO DA BOA VISTA</t>
  </si>
  <si>
    <t>04741-000</t>
  </si>
  <si>
    <t xml:space="preserve">analumara@gmail.com </t>
  </si>
  <si>
    <t>ANA CLARA</t>
  </si>
  <si>
    <t>313525408-94</t>
  </si>
  <si>
    <t>05572-090</t>
  </si>
  <si>
    <t>RUA MAURO RABANO 105</t>
  </si>
  <si>
    <t xml:space="preserve">RUA ALBANO EUGENIO DAHMER 247 - CONDOMINIO PINUS PARK </t>
  </si>
  <si>
    <t>06710-750</t>
  </si>
  <si>
    <t>EDVALDO RODRIGO TOFOLO</t>
  </si>
  <si>
    <t>137.804.048-18</t>
  </si>
  <si>
    <t>11 9 8536-5239</t>
  </si>
  <si>
    <t>AV. DOS PIONEIROS, 455 CA 30</t>
  </si>
  <si>
    <t>PQ. VILLA FLORES</t>
  </si>
  <si>
    <t>SUMARÉ/SP</t>
  </si>
  <si>
    <t>13175-668</t>
  </si>
  <si>
    <t>KATE</t>
  </si>
  <si>
    <t>ARLINDO GUIMARÃES NETO</t>
  </si>
  <si>
    <t>255.012.088-49</t>
  </si>
  <si>
    <t>11 3079-5182</t>
  </si>
  <si>
    <t xml:space="preserve">RUA PEDROSO ALVARENGA, 85 APTO 123 </t>
  </si>
  <si>
    <t>mlsg4583@hotmail.com</t>
  </si>
  <si>
    <t>FREDERICO</t>
  </si>
  <si>
    <t>LOTÚS LOGISTICA INTEGRADA LTDA</t>
  </si>
  <si>
    <t>23.349.580/0001-22</t>
  </si>
  <si>
    <t>RUA ROBERT BOSCH, 544 SALA 34, 3° ANDAR</t>
  </si>
  <si>
    <t>PARQUE INDUSTRIAL TOMAS EDSON</t>
  </si>
  <si>
    <t>01141-010</t>
  </si>
  <si>
    <t>elaine.tofolo@bosch.com</t>
  </si>
  <si>
    <t>EMITIDO BOLETO JUL A DEZ18</t>
  </si>
  <si>
    <t>VANESSA MIGUITA</t>
  </si>
  <si>
    <t>11 9 7400-0685</t>
  </si>
  <si>
    <t xml:space="preserve">R. IGUATEMI, 191 </t>
  </si>
  <si>
    <t>VILA ALICE</t>
  </si>
  <si>
    <t xml:space="preserve">SANTO ANDRÉ </t>
  </si>
  <si>
    <t>09060-340</t>
  </si>
  <si>
    <t>vanessa.miguita@gmail.com</t>
  </si>
  <si>
    <t>LUCIANA SHIMABUKURO</t>
  </si>
  <si>
    <t>225.042.158-78</t>
  </si>
  <si>
    <t>RUA SALVADOR, 4</t>
  </si>
  <si>
    <t>JARDIM THELMA</t>
  </si>
  <si>
    <t>09853-580</t>
  </si>
  <si>
    <t>VILA VERA</t>
  </si>
  <si>
    <t>04295-001</t>
  </si>
  <si>
    <t>BOB e FIONA</t>
  </si>
  <si>
    <t>267842378-62</t>
  </si>
  <si>
    <t>JIMMY</t>
  </si>
  <si>
    <t>EMITIDO BOLETO JUL E AGO18</t>
  </si>
  <si>
    <t>EMITIDO BOLETO AGO E SET18</t>
  </si>
  <si>
    <t>AVENIDA CORONEL JOSE PIRES DE ANDRADE 847 APTO 707</t>
  </si>
  <si>
    <t>BRUNO CASTRO</t>
  </si>
  <si>
    <t>11 9 8244-4866</t>
  </si>
  <si>
    <t xml:space="preserve">RUA MONOEL CHEREN N°300 APTO 162B </t>
  </si>
  <si>
    <t>VILA PAULISTA</t>
  </si>
  <si>
    <t xml:space="preserve">04360-03 </t>
  </si>
  <si>
    <t xml:space="preserve">brcastro.pk2@gmail.com  </t>
  </si>
  <si>
    <t>MOARA</t>
  </si>
  <si>
    <t>11 9 7913-4004</t>
  </si>
  <si>
    <t>COMPRA NOSSA GOLDEN FRANGO</t>
  </si>
  <si>
    <t>FRANCISCO DE ASSIS RIBEIRA</t>
  </si>
  <si>
    <t>815.443.088-68</t>
  </si>
  <si>
    <t>11 9 7515-5185</t>
  </si>
  <si>
    <t xml:space="preserve">RUA SÃO JORGE, 604 APTO 125 B </t>
  </si>
  <si>
    <t>SANTO ANTONIO</t>
  </si>
  <si>
    <t>TOBY</t>
  </si>
  <si>
    <t>ANTONIO CARLOS SOBRINHO</t>
  </si>
  <si>
    <t>1198457-4196</t>
  </si>
  <si>
    <t xml:space="preserve">SILVEIRA RODRIGUES, 23 APTO 32 B </t>
  </si>
  <si>
    <t>SILICIANO</t>
  </si>
  <si>
    <t>05048-070</t>
  </si>
  <si>
    <t>NINO</t>
  </si>
  <si>
    <t>09530-250</t>
  </si>
  <si>
    <t>SÃO CAETANO SO SUL</t>
  </si>
  <si>
    <t>assiste@assisteconsultoria.com.br</t>
  </si>
  <si>
    <t>acsobrinho@gmail.com</t>
  </si>
  <si>
    <t>EMITIDO BOLETO DE SET A DEZ18</t>
  </si>
  <si>
    <t>FERNANDO VON CHRISTIAN DE SZARAZPATAK</t>
  </si>
  <si>
    <t>221.317.088-66</t>
  </si>
  <si>
    <t xml:space="preserve">11 985420906       </t>
  </si>
  <si>
    <t xml:space="preserve">JOAQUIM FLORIANO 1038 APTO 121 </t>
  </si>
  <si>
    <t xml:space="preserve">fvc2000@gmail.com </t>
  </si>
  <si>
    <t xml:space="preserve">NYMERIA </t>
  </si>
  <si>
    <t>FRANKLIN FELICIANO DE LIMA</t>
  </si>
  <si>
    <t>326.188.218-23</t>
  </si>
  <si>
    <t>11 9 6905-3389</t>
  </si>
  <si>
    <t>RUA ENGENHEIRO GUILHERME CRISTIANO FREND 1275 BLC 2 APTO 96</t>
  </si>
  <si>
    <t xml:space="preserve">fanfeliciano@hotmail.com    </t>
  </si>
  <si>
    <t>BUD</t>
  </si>
  <si>
    <t>MARCO ANTONIO DE CARVALHO</t>
  </si>
  <si>
    <t xml:space="preserve"> 61 9976-5149</t>
  </si>
  <si>
    <t xml:space="preserve">RUA OSVALDO CRUZ 447 CASA 07 </t>
  </si>
  <si>
    <t>11045-101</t>
  </si>
  <si>
    <t>GATÃO</t>
  </si>
  <si>
    <t>LUCAS DAMIÃO MADEIRA</t>
  </si>
  <si>
    <t>054.531.993-50</t>
  </si>
  <si>
    <t xml:space="preserve">11 55224353 </t>
  </si>
  <si>
    <t>RODRIGO MAGALHÃES GOMES</t>
  </si>
  <si>
    <t>183.482.008-19</t>
  </si>
  <si>
    <t xml:space="preserve">11 991329202   </t>
  </si>
  <si>
    <t>RUA ANTONIETA 280</t>
  </si>
  <si>
    <t>PICANÇO</t>
  </si>
  <si>
    <t>DOLLAR</t>
  </si>
  <si>
    <t>EUN KYONG KIM</t>
  </si>
  <si>
    <t>38.479.099-9</t>
  </si>
  <si>
    <t>103.864.218-38</t>
  </si>
  <si>
    <t>11 9 7421-3070</t>
  </si>
  <si>
    <t>RUA NILO 275 APTO 22</t>
  </si>
  <si>
    <t>MAX</t>
  </si>
  <si>
    <t>PAGO ATE FINAL DO ADESTRAMENTO</t>
  </si>
  <si>
    <t>03477-000</t>
  </si>
  <si>
    <t>EMITIDO BOLETO DE NOV E DEZ18</t>
  </si>
  <si>
    <t>625.743.618-49</t>
  </si>
  <si>
    <t>marcocarvalho0203@gmail.com</t>
  </si>
  <si>
    <t>lucasdamiao@hotmail.com</t>
  </si>
  <si>
    <t>07080-120</t>
  </si>
  <si>
    <t>rodrigomagalhaesgomes@hotmail.com</t>
  </si>
  <si>
    <t>01533-010</t>
  </si>
  <si>
    <t>ek-kim@hotmail.com</t>
  </si>
  <si>
    <t>ANTONIO KENTI KUSO</t>
  </si>
  <si>
    <t>11 9 7077-4608</t>
  </si>
  <si>
    <t xml:space="preserve">RUA CLAUDIO MANOEL COSTA 126 JD DA INDEPENDENCIA </t>
  </si>
  <si>
    <t>EMBU DAS ARTES</t>
  </si>
  <si>
    <t>MARCELO DA ROSA FERNANDES</t>
  </si>
  <si>
    <t>277935368-60</t>
  </si>
  <si>
    <t xml:space="preserve">11 9 9501-3130 </t>
  </si>
  <si>
    <t>AV. JACUTINGA 120 APTO 162</t>
  </si>
  <si>
    <t>ODIE</t>
  </si>
  <si>
    <t>MONICA CESAR GAMA PEREIRA</t>
  </si>
  <si>
    <t>11 9 9393-7665</t>
  </si>
  <si>
    <t xml:space="preserve">RUA JOSE DO PATROCINIO 570 APTO 24 </t>
  </si>
  <si>
    <t>04108-001</t>
  </si>
  <si>
    <t>REBECA NEWLANDS PEREYRA</t>
  </si>
  <si>
    <t>378.229.178-62</t>
  </si>
  <si>
    <t>19 9 8253-1993</t>
  </si>
  <si>
    <t>AVENIDA ALDINO PINOTTI, 601 APTO 172 BLC 3</t>
  </si>
  <si>
    <t>POR 04 MESES</t>
  </si>
  <si>
    <t>rebecanew3@hotmail.com</t>
  </si>
  <si>
    <t>303249998-44</t>
  </si>
  <si>
    <t>monicacesar1@gmail.com</t>
  </si>
  <si>
    <t>EMITIDO BOLETO DE JAN A JUN19</t>
  </si>
  <si>
    <t>EMITIDO BOLETO DE JAN19</t>
  </si>
  <si>
    <t>2019 Soma</t>
  </si>
  <si>
    <t>Pago JAN19 Deposito</t>
  </si>
  <si>
    <t>SILVIA REGINA RIVITI</t>
  </si>
  <si>
    <t>23371028-0</t>
  </si>
  <si>
    <t>123.967.398-16</t>
  </si>
  <si>
    <t xml:space="preserve">RUA RIO GRANDE DO SUL 89 APTO 15 </t>
  </si>
  <si>
    <t xml:space="preserve">juliana.riviti@gmail.com      </t>
  </si>
  <si>
    <t xml:space="preserve">COM RAÇÃO </t>
  </si>
  <si>
    <t>DANILO AUGUSTO DA COSTA CRUZ</t>
  </si>
  <si>
    <t>334.994.918-50</t>
  </si>
  <si>
    <t>RUA FERNANDO PESSOA 505</t>
  </si>
  <si>
    <t xml:space="preserve">VILA DIONISIA </t>
  </si>
  <si>
    <t>02670-000</t>
  </si>
  <si>
    <t>PAÇOCA</t>
  </si>
  <si>
    <t>CHESTER</t>
  </si>
  <si>
    <t>2019 Total</t>
  </si>
  <si>
    <t>EMITIDO DE ABR/19 A MAR/20</t>
  </si>
  <si>
    <t>EMITIDO BOLETO DE MAR A ABR19</t>
  </si>
  <si>
    <t>06325-050</t>
  </si>
  <si>
    <t>BERNADETE AP.B.BORGES</t>
  </si>
  <si>
    <t xml:space="preserve">11 55816564    </t>
  </si>
  <si>
    <t>RUA APOTRIBÚ N° 150 APTO 181 B</t>
  </si>
  <si>
    <t>FIONA</t>
  </si>
  <si>
    <t xml:space="preserve">CARLOS ALBERTO XAVIER DA CUNHA </t>
  </si>
  <si>
    <t>11 9 87860660</t>
  </si>
  <si>
    <t>TAMBORE</t>
  </si>
  <si>
    <t>SANTANA DE PARNAIBA</t>
  </si>
  <si>
    <t>06544-420</t>
  </si>
  <si>
    <t>SEBASTIAN E MAYA</t>
  </si>
  <si>
    <t>04302-000</t>
  </si>
  <si>
    <t>bernadete_borges@hotmail.com</t>
  </si>
  <si>
    <t>EMITIDO BOLETO DE MAR E ABR/19</t>
  </si>
  <si>
    <t>11 39832183</t>
  </si>
  <si>
    <t>dekabi0816@hotmail.com</t>
  </si>
  <si>
    <t>EMITIDO BOLETO DE ABR A JUN19</t>
  </si>
  <si>
    <t>IVAN DE CASTRO DUARTE MARTINS</t>
  </si>
  <si>
    <t>19 9 9787-4729</t>
  </si>
  <si>
    <t xml:space="preserve">RUA FLORINDA MARTINUCCI ROMANETTI, 11 VILLAGE VISCONDE DE IMATARACÁ </t>
  </si>
  <si>
    <t>RECREIO DOS CAZEZAIS</t>
  </si>
  <si>
    <t>VALINHOS</t>
  </si>
  <si>
    <t>BUZZ</t>
  </si>
  <si>
    <t>11 99727-8050</t>
  </si>
  <si>
    <t>JULIA DUARTE BORGES COELHO</t>
  </si>
  <si>
    <t>9026767-9</t>
  </si>
  <si>
    <t>11 2362-3726</t>
  </si>
  <si>
    <t xml:space="preserve">RUA CAMANDULAS 112 APTO 91 </t>
  </si>
  <si>
    <t>VILA LEOPOLDINA</t>
  </si>
  <si>
    <t>05303-030</t>
  </si>
  <si>
    <t>PRINCESA</t>
  </si>
  <si>
    <t>24945948-55</t>
  </si>
  <si>
    <t>13278-370</t>
  </si>
  <si>
    <t>ivandecastro@terra.com.br</t>
  </si>
  <si>
    <t>054787604-12</t>
  </si>
  <si>
    <t>ALAMEDA MONTE PASCOAL 109 RESIDENCIAL ALPHASITO</t>
  </si>
  <si>
    <t>carlosxcunha@hotmail.com</t>
  </si>
  <si>
    <t>366.077.308-50</t>
  </si>
  <si>
    <t>EMITIDO BOLETO DE ABR E MAI19</t>
  </si>
  <si>
    <t>EMITIDO BOLETO DE MAI A JUN19</t>
  </si>
  <si>
    <t>OZZY</t>
  </si>
  <si>
    <t>034.996.238-38</t>
  </si>
  <si>
    <t>judbcoelho@gmail.com</t>
  </si>
  <si>
    <t>MILLIE</t>
  </si>
  <si>
    <t>EMITIDO BOLETO DE JUL A DEZ19</t>
  </si>
  <si>
    <t>AGUARDANDO DEFINIÇÃO SE IRA SAIR EM JULHO</t>
  </si>
  <si>
    <t>EMITIDO BOLETO DE JUL A DEZ 19</t>
  </si>
  <si>
    <t>MARCOS NÓLL BARBOZA</t>
  </si>
  <si>
    <t>55.656.151-X</t>
  </si>
  <si>
    <t>665.731.140/00</t>
  </si>
  <si>
    <t>21 99384-4459</t>
  </si>
  <si>
    <t>AV. DIOGENES RIBEIRO DE LIMA, 2361/ BLC1 A61</t>
  </si>
  <si>
    <t>ALTO DE  PINHEIROS</t>
  </si>
  <si>
    <t>05458-001</t>
  </si>
  <si>
    <t>noll1803@gmail.com</t>
  </si>
  <si>
    <t>Ziggy</t>
  </si>
  <si>
    <t>MAURICIO SANGER</t>
  </si>
  <si>
    <t>005.868.548-00</t>
  </si>
  <si>
    <t>119 8616-9327</t>
  </si>
  <si>
    <t>rua paraguassu, 435 apto 121</t>
  </si>
  <si>
    <t>05006-011</t>
  </si>
  <si>
    <t>mauricio.sanger1979@gmail.com</t>
  </si>
  <si>
    <t>BAMBAM</t>
  </si>
  <si>
    <t>SEBASTIAN</t>
  </si>
  <si>
    <t>EMITIDO BOLETO DE AGO A DEZ19</t>
  </si>
  <si>
    <t>Rua dos democratas, 445 ap 91 edificio san remo</t>
  </si>
  <si>
    <t>vila monte alegre</t>
  </si>
  <si>
    <t>04305-000</t>
  </si>
  <si>
    <t>EMITIDO BOLETO AGO a OUT 19</t>
  </si>
  <si>
    <t>RUTH KLINGENHOFF</t>
  </si>
  <si>
    <t>066.204.138-03</t>
  </si>
  <si>
    <t xml:space="preserve">RUA MURITIBA, 569 APTO 12 </t>
  </si>
  <si>
    <t>VILA SCARPELLI</t>
  </si>
  <si>
    <t>FELIPE PEREIRA DA ROSA</t>
  </si>
  <si>
    <t>11 97047-9079</t>
  </si>
  <si>
    <t>RUA CIPRIANO BARATA 201 APTO 56 BL 4</t>
  </si>
  <si>
    <t>IPIRANGA</t>
  </si>
  <si>
    <t>04205-000</t>
  </si>
  <si>
    <t>ÁGATA</t>
  </si>
  <si>
    <t>JULIANA HIBARI DOS SANTOS MORITA</t>
  </si>
  <si>
    <t>318.742.448-12</t>
  </si>
  <si>
    <t>11 9 7110-5541</t>
  </si>
  <si>
    <t xml:space="preserve">RUA SENADOR FEIJÓ 162 </t>
  </si>
  <si>
    <t xml:space="preserve">CENTRO </t>
  </si>
  <si>
    <t>TOMBA</t>
  </si>
  <si>
    <t>salaoalegria2016@gmail.com</t>
  </si>
  <si>
    <t>felipepereirarosa@live.com</t>
  </si>
  <si>
    <t>06700-075</t>
  </si>
  <si>
    <t>juliana_hibari@hotmail.com</t>
  </si>
  <si>
    <t xml:space="preserve">CLAUDIA CARDOSO RODRIGUES </t>
  </si>
  <si>
    <t>223721908-73</t>
  </si>
  <si>
    <t>11 9 7650-1340</t>
  </si>
  <si>
    <t>RUA CARLOS GOMES 263 APTO 41</t>
  </si>
  <si>
    <t>09715-130</t>
  </si>
  <si>
    <t>claudiarod.sp@gmail.com</t>
  </si>
  <si>
    <t>COLITA E CHOLO</t>
  </si>
  <si>
    <t>DENIS CAMARGO GAMBARO</t>
  </si>
  <si>
    <t>315165448-70</t>
  </si>
  <si>
    <t>11 97777-1982</t>
  </si>
  <si>
    <t>AVENIDA PROFESSOR LUIZ IGNÁCIO ANHAIA MELLO 3800 APTO 163 BLC A</t>
  </si>
  <si>
    <t xml:space="preserve">JARDIM INDEPENDENCIA </t>
  </si>
  <si>
    <t>denisgambaro@bol.com.br</t>
  </si>
  <si>
    <t xml:space="preserve">ZYON </t>
  </si>
  <si>
    <t>COM RAÇÃO E COLEIRA</t>
  </si>
  <si>
    <t>GIULIA RESENDE PINELLO</t>
  </si>
  <si>
    <t>11 98740-0663</t>
  </si>
  <si>
    <t xml:space="preserve">RUA JORGE TIBIRICA, 77 APTO 18 </t>
  </si>
  <si>
    <t>04126-000</t>
  </si>
  <si>
    <t>STILL</t>
  </si>
  <si>
    <t>COM COLEIRA</t>
  </si>
  <si>
    <t>429625758-70</t>
  </si>
  <si>
    <t>giuliarpinello@gmail.com</t>
  </si>
  <si>
    <t>Rua Tamandaré, 655 Ap 165</t>
  </si>
  <si>
    <t>LIBERDADE</t>
  </si>
  <si>
    <t>01525-001</t>
  </si>
  <si>
    <t>LIZ ALEXANDRITA DE SOUZA BARRETO</t>
  </si>
  <si>
    <t>30706867-5</t>
  </si>
  <si>
    <t>355.298.618/90</t>
  </si>
  <si>
    <t>11 9 7411-9191</t>
  </si>
  <si>
    <t xml:space="preserve">RUA JOSE PIRAGIBE, 34 CASAB </t>
  </si>
  <si>
    <t>CÉRBERUS</t>
  </si>
  <si>
    <t>ADRIANA RODRIGUES LOPEZ HERNANDEZ</t>
  </si>
  <si>
    <t>23271188-4</t>
  </si>
  <si>
    <t>112261-1855</t>
  </si>
  <si>
    <t xml:space="preserve">RUA SANTO ADALBERTO 207 </t>
  </si>
  <si>
    <t xml:space="preserve">JARDIM FRANCA </t>
  </si>
  <si>
    <t>02338-000</t>
  </si>
  <si>
    <t xml:space="preserve">adrianarlh@bol.com.br </t>
  </si>
  <si>
    <t>SNOOPY</t>
  </si>
  <si>
    <t>WILLIAM SOARES REIS</t>
  </si>
  <si>
    <t>355.623.728-86</t>
  </si>
  <si>
    <t>11 98128-2429</t>
  </si>
  <si>
    <t xml:space="preserve">AV, GUARAPIRANGA 2616 JD DAS FLORES </t>
  </si>
  <si>
    <t>PARQUE ALVES DE LIMA</t>
  </si>
  <si>
    <t>04904-904</t>
  </si>
  <si>
    <t>willsore@hotmail.com</t>
  </si>
  <si>
    <t>ZAEL</t>
  </si>
  <si>
    <t>AMANDA SEQUEIRA VOCI</t>
  </si>
  <si>
    <t>28.823.850-3</t>
  </si>
  <si>
    <t>11 9 7397-0840</t>
  </si>
  <si>
    <t>RUA CABINDA, 87 CASA 5</t>
  </si>
  <si>
    <t>VILA LUCIA</t>
  </si>
  <si>
    <t>SUMMER</t>
  </si>
  <si>
    <t>181.646.918-10</t>
  </si>
  <si>
    <t>PAMELA CRISTINA BARBOSA</t>
  </si>
  <si>
    <t>368.921.058-58</t>
  </si>
  <si>
    <t>11 97407-6876</t>
  </si>
  <si>
    <t>PRAÇA NOSSA SENHORA DE NAZARÉ 52</t>
  </si>
  <si>
    <t>NAZARÉ PAULISTA</t>
  </si>
  <si>
    <t>YAN</t>
  </si>
  <si>
    <t>DEBORA GARCIA NOGUEIRA TYBA</t>
  </si>
  <si>
    <t>023.264.788-78</t>
  </si>
  <si>
    <t>11 99844-3392</t>
  </si>
  <si>
    <t xml:space="preserve">RUA MORGADO DE MATEUS 481 APTO 21 </t>
  </si>
  <si>
    <t>04015-051</t>
  </si>
  <si>
    <t>DEXTER E THOR</t>
  </si>
  <si>
    <t xml:space="preserve">ALEXANDRE SERRÃO DE FILIPPO   </t>
  </si>
  <si>
    <t xml:space="preserve">M-5.743.   </t>
  </si>
  <si>
    <t>927.135.216-53</t>
  </si>
  <si>
    <t xml:space="preserve">11 8134-8840  </t>
  </si>
  <si>
    <t xml:space="preserve">BROOKLIN     </t>
  </si>
  <si>
    <t>WILLIAN SHAKESPEARE</t>
  </si>
  <si>
    <t>MARIA ISABEL LUCAS DIAS AFONSO</t>
  </si>
  <si>
    <t>214.100.588-40</t>
  </si>
  <si>
    <t>1198204-1987</t>
  </si>
  <si>
    <t xml:space="preserve">RUA COM. ANGELO RINALDI   227 CASA 2        </t>
  </si>
  <si>
    <t xml:space="preserve">CAMPO LIMPO </t>
  </si>
  <si>
    <t>05785-080</t>
  </si>
  <si>
    <t>WILLY</t>
  </si>
  <si>
    <t>EMITIDO BOLETOS JAN A JUN20</t>
  </si>
  <si>
    <t>279.802.958-97</t>
  </si>
  <si>
    <t>03144-040</t>
  </si>
  <si>
    <t>amandavoci@uol.com.br</t>
  </si>
  <si>
    <t>EMITIDO BOLETOS JAN A FEV20</t>
  </si>
  <si>
    <t>12960-000</t>
  </si>
  <si>
    <t>fabioedu1313@gmail.com</t>
  </si>
  <si>
    <t>mdturismo@terra.com.br</t>
  </si>
  <si>
    <t>RUA ANTONIO PACHECO VALENTE, 60 APTO 232</t>
  </si>
  <si>
    <t>04710-130</t>
  </si>
  <si>
    <t>ROBERTO THIELE</t>
  </si>
  <si>
    <t>214.976.748-16</t>
  </si>
  <si>
    <t>119 9484-4203</t>
  </si>
  <si>
    <t>AV HORACIO LAFER 621 APTO 91</t>
  </si>
  <si>
    <t xml:space="preserve">ITAIM BIBI  </t>
  </si>
  <si>
    <t>bob.thiele@gmail.com</t>
  </si>
  <si>
    <t>DANIEL SIQUEIRA LOPES</t>
  </si>
  <si>
    <t>223310228-28</t>
  </si>
  <si>
    <t>119 8626-6996</t>
  </si>
  <si>
    <t xml:space="preserve">RUA DAVID MATARAZZO 77 APTO 126 </t>
  </si>
  <si>
    <t xml:space="preserve">JARDIM MONTE KEMEL </t>
  </si>
  <si>
    <t>FRED E ELZA</t>
  </si>
  <si>
    <t>belafonso@hotmail.com</t>
  </si>
  <si>
    <t>a_filippo@uol.com.br</t>
  </si>
  <si>
    <t>dalva_mcar@yahoo.com.br</t>
  </si>
  <si>
    <t>alineamand13@gmail.com.br</t>
  </si>
  <si>
    <t>danielsiqueiralopes@gmail.com</t>
  </si>
  <si>
    <t>11 4426-4095/4901-3484</t>
  </si>
  <si>
    <t>05633-090</t>
  </si>
  <si>
    <t>04538-083</t>
  </si>
  <si>
    <t>l.alexandrita@gmail.com</t>
  </si>
  <si>
    <t>acctravassos@gmail.com</t>
  </si>
  <si>
    <t>garmentano@uol.com.br</t>
  </si>
  <si>
    <t>2020 Soma</t>
  </si>
  <si>
    <t>VALQUIRIA TEIXEIRA PEREIRA</t>
  </si>
  <si>
    <t>163.720.518-00</t>
  </si>
  <si>
    <t>11 9 9864-9256</t>
  </si>
  <si>
    <t>RUA DOMINGTON 169 PQ DELFIM VERDE</t>
  </si>
  <si>
    <t>ITAPECIRICA DA SERRA</t>
  </si>
  <si>
    <t>06872-106</t>
  </si>
  <si>
    <t xml:space="preserve">dravalquiria@hotmail.com    </t>
  </si>
  <si>
    <t>BRISA</t>
  </si>
  <si>
    <t>DANIELE FAÇANHA DE SÁ</t>
  </si>
  <si>
    <t>573.713.261.72</t>
  </si>
  <si>
    <t>11 9 5108-3811</t>
  </si>
  <si>
    <t>RUA FREDERICO ABRANCHES 406 APTO 11</t>
  </si>
  <si>
    <t>01225-000</t>
  </si>
  <si>
    <t xml:space="preserve">danielefacanha@gmail.com   </t>
  </si>
  <si>
    <t>PIPOCA E FAROFA</t>
  </si>
  <si>
    <t>KELSEY KATHERINE FRIZZELL</t>
  </si>
  <si>
    <t>G198741-P</t>
  </si>
  <si>
    <t>237.912.778-63</t>
  </si>
  <si>
    <t>11 9 20075324</t>
  </si>
  <si>
    <t>RUA AGOSTINHO GOMES ,00972 BLC 04 APTO 4142</t>
  </si>
  <si>
    <t xml:space="preserve">kelsey.frizzell@gmail.com  </t>
  </si>
  <si>
    <t>LEONA</t>
  </si>
  <si>
    <t>PAGO POR 03 MESES</t>
  </si>
  <si>
    <t>MARIA SEVERINA ALVES MACIEL</t>
  </si>
  <si>
    <t>955728648-20</t>
  </si>
  <si>
    <t>RUA FELISBERTO FREIRE , 523 CASA 03</t>
  </si>
  <si>
    <t xml:space="preserve">VL BELA VISTA </t>
  </si>
  <si>
    <t>02616-090</t>
  </si>
  <si>
    <t>11 98951-7361</t>
  </si>
  <si>
    <t xml:space="preserve">robertoamaciel@hotmail.com      </t>
  </si>
  <si>
    <t>ALBERTA</t>
  </si>
  <si>
    <t xml:space="preserve">ANA PAULA ALVES LIMEIRA </t>
  </si>
  <si>
    <t>344.213.098-00</t>
  </si>
  <si>
    <t>11 9 7623-2814</t>
  </si>
  <si>
    <t xml:space="preserve">AV DOS OURIVES 530 BLC 7 APTO 32 </t>
  </si>
  <si>
    <t>JARDIM SÃO SAVERIO</t>
  </si>
  <si>
    <t>aplimeira@yahoo.com.br</t>
  </si>
  <si>
    <t>CAROLINE XAVIER ADESCENCO</t>
  </si>
  <si>
    <t>11 9 8605-7708</t>
  </si>
  <si>
    <t xml:space="preserve">RUA SERRA DO JAPI 320  BLC 1 APTO 123    </t>
  </si>
  <si>
    <t>VILA GOMES CARDIM</t>
  </si>
  <si>
    <t xml:space="preserve">caroline.adescenco@gmail.com     </t>
  </si>
  <si>
    <t>CHOCOLATE</t>
  </si>
  <si>
    <t>CESAR AUGUSTO TRINDADE</t>
  </si>
  <si>
    <t>8101353X</t>
  </si>
  <si>
    <t>817.266.948-87</t>
  </si>
  <si>
    <t>11 9 9979-3301</t>
  </si>
  <si>
    <t>AV RAIMUNDO PEREIRA DE MAGALHÃES 3363 BLC 1 A132</t>
  </si>
  <si>
    <t>JARDIM IRIS</t>
  </si>
  <si>
    <t>05145-200</t>
  </si>
  <si>
    <t xml:space="preserve">catarine@uol.com.br            </t>
  </si>
  <si>
    <t>ANTONIO CARLOS DE OLIVEIRA CARNEIRO</t>
  </si>
  <si>
    <t>11 9 7614-3422</t>
  </si>
  <si>
    <t>AV ESCOLA POLITENICA APTO 224 C1</t>
  </si>
  <si>
    <t>PARQUE DOS PRINCIPES</t>
  </si>
  <si>
    <t>a_carneiro@ig.com.br</t>
  </si>
  <si>
    <t>VICTOR CEBIN REGES</t>
  </si>
  <si>
    <t> 214079543</t>
  </si>
  <si>
    <t xml:space="preserve">RUA SERRA DE BRAGAN 791 APTO 1001- </t>
  </si>
  <si>
    <t>01529-000</t>
  </si>
  <si>
    <t> vreges@gmail.com</t>
  </si>
  <si>
    <t>PRETO</t>
  </si>
  <si>
    <t>GILBERTO TAKEO SATO</t>
  </si>
  <si>
    <t>038.071.378-07</t>
  </si>
  <si>
    <t>11 9 8771-7521</t>
  </si>
  <si>
    <t>RUA INHAMBU, 666</t>
  </si>
  <si>
    <t> 04520012</t>
  </si>
  <si>
    <t>karolinepaes@outlook.com.br</t>
  </si>
  <si>
    <t>SUKI E LUCKY</t>
  </si>
  <si>
    <t xml:space="preserve">ALESSANDRA YUKIE TOKUMOTO </t>
  </si>
  <si>
    <t>041.594.269-13</t>
  </si>
  <si>
    <t>RUA MARIE NADER CALFAT  APTO 82 B 2</t>
  </si>
  <si>
    <t>05713-520</t>
  </si>
  <si>
    <t>alessandra.med@gmail.com</t>
  </si>
  <si>
    <t>LUIGI</t>
  </si>
  <si>
    <t xml:space="preserve">BRUNO HENRIQUE PATARO DE OLIVEIRA   </t>
  </si>
  <si>
    <t xml:space="preserve">bruno.pataro@hotmail.com         </t>
  </si>
  <si>
    <t>406.478.748-06</t>
  </si>
  <si>
    <t xml:space="preserve">11 97260-1386 </t>
  </si>
  <si>
    <t xml:space="preserve">AVENIDA SARAH VELOSO  BLOCO 11, AP 92 CONDOMINIO ELDORADO  </t>
  </si>
  <si>
    <t xml:space="preserve">JARDIM VELOSO   </t>
  </si>
  <si>
    <t>FELIPE CAROLO</t>
  </si>
  <si>
    <t>356.626.678-70</t>
  </si>
  <si>
    <t xml:space="preserve">11 9 6310-0003    </t>
  </si>
  <si>
    <t xml:space="preserve">RUA DOS INGLESES, 222 APTO 61 </t>
  </si>
  <si>
    <t>MORRO DOS INGLESES</t>
  </si>
  <si>
    <t xml:space="preserve">ffcarolo@gmail.com   </t>
  </si>
  <si>
    <t>BALTAZAR</t>
  </si>
  <si>
    <t>COM RAÇÃO ROYAL CANIN INCLUSO</t>
  </si>
  <si>
    <t>MARIA HELENA PAZ DE LIMA</t>
  </si>
  <si>
    <t>861.682.668-87</t>
  </si>
  <si>
    <t>112883-5028</t>
  </si>
  <si>
    <t>RUA EMILIO GOELDI 00545 BLC 2 APTO 151</t>
  </si>
  <si>
    <t>LAPA DE BAIXO</t>
  </si>
  <si>
    <t>05065-110</t>
  </si>
  <si>
    <t xml:space="preserve">melenalima@gmail.com  </t>
  </si>
  <si>
    <t>GAEL</t>
  </si>
  <si>
    <t>SEM RAÇÃO, COM COLEIRA E VERMIFUGO</t>
  </si>
  <si>
    <t>EVANDRO LUIZ DE SOUZA</t>
  </si>
  <si>
    <t>15707499X</t>
  </si>
  <si>
    <t>125.805448-52</t>
  </si>
  <si>
    <t>11 9 7720-4496</t>
  </si>
  <si>
    <t>AV GUARAPIRANGA 02616 BLC 11/COLIBRI APTO 142</t>
  </si>
  <si>
    <t>JARDIM DAS FLORES</t>
  </si>
  <si>
    <t>SEM O FORNECIMENTO DE PRODUTOS</t>
  </si>
  <si>
    <t>com ração  e coleira</t>
  </si>
  <si>
    <t>NEY FERREIRA DE SOUZA GUERRA</t>
  </si>
  <si>
    <t>11 9 9384-5291</t>
  </si>
  <si>
    <t xml:space="preserve">nguerra229@gmail.com                                        </t>
  </si>
  <si>
    <t xml:space="preserve">RUA ALVES GUIMARÃES 911 APTO 82 </t>
  </si>
  <si>
    <t>05410-001</t>
  </si>
  <si>
    <t>INCLUSO RAÇÃO MAX, COLEIRA E VERMIFUGO</t>
  </si>
  <si>
    <t>MARCIA DE PINHO VIEIRA</t>
  </si>
  <si>
    <t>11 9 9918-8301</t>
  </si>
  <si>
    <t>AV. WASHINGTON LUÍS 1576 APTO 264 A</t>
  </si>
  <si>
    <t>SANTO AMARO</t>
  </si>
  <si>
    <t>marciapvieira@hotmail.com</t>
  </si>
  <si>
    <t>PAULA ODETE BOTÃO</t>
  </si>
  <si>
    <t>11 9 91437751</t>
  </si>
  <si>
    <t>RUA OJINAGA 70</t>
  </si>
  <si>
    <t>JARDIM SÃO JANÚARIO</t>
  </si>
  <si>
    <t xml:space="preserve">paulaodete@bol.com.br     </t>
  </si>
  <si>
    <t>LILIA RITA CLAROS MERCADO GARDIANO</t>
  </si>
  <si>
    <t>028.475.678-44</t>
  </si>
  <si>
    <t>11 98224-2219</t>
  </si>
  <si>
    <t>RUA VITORINO ALVES MOITINHO 50 CASA 31</t>
  </si>
  <si>
    <t>VILA SÃO SILVESTRE</t>
  </si>
  <si>
    <t xml:space="preserve">liligardiano@gmail.com    </t>
  </si>
  <si>
    <t>CHARLES PIPO</t>
  </si>
  <si>
    <t>INCLUSO RAÇÃO MAX E VERMIFUGO</t>
  </si>
  <si>
    <t>JOSE RILIARDE AGOSTINHO IRINEU</t>
  </si>
  <si>
    <t>052.288.303-67</t>
  </si>
  <si>
    <t xml:space="preserve">11 9 8518-9185     </t>
  </si>
  <si>
    <t>DAIANE BATISTA FERREIRA</t>
  </si>
  <si>
    <t>416.241.298-70</t>
  </si>
  <si>
    <t>11 94632-5811</t>
  </si>
  <si>
    <t xml:space="preserve">RUA MANAIAS 180 APTO 102 </t>
  </si>
  <si>
    <t>PARQUE PRUDENT</t>
  </si>
  <si>
    <t>03140-040</t>
  </si>
  <si>
    <t>04662-902</t>
  </si>
  <si>
    <t>05386-340</t>
  </si>
  <si>
    <t>01319-010</t>
  </si>
  <si>
    <t xml:space="preserve">financeiro.mecanicaferreira@gmail.com   </t>
  </si>
  <si>
    <t>BENJAMIM</t>
  </si>
  <si>
    <t>EMITIDO BOLETOS JUL A DEZ20</t>
  </si>
  <si>
    <t>05781-270</t>
  </si>
  <si>
    <t>EMITIDO BOLETO DEZ20</t>
  </si>
  <si>
    <t>YE LIN KIM</t>
  </si>
  <si>
    <t>V3684009DIREXSP</t>
  </si>
  <si>
    <t>440.618.998-05</t>
  </si>
  <si>
    <t>11 9 63938309</t>
  </si>
  <si>
    <t xml:space="preserve">ALAMEDA RIBEIRÃO PRETO 86 APTO 31 </t>
  </si>
  <si>
    <t>01331-000</t>
  </si>
  <si>
    <t xml:space="preserve">fyelink@gmail.com    </t>
  </si>
  <si>
    <t>NEMO</t>
  </si>
  <si>
    <t>PAULO DA SILVA CANUTO JUNIOR</t>
  </si>
  <si>
    <t>049.973.479-30</t>
  </si>
  <si>
    <t>VILA ISA</t>
  </si>
  <si>
    <t>04689-070</t>
  </si>
  <si>
    <t>paulocanutojr@hotmail.com</t>
  </si>
  <si>
    <t>RYU</t>
  </si>
  <si>
    <t>SEM NADA INCLUSO</t>
  </si>
  <si>
    <t>2020 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</si>
  <si>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</si>
  <si>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</si>
  <si>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</si>
  <si>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</si>
  <si>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</si>
  <si>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</si>
  <si>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</si>
  <si>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</si>
  <si>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</si>
  <si>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</si>
  <si>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</si>
  <si>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</si>
  <si>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</si>
  <si>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279.802.958/97</t>
  </si>
  <si>
    <t>11 97397-0840</t>
  </si>
  <si>
    <t xml:space="preserve">RUA CABINDA, 87 CASA 5 </t>
  </si>
  <si>
    <t>JULIAN SHINOBU AKINAGA</t>
  </si>
  <si>
    <t>347.654.808-28</t>
  </si>
  <si>
    <t>41 9 9917-0026</t>
  </si>
  <si>
    <t xml:space="preserve">RUA TABAJARAS, 226 ÚNICO-202 </t>
  </si>
  <si>
    <t xml:space="preserve">VILA ISABEL </t>
  </si>
  <si>
    <t>CURITIBA</t>
  </si>
  <si>
    <t>80320-310</t>
  </si>
  <si>
    <t>Entrada</t>
  </si>
  <si>
    <t>Saída</t>
  </si>
  <si>
    <t>Total de cães</t>
  </si>
  <si>
    <t>Média</t>
  </si>
  <si>
    <t>Valor 2019 e 2020</t>
  </si>
  <si>
    <t>Valor 2021</t>
  </si>
  <si>
    <t>JULIANA BERTO SANCHEZ</t>
  </si>
  <si>
    <t>442.055.748-60</t>
  </si>
  <si>
    <t>1199561-7876</t>
  </si>
  <si>
    <t xml:space="preserve">RUA FLÁVIO DE MELO, 00180 APTO 141 </t>
  </si>
  <si>
    <t>04117-130</t>
  </si>
  <si>
    <t>juliana.bsanchez@gmail.com</t>
  </si>
  <si>
    <t>KUZCO E BABI</t>
  </si>
  <si>
    <t>JULIANA JACOMINO DA ROCHA</t>
  </si>
  <si>
    <t>223.980.228-62</t>
  </si>
  <si>
    <t>11 9 5821-0013</t>
  </si>
  <si>
    <t xml:space="preserve">RUA INHAMBU 1325 APTO 71 </t>
  </si>
  <si>
    <t>VILA UBERABINHA</t>
  </si>
  <si>
    <t>04520-014</t>
  </si>
  <si>
    <t>SUZY CHANG NERES</t>
  </si>
  <si>
    <t>037.601.739-26</t>
  </si>
  <si>
    <t>11 9 4979-3346</t>
  </si>
  <si>
    <t>RUA TOCANTINS 560 APTO 31</t>
  </si>
  <si>
    <t>NOVA GERTY</t>
  </si>
  <si>
    <t>SÃO CAETANO DO SUL</t>
  </si>
  <si>
    <t>09580-130</t>
  </si>
  <si>
    <t>suzy_chang05@hotmail.com</t>
  </si>
  <si>
    <t>OTTO</t>
  </si>
  <si>
    <t>MAGALI E CIDO</t>
  </si>
  <si>
    <t>julian.akinaga@gmail.com</t>
  </si>
  <si>
    <t>EMITIDO BOLETOS JAN E FEV21</t>
  </si>
  <si>
    <t>jjr271278@gmail.com</t>
  </si>
  <si>
    <t>TEVEZ</t>
  </si>
  <si>
    <t>EMITIDO BOLETO JAN A JUN21</t>
  </si>
  <si>
    <t>MARTELO</t>
  </si>
  <si>
    <t>2021 Total</t>
  </si>
  <si>
    <t>CRISTINA TAVARES DA SILVA</t>
  </si>
  <si>
    <t>W643182-1</t>
  </si>
  <si>
    <t>852.078.618-91</t>
  </si>
  <si>
    <t>11 9 8168-1717</t>
  </si>
  <si>
    <t xml:space="preserve">RUA MARCOS LOPES 272 APTO 41 E </t>
  </si>
  <si>
    <t>VILA NOVA CONCEIÇÃO</t>
  </si>
  <si>
    <t>04513-080</t>
  </si>
  <si>
    <t>RENAN DE CAMPOS BONIFACIO</t>
  </si>
  <si>
    <t>327.138.588-28</t>
  </si>
  <si>
    <t>15 9 9697-8316</t>
  </si>
  <si>
    <t>RUA ITAPIOCA 11 CONDOMINIO PATRIMONIO DO JAÚ</t>
  </si>
  <si>
    <t>CURRAL</t>
  </si>
  <si>
    <t>IBIÚNA</t>
  </si>
  <si>
    <t>renan.campos@outlook.com</t>
  </si>
  <si>
    <t>PIPOCA</t>
  </si>
  <si>
    <t>WILSON MELGES ANTUNES</t>
  </si>
  <si>
    <t>371.085.488-10</t>
  </si>
  <si>
    <t>19 9 9372-6303</t>
  </si>
  <si>
    <t>RUA JOAQUIM DE SEABRA 234 PARQUE RESIDENCIAL NOVA CANAÃ</t>
  </si>
  <si>
    <t>MOGI GUAÇU</t>
  </si>
  <si>
    <t>13848-622</t>
  </si>
  <si>
    <t>ZOE</t>
  </si>
  <si>
    <t>MARCIO LEITE</t>
  </si>
  <si>
    <t>142.311.788-36</t>
  </si>
  <si>
    <t>AVENIDA ARICANDUVA 8256 BLC 4 APTO 22</t>
  </si>
  <si>
    <t>CRISTAL</t>
  </si>
  <si>
    <t>cristina.tavares7@gmail.com</t>
  </si>
  <si>
    <t>wilson.m.antunes@hotmail.com</t>
  </si>
  <si>
    <t>03951-220</t>
  </si>
  <si>
    <t>Jd Colonial</t>
  </si>
  <si>
    <t>gatosemprealerta1873@gmail.com</t>
  </si>
  <si>
    <t>2021 Soma</t>
  </si>
  <si>
    <t>DEISE COELHO DE ANDRADE</t>
  </si>
  <si>
    <t>11 9 8427-9903</t>
  </si>
  <si>
    <t>ESTRADA VICINAL SEICHO NOIE 1350 CASA 5</t>
  </si>
  <si>
    <t>deise.c.a@hotmail.com</t>
  </si>
  <si>
    <t>KOBALT</t>
  </si>
  <si>
    <t>18150-000</t>
  </si>
  <si>
    <t>057.612.928-31</t>
  </si>
  <si>
    <t>Paiol Pequeno</t>
  </si>
  <si>
    <t>Ibiuna</t>
  </si>
  <si>
    <t>audreyrovelli@hotmail.com</t>
  </si>
  <si>
    <t>LUCAS HENRIQUE  NASCIMENTO GUIMARÃES</t>
  </si>
  <si>
    <t>391.676.848-40</t>
  </si>
  <si>
    <t> AVENIDA HENRIQUE GONÇALVES BAPTISTA, 2245 TORRE 6 APTO 26</t>
  </si>
  <si>
    <t>JARDIM BELVAL</t>
  </si>
  <si>
    <t>BARUERI</t>
  </si>
  <si>
    <t>06420-130</t>
  </si>
  <si>
    <t>lucas_meme@hotmail.com</t>
  </si>
  <si>
    <t>BUTCH</t>
  </si>
  <si>
    <t>ANA JULIA BERNARDES WEICKERT</t>
  </si>
  <si>
    <t>056.503349-27</t>
  </si>
  <si>
    <t>11 9 7575-9104</t>
  </si>
  <si>
    <t>RUA FERNANDES DE ABREU 9 APTO 191</t>
  </si>
  <si>
    <t>04543-070</t>
  </si>
  <si>
    <t>ajuliab28@gmail.com</t>
  </si>
  <si>
    <t>GAIA</t>
  </si>
  <si>
    <t>DANIEL KATAYAMA KASAI</t>
  </si>
  <si>
    <t>315.337.818-50</t>
  </si>
  <si>
    <t>11 9 9361-8787</t>
  </si>
  <si>
    <t>RUA AFONSO DE FREITAS 716 APTO 12</t>
  </si>
  <si>
    <t>04006-052</t>
  </si>
  <si>
    <t>danielmid@gmail.com</t>
  </si>
  <si>
    <t>GUS</t>
  </si>
  <si>
    <t>Previsto sair dia 30/03</t>
  </si>
  <si>
    <t>EMITIDO BOLETO DE ABR A MAI21</t>
  </si>
  <si>
    <t>ALEJANDRO QUIROGA GARAFULIC</t>
  </si>
  <si>
    <t>233.066.678-03</t>
  </si>
  <si>
    <t>11 3739-3612</t>
  </si>
  <si>
    <t xml:space="preserve">RUA DAVID PIMENTEL, 1077 CASA 1 </t>
  </si>
  <si>
    <t>MORUMBI</t>
  </si>
  <si>
    <t>05657-010</t>
  </si>
  <si>
    <t>alequiroga94@gmail.com</t>
  </si>
  <si>
    <t>PATO</t>
  </si>
  <si>
    <t xml:space="preserve">RODRIGO CALDAS DE TOLEDO AGUIAR </t>
  </si>
  <si>
    <t>084.600.558-17</t>
  </si>
  <si>
    <t>11 98522-3344</t>
  </si>
  <si>
    <t>RUA DOMENICO PEROTTI 50 APTO 131</t>
  </si>
  <si>
    <t>PANAMBY</t>
  </si>
  <si>
    <t>05704-080</t>
  </si>
  <si>
    <t>EMITIDO BOLETO MAI A JUN21</t>
  </si>
  <si>
    <t>MAURICIO PEREIRA COSTA</t>
  </si>
  <si>
    <t>299.631.698-30</t>
  </si>
  <si>
    <t>11 9 7288-8902</t>
  </si>
  <si>
    <t xml:space="preserve">AV GIOVANI ATTILIO TOLAINE 99 </t>
  </si>
  <si>
    <t>VOTUPOCA</t>
  </si>
  <si>
    <t>06445-000</t>
  </si>
  <si>
    <t>DANIEL MACHADO RODRIGUES</t>
  </si>
  <si>
    <t>000.441.281-85</t>
  </si>
  <si>
    <t>11 9 9135-3773</t>
  </si>
  <si>
    <t xml:space="preserve">AV GIOVANNI GRONCHI, 4381 APTO 176 </t>
  </si>
  <si>
    <t>daniel.m.rodrigues@outlook.com</t>
  </si>
  <si>
    <t>CAETANO</t>
  </si>
  <si>
    <t>JONAS EDUARDO PEREIRA</t>
  </si>
  <si>
    <t>388.849.948-88</t>
  </si>
  <si>
    <t xml:space="preserve">RUA DAS PALMEIRAS, 215 APTO 143 TORRE 1 </t>
  </si>
  <si>
    <t>GOPOAVA</t>
  </si>
  <si>
    <t xml:space="preserve">GUARULHOS </t>
  </si>
  <si>
    <t>07022-000</t>
  </si>
  <si>
    <t xml:space="preserve">jonasepereira6@gmail.com                                    </t>
  </si>
  <si>
    <t>NICK</t>
  </si>
  <si>
    <t>Avenida Brasil 1598 Ap 12 torre 12</t>
  </si>
  <si>
    <t>Monte santo</t>
  </si>
  <si>
    <t>Cotia</t>
  </si>
  <si>
    <t>06700-300</t>
  </si>
  <si>
    <t>marisaborbagarcia@gmail.com</t>
  </si>
  <si>
    <t>002.856.013-25</t>
  </si>
  <si>
    <t>292.395.418-10</t>
  </si>
  <si>
    <t>SUELEN CINTIA TARGINO NETO</t>
  </si>
  <si>
    <t>379.547.588-00</t>
  </si>
  <si>
    <t>11 9 7987-0883</t>
  </si>
  <si>
    <t xml:space="preserve">RUA ANTONIETA LEITÃO 161 </t>
  </si>
  <si>
    <t>FREGUESIA DO Ó</t>
  </si>
  <si>
    <t>02925-160</t>
  </si>
  <si>
    <t>suelen.targino@hotmail.com</t>
  </si>
  <si>
    <t>MARISA BORBA GARCIA</t>
  </si>
  <si>
    <t>Pago semestre a vista</t>
  </si>
  <si>
    <t>EMITIDO BOLETO JUL A DEZ21</t>
  </si>
  <si>
    <t>RUA AMOIPIRA, 201 APTO 05 BLC B</t>
  </si>
  <si>
    <t>mauricioaeb@icloud.com</t>
  </si>
  <si>
    <t>11 99497-9467</t>
  </si>
  <si>
    <t xml:space="preserve">RUA MOISES MARX 220 CS 04 </t>
  </si>
  <si>
    <t>03507-000</t>
  </si>
  <si>
    <t>LOLO</t>
  </si>
  <si>
    <t>190.693.078-39</t>
  </si>
  <si>
    <t>VL ARICANDUVA</t>
  </si>
  <si>
    <t>ellisaraujo@hotmail.com</t>
  </si>
  <si>
    <t>EDIMILSON LOPES DE SOUSA</t>
  </si>
  <si>
    <t>297.344.168-47</t>
  </si>
  <si>
    <t>11 94003-8441</t>
  </si>
  <si>
    <t xml:space="preserve">RUA PADRE ORLANDO NOGUEIRA, 18 CASA </t>
  </si>
  <si>
    <t xml:space="preserve">LIMOEIRO </t>
  </si>
  <si>
    <t>TARZAN</t>
  </si>
  <si>
    <t>ELISANGELA T. DE ARAUJO TOLOSA</t>
  </si>
  <si>
    <t>LANA</t>
  </si>
  <si>
    <t>RUA ABOLIÇÃO, 217 AP 42 EDIFICIO ALFREDO POLI</t>
  </si>
  <si>
    <t>MARCIA REGINA CUNHA</t>
  </si>
  <si>
    <t>11 9 5912-1224</t>
  </si>
  <si>
    <t xml:space="preserve">RUA CANDEEIRO, 299 CASA 7 </t>
  </si>
  <si>
    <t xml:space="preserve">VILA MAZZEI </t>
  </si>
  <si>
    <t>ADRIANA AKUTSU</t>
  </si>
  <si>
    <t>116.683.358-59</t>
  </si>
  <si>
    <t>11 9 9929-2894</t>
  </si>
  <si>
    <t xml:space="preserve">VILA GUMERCINDO </t>
  </si>
  <si>
    <t>04131-001</t>
  </si>
  <si>
    <t>vet_adriana@hotmail.com</t>
  </si>
  <si>
    <t>ALADIM</t>
  </si>
  <si>
    <t>ROBERTO JEREISSATI</t>
  </si>
  <si>
    <t>11 9 8346-4641</t>
  </si>
  <si>
    <t>05601-010</t>
  </si>
  <si>
    <t xml:space="preserve">AMENDOIM, PINCE E FEIJÃO </t>
  </si>
  <si>
    <t>ARIANE BONAFEDE</t>
  </si>
  <si>
    <t>332.232.73</t>
  </si>
  <si>
    <t>343.730.938-22</t>
  </si>
  <si>
    <t>JARDIM VILA FORMOSA</t>
  </si>
  <si>
    <t>SHEIKE</t>
  </si>
  <si>
    <t>08051-560</t>
  </si>
  <si>
    <t>02314-060</t>
  </si>
  <si>
    <t>babicunha04@gmail.com</t>
  </si>
  <si>
    <t>854.602.148-15</t>
  </si>
  <si>
    <t>RUA MARACAIBO 39</t>
  </si>
  <si>
    <t>JD EVEREST</t>
  </si>
  <si>
    <t>betojer@gmail.com</t>
  </si>
  <si>
    <t>ariane.bonafede@yahoo.com.br</t>
  </si>
  <si>
    <t>RUA REGO BARROS 1155 BLC A APTO 115</t>
  </si>
  <si>
    <t>lojaspodecrer@hotmail.com</t>
  </si>
  <si>
    <t>RUA GUIRATINGA 789</t>
  </si>
  <si>
    <t>EMITIDO BOLETO SET21</t>
  </si>
  <si>
    <t>TIAGO DA SILVA GATTI</t>
  </si>
  <si>
    <t>15 99115-4640</t>
  </si>
  <si>
    <t>VEREADOR BATISTA GI 687</t>
  </si>
  <si>
    <t xml:space="preserve">RECANTO DAS ROSAS </t>
  </si>
  <si>
    <t>CERQUILHO</t>
  </si>
  <si>
    <t>CREED</t>
  </si>
  <si>
    <t>TALLE LINCOLN LOPES</t>
  </si>
  <si>
    <t>080.151.964-00</t>
  </si>
  <si>
    <t>11 99112-8668</t>
  </si>
  <si>
    <t>BRISAMAR</t>
  </si>
  <si>
    <t>JOÃO PESSOA -PB</t>
  </si>
  <si>
    <t>58033-370</t>
  </si>
  <si>
    <t>AUGUSTO</t>
  </si>
  <si>
    <t>RENATA ANUNCIAÇÃO PEREIRA</t>
  </si>
  <si>
    <t>319.649.148-09</t>
  </si>
  <si>
    <t>11 94074-8027</t>
  </si>
  <si>
    <t>RUA JOÃO RIBEIRO 134 APTO 192</t>
  </si>
  <si>
    <t>CAMPESTRE</t>
  </si>
  <si>
    <t>09070-250</t>
  </si>
  <si>
    <t>renata_chyrus@hotmail.com</t>
  </si>
  <si>
    <t>NEGUINHA</t>
  </si>
  <si>
    <t>399.762.158-60</t>
  </si>
  <si>
    <t>RUA CUSTODIO DOMINGOS DOS SANTOS 21  AP 2002</t>
  </si>
  <si>
    <t>talleslincoln@gmail.com</t>
  </si>
  <si>
    <t>EMITIDO BOLETO OUT A DEZ21</t>
  </si>
  <si>
    <t>adriannnagatti@gmail.com</t>
  </si>
  <si>
    <t>EMITIDO BOLETO SET A DEZ21</t>
  </si>
  <si>
    <t>18523-262</t>
  </si>
  <si>
    <t>ROSENI ANDREU DE OLIVEIRA</t>
  </si>
  <si>
    <t>192.535.158-05</t>
  </si>
  <si>
    <t>11 9 5305-0888</t>
  </si>
  <si>
    <t>VILA CURUCA</t>
  </si>
  <si>
    <t>KILLER, SAMANTA E ZOE</t>
  </si>
  <si>
    <t>ADRIANA TORRES LARANGEIRA</t>
  </si>
  <si>
    <t>151.113.748-76</t>
  </si>
  <si>
    <t>11 9 7469-2333</t>
  </si>
  <si>
    <t>RUA DAS PALMEIRAS, 647 BLC 1 APTO 1</t>
  </si>
  <si>
    <t>GOPOUVA</t>
  </si>
  <si>
    <t>torres.adc@gmail.com</t>
  </si>
  <si>
    <t>THEODORO</t>
  </si>
  <si>
    <t>40931096-7</t>
  </si>
  <si>
    <t>320.221.358-06</t>
  </si>
  <si>
    <t>RUA NOSSA SENHORA DO BOM CONSELHO 320</t>
  </si>
  <si>
    <t xml:space="preserve">CHACARA NOSSA SENHORA DO BOM CONSELHO </t>
  </si>
  <si>
    <t>05763-470</t>
  </si>
  <si>
    <t>franklin.dtr@gmail.com</t>
  </si>
  <si>
    <t>LOLA</t>
  </si>
  <si>
    <t>EMITIDO BOLETO AGO A DEZ21</t>
  </si>
  <si>
    <t>09280-490</t>
  </si>
  <si>
    <t xml:space="preserve">RUA ANHAIA, 439 </t>
  </si>
  <si>
    <t>ga.abi@hotmail.com</t>
  </si>
  <si>
    <t>FRANKLIN A. RIBEIRO DE SOUZA</t>
  </si>
  <si>
    <t xml:space="preserve">riliardeirineu@gmail.com    </t>
  </si>
  <si>
    <t>11 99801-9800</t>
  </si>
  <si>
    <t>RUA DOM CONSTANTINO BARRADAS, 130 APTO 92</t>
  </si>
  <si>
    <t>CAMILA DE SOUZA ISSA</t>
  </si>
  <si>
    <t>30432050X</t>
  </si>
  <si>
    <t>1 99560-5649</t>
  </si>
  <si>
    <t>RUA JOÃO MOURA 1108 APTO 41</t>
  </si>
  <si>
    <t>ca.issa@hotmail.com</t>
  </si>
  <si>
    <t xml:space="preserve">CÍNTIA PIRES DE AGUIAR      </t>
  </si>
  <si>
    <t>294.432.138-26</t>
  </si>
  <si>
    <t>11 9 9260-9372</t>
  </si>
  <si>
    <t xml:space="preserve">RUA HENRIQUE CHAVES 238 </t>
  </si>
  <si>
    <t>JARDIM ESTER</t>
  </si>
  <si>
    <t>05372-050</t>
  </si>
  <si>
    <t>COTOCO</t>
  </si>
  <si>
    <t>407.731.478-02</t>
  </si>
  <si>
    <t xml:space="preserve">11 95071-1178   </t>
  </si>
  <si>
    <t xml:space="preserve">RUA FIAÇÃO DA SAÚDE 260 APTO 138 BLC C3                    </t>
  </si>
  <si>
    <t xml:space="preserve">MIRANDÓPOLIS </t>
  </si>
  <si>
    <t>VITOR</t>
  </si>
  <si>
    <t>marinahmori@gmail.com</t>
  </si>
  <si>
    <t>05412-002</t>
  </si>
  <si>
    <t>R DEP LAERCIO CORTE 1350 APTO 191</t>
  </si>
  <si>
    <t>PARAISO MORUMBI</t>
  </si>
  <si>
    <t>05706-290</t>
  </si>
  <si>
    <t>cintia.paguiar@gmail.com</t>
  </si>
  <si>
    <t>04144-900</t>
  </si>
  <si>
    <t>hannamfigueiredo@gmail.com</t>
  </si>
  <si>
    <t>Valor 2022</t>
  </si>
  <si>
    <t>11 98069-8866</t>
  </si>
  <si>
    <t>EMITIDO BOLETO DE JAN A JUN22</t>
  </si>
  <si>
    <t>neiva.mendes@uol.com.br</t>
  </si>
  <si>
    <t>rctaguiar@gmail.com</t>
  </si>
  <si>
    <t>X</t>
  </si>
  <si>
    <t>marcelorfernandes@yahoo.com.br</t>
  </si>
  <si>
    <t>cristinabrux@gmail.com</t>
  </si>
  <si>
    <t>LUPI</t>
  </si>
  <si>
    <t>GESSICA MONIZE MONTOVANI TRIAS VILAR</t>
  </si>
  <si>
    <t>374.840.638-00</t>
  </si>
  <si>
    <t>11 9 7078-1803</t>
  </si>
  <si>
    <t xml:space="preserve">RUA MANUEL SILVA NETO 146 </t>
  </si>
  <si>
    <t>VILA MACEDOPOLIS</t>
  </si>
  <si>
    <t>gessica_monize@hotmail.com</t>
  </si>
  <si>
    <t>PEPÉ</t>
  </si>
  <si>
    <t>LUKAS RAPOSO DA SILVA</t>
  </si>
  <si>
    <t>139.499.917-86</t>
  </si>
  <si>
    <t>11 9 9194-5169</t>
  </si>
  <si>
    <t>ALAMEDA MINISTRO ROCHA AZEVEDO 915 BLC 01 APTO 62</t>
  </si>
  <si>
    <t>01410-003</t>
  </si>
  <si>
    <t>lukasraposo@live.com</t>
  </si>
  <si>
    <t>KIN DIN</t>
  </si>
  <si>
    <t>LUCIANO DE JESUS DA ROCHA</t>
  </si>
  <si>
    <t>115.671.768-01</t>
  </si>
  <si>
    <t>11 9 8468-1401</t>
  </si>
  <si>
    <t>RUA GABRIEL ORIFICE, 26</t>
  </si>
  <si>
    <t>VILA ISOLINA MAZZEI</t>
  </si>
  <si>
    <t>02084-090</t>
  </si>
  <si>
    <t>lucjero@hotmail.com</t>
  </si>
  <si>
    <t>03237-000</t>
  </si>
  <si>
    <t>3 MESES</t>
  </si>
  <si>
    <t>FERNANDA FRANÇA BARBOSA RIBEIRO</t>
  </si>
  <si>
    <t>183.542.228.45</t>
  </si>
  <si>
    <t>11 9 68312422</t>
  </si>
  <si>
    <t>PARQUE PINHEIROS</t>
  </si>
  <si>
    <t>06767-900</t>
  </si>
  <si>
    <t xml:space="preserve">ffbr74@gmail.com       </t>
  </si>
  <si>
    <t>ITUBAINA</t>
  </si>
  <si>
    <t>AVENIDA PAULO AYRES 75 BL 25 APTO 12</t>
  </si>
  <si>
    <t>EMITIDO BOLETO FEV A JUN22</t>
  </si>
  <si>
    <t>CECILIA MARIA GRANATO DE ANDRADE</t>
  </si>
  <si>
    <t>007.326.738-44</t>
  </si>
  <si>
    <t>11 99183-8895</t>
  </si>
  <si>
    <t>ceciliagranato@gmail.com</t>
  </si>
  <si>
    <t>ALVARO MONTEIRO DA CUNHA NETO</t>
  </si>
  <si>
    <t>082.450.758-41</t>
  </si>
  <si>
    <t>11 3313-8415</t>
  </si>
  <si>
    <t>RUA VIANOPOLIS 655</t>
  </si>
  <si>
    <t xml:space="preserve">VILA MARIA </t>
  </si>
  <si>
    <t>02131-050</t>
  </si>
  <si>
    <t>afbijouterias@uol.com.br</t>
  </si>
  <si>
    <t>BRUTUS</t>
  </si>
  <si>
    <t>MARIA APARECIDA DA CONCEIÇÃO</t>
  </si>
  <si>
    <t>11 9 71976955</t>
  </si>
  <si>
    <t>JOSÉ ALVES DE ALMEIRA 130 APTO 144 BLC 2</t>
  </si>
  <si>
    <t>JARDIM CELESTE</t>
  </si>
  <si>
    <t>NAIRÓBI</t>
  </si>
  <si>
    <t>ANA GABRIELLY DE ALMEIDA MARTIN</t>
  </si>
  <si>
    <t>11 9 7975-3925</t>
  </si>
  <si>
    <t xml:space="preserve">RUA GIOVANNI BATTISTA PIRELLI 1463 APTO 124 BLC G </t>
  </si>
  <si>
    <t>HOMERO THON</t>
  </si>
  <si>
    <t>09111-340</t>
  </si>
  <si>
    <t>gabriellyamartin@gmail.com</t>
  </si>
  <si>
    <t>205.376.288-86</t>
  </si>
  <si>
    <t>455;051.248-28</t>
  </si>
  <si>
    <t>cida@macambiental.com.br</t>
  </si>
  <si>
    <t xml:space="preserve">MAYRA CHINELLATO PACHECO DO AMARAL     </t>
  </si>
  <si>
    <t>311.266.478-70</t>
  </si>
  <si>
    <t xml:space="preserve">JARDIM EUROPA          </t>
  </si>
  <si>
    <t xml:space="preserve">SÃO PAULO       </t>
  </si>
  <si>
    <t>01450-100</t>
  </si>
  <si>
    <t>PITANGA E AMORA</t>
  </si>
  <si>
    <t>279.241.248-88</t>
  </si>
  <si>
    <t xml:space="preserve">PRAÇA BURITAMA 48  APTO 01                          </t>
  </si>
  <si>
    <t>mayra.chinellato@fasano.com.br</t>
  </si>
  <si>
    <t>INCLUSO COLEIRA E VERMIFUGO</t>
  </si>
  <si>
    <t>146395318-69</t>
  </si>
  <si>
    <t>LORD E LOBO</t>
  </si>
  <si>
    <t>ITALO UENO</t>
  </si>
  <si>
    <t>409.533.538-69</t>
  </si>
  <si>
    <t>11 9 7120-2662</t>
  </si>
  <si>
    <t xml:space="preserve">RUA CACHOEIRO DE ITAPEMIRIM 109 </t>
  </si>
  <si>
    <t>CIDADE PATRIARCA</t>
  </si>
  <si>
    <t>03544-050</t>
  </si>
  <si>
    <t>italo_ueno@hotmail.com</t>
  </si>
  <si>
    <t>FLOCK</t>
  </si>
  <si>
    <t>ROBERTO NAVARRO MAIURI</t>
  </si>
  <si>
    <t>283.396.238.00</t>
  </si>
  <si>
    <t>11 9 5041-2607</t>
  </si>
  <si>
    <t>rnm@aasp.org.br</t>
  </si>
  <si>
    <t>RUA MAESTRO ZEFERINO SANTANA 232 APTO 81</t>
  </si>
  <si>
    <t>VILA AUGUSTA</t>
  </si>
  <si>
    <t>SOROCABA</t>
  </si>
  <si>
    <t>18040-010</t>
  </si>
  <si>
    <t xml:space="preserve">MARTIN SAGRANICHINY GARCIA     </t>
  </si>
  <si>
    <t>357.249.938-05</t>
  </si>
  <si>
    <t xml:space="preserve">11 9 4193-4170   </t>
  </si>
  <si>
    <t>RUA DINIEPER, 338  CASA 3</t>
  </si>
  <si>
    <t xml:space="preserve">VILA IPOJUCA       </t>
  </si>
  <si>
    <t>05057-030</t>
  </si>
  <si>
    <t>martin_sgarcia@yahoo.com.br</t>
  </si>
  <si>
    <t>BRAVA E SHURI</t>
  </si>
  <si>
    <t>FLAVIO ALVES BERNARDINO</t>
  </si>
  <si>
    <t>221.645.868-67</t>
  </si>
  <si>
    <t xml:space="preserve">119 7575-7273    </t>
  </si>
  <si>
    <t xml:space="preserve">AV. SÃO PAULO PARANÁ , 10100 TORRE B APTO 163     </t>
  </si>
  <si>
    <t xml:space="preserve">JD PIRAJUSSARA    </t>
  </si>
  <si>
    <t>05574-001</t>
  </si>
  <si>
    <t>BOLINHA</t>
  </si>
  <si>
    <t xml:space="preserve">ANDRE BORGES DE GODOY   </t>
  </si>
  <si>
    <t xml:space="preserve">27123133-6   </t>
  </si>
  <si>
    <t>290.842.128-35</t>
  </si>
  <si>
    <t xml:space="preserve">RUA CAPITÃO MACEDO, 333 apto 124 </t>
  </si>
  <si>
    <t xml:space="preserve">VILA CLEMENTINO  </t>
  </si>
  <si>
    <t>04021-020</t>
  </si>
  <si>
    <t>GIRAFA</t>
  </si>
  <si>
    <t xml:space="preserve">por 03 meses </t>
  </si>
  <si>
    <t>2022 Total</t>
  </si>
  <si>
    <t>263.900.838-23</t>
  </si>
  <si>
    <t xml:space="preserve">11 945689994  </t>
  </si>
  <si>
    <t>04563-011</t>
  </si>
  <si>
    <t>mabbalaban@gmail.com</t>
  </si>
  <si>
    <t>TREMOÇO</t>
  </si>
  <si>
    <t>flaviobalves@gmail.com</t>
  </si>
  <si>
    <t>andre.godoy@atentocredito.com.br</t>
  </si>
  <si>
    <t>EMITIDO BOLETO DE JUL A AGO22</t>
  </si>
  <si>
    <t>DARA</t>
  </si>
  <si>
    <t>EMITIDO BOLETO DE JUL A DEZ22</t>
  </si>
  <si>
    <t xml:space="preserve">MICHAEL HUMBERTO CASTILLO GRANADOS </t>
  </si>
  <si>
    <t>059.230.807-37</t>
  </si>
  <si>
    <t>11 9 7323-0234</t>
  </si>
  <si>
    <t>AV. UNIVERSITARIO 585 TORRE B4  65</t>
  </si>
  <si>
    <t>ALPHAVILLE</t>
  </si>
  <si>
    <t>06542-089</t>
  </si>
  <si>
    <t xml:space="preserve">michaelgranados@gmail.com  </t>
  </si>
  <si>
    <t>RUBÍ</t>
  </si>
  <si>
    <t>AVENIDA PADRE ANTONIO JOSE DOS SANTOS, 495 Ap 94 New Style</t>
  </si>
  <si>
    <t xml:space="preserve">MARCELO AUGUSTO B BALABAN          </t>
  </si>
  <si>
    <t>DORA</t>
  </si>
  <si>
    <t xml:space="preserve">REGINA MARIA VIGLIZZO </t>
  </si>
  <si>
    <t>V522540-X</t>
  </si>
  <si>
    <t>229.960.028-06</t>
  </si>
  <si>
    <t>11 9 8957-5115</t>
  </si>
  <si>
    <t>AVENIDA VEREADOR JOSÉ DINIZ 3130 APTO 2 A E VG</t>
  </si>
  <si>
    <t xml:space="preserve">CAMPO BELO </t>
  </si>
  <si>
    <t>04604-005</t>
  </si>
  <si>
    <t>MARTINA, TCHÊ, VALENTINO</t>
  </si>
  <si>
    <t>CONAN</t>
  </si>
  <si>
    <t>11 96378-7537</t>
  </si>
  <si>
    <t>2022 Soma</t>
  </si>
  <si>
    <t>ISABELA GUINÉ DE SOUZA</t>
  </si>
  <si>
    <t>442.192.058-45</t>
  </si>
  <si>
    <t xml:space="preserve">JARDIM DAS VERTENTES </t>
  </si>
  <si>
    <t>KATRA</t>
  </si>
  <si>
    <t>regina.viglizzo@gmail.com</t>
  </si>
  <si>
    <t>05541-100</t>
  </si>
  <si>
    <t>isabelaguine@hotmail.com</t>
  </si>
  <si>
    <t xml:space="preserve">RUA EUGENE CARRIERE 30 APTO 92 TORRE 3 </t>
  </si>
  <si>
    <t>EDUARDO COSTA GARCIA PEREZ</t>
  </si>
  <si>
    <t xml:space="preserve">AVENIDA ROUXINOL 418 APTO 41 </t>
  </si>
  <si>
    <t>INDIANOPOLIS</t>
  </si>
  <si>
    <t>04516-000</t>
  </si>
  <si>
    <t>eduardocgperez@uol.com.br</t>
  </si>
  <si>
    <t>395.310.868-93</t>
  </si>
  <si>
    <t>MILENA DAHER MACEDO</t>
  </si>
  <si>
    <t>311.337.148-11</t>
  </si>
  <si>
    <t>11 99233-1611</t>
  </si>
  <si>
    <t xml:space="preserve">RUA RAUL POMPEIA, 229 APTO 113 </t>
  </si>
  <si>
    <t>VILA POMPEIA</t>
  </si>
  <si>
    <t>FILÓ</t>
  </si>
  <si>
    <t>35 3899401153</t>
  </si>
  <si>
    <t>milenadaher@hotmail.com</t>
  </si>
  <si>
    <t>05025-010</t>
  </si>
  <si>
    <t xml:space="preserve">SUELI DI MAURO </t>
  </si>
  <si>
    <t>284.528.128-50</t>
  </si>
  <si>
    <t>11 9 7475-5758</t>
  </si>
  <si>
    <t>RUA ANTONIETA CANELLE DE CAMARGO 148</t>
  </si>
  <si>
    <t>JARDIM DOS LAGOS</t>
  </si>
  <si>
    <t>ITATIBA</t>
  </si>
  <si>
    <t>13257-831</t>
  </si>
  <si>
    <t>11 994749034</t>
  </si>
  <si>
    <t>11 972692727</t>
  </si>
  <si>
    <t xml:space="preserve">GABRIELA LEMES DILBURT </t>
  </si>
  <si>
    <t>346.667..408-56</t>
  </si>
  <si>
    <t>11 9 8963-9799</t>
  </si>
  <si>
    <t xml:space="preserve">RUA JOSÉ GOMES FALCÃO, 215 APTO 124 </t>
  </si>
  <si>
    <t xml:space="preserve">gabriela.lemes@gmail.com  </t>
  </si>
  <si>
    <t>MERLOT</t>
  </si>
  <si>
    <t>CAMILA NOGUEIRA LUCCATS BONIFACIO</t>
  </si>
  <si>
    <t>278.626.268-26</t>
  </si>
  <si>
    <t xml:space="preserve">11 98346-0623  </t>
  </si>
  <si>
    <t xml:space="preserve">JARDIM PAULISTANO </t>
  </si>
  <si>
    <t xml:space="preserve">camila@pantera.com.br       </t>
  </si>
  <si>
    <t xml:space="preserve">LUCIANA MADEIRA GONÇAVES </t>
  </si>
  <si>
    <t>248.059.088-74</t>
  </si>
  <si>
    <t>11 99138-8650</t>
  </si>
  <si>
    <t>VIA TRANSVERSAL SUL, 169 APTO 35 T3</t>
  </si>
  <si>
    <t>JD NOVO OSASCO</t>
  </si>
  <si>
    <t>lucianamadeiragt@hotmail.com</t>
  </si>
  <si>
    <t>TITO</t>
  </si>
  <si>
    <t>01139-010</t>
  </si>
  <si>
    <t>EMITIDO BOLETO DEZ22</t>
  </si>
  <si>
    <t xml:space="preserve">RUA PROF ARTUR RAMOS, 222 APTO 131 </t>
  </si>
  <si>
    <t>06045-420</t>
  </si>
  <si>
    <t>TULIO BALDASSIN CAMARGO E SOUZA</t>
  </si>
  <si>
    <t>409.841.148-23</t>
  </si>
  <si>
    <t>11 9 7187-9929</t>
  </si>
  <si>
    <t xml:space="preserve">ALAMEDA DAS DALIAS, 56 </t>
  </si>
  <si>
    <t>ALDEIA DA SERRA</t>
  </si>
  <si>
    <t>tuliobcs@gmail.com</t>
  </si>
  <si>
    <t>MENINA</t>
  </si>
  <si>
    <t>CASSIA ALINE VICENTE BRANCO</t>
  </si>
  <si>
    <t>395.419.628-07</t>
  </si>
  <si>
    <t>11 9 48366504</t>
  </si>
  <si>
    <t>RUA GASPAR LOURENÇO 65 APTO 102</t>
  </si>
  <si>
    <t xml:space="preserve">dracassyaline@gmail.com </t>
  </si>
  <si>
    <t>DUKE</t>
  </si>
  <si>
    <t>102.004.198-62</t>
  </si>
  <si>
    <t>Valor 2023</t>
  </si>
  <si>
    <t>EMITIDO BOLETOS DE JAN A JUN23</t>
  </si>
  <si>
    <t>EMITIDO BOLETOS DE JAN E FEV23</t>
  </si>
  <si>
    <t>06519-400</t>
  </si>
  <si>
    <t>04107-000</t>
  </si>
  <si>
    <t>DIEGO ARMANDO VIAMONTE PEREIRA</t>
  </si>
  <si>
    <t>061.198.489-08</t>
  </si>
  <si>
    <t>11 99969-7988</t>
  </si>
  <si>
    <t>RUA AFONSO CELSO 1102 APTO 131A ED GANDA</t>
  </si>
  <si>
    <t>04119-061</t>
  </si>
  <si>
    <t>diego.toboco@gmail.com</t>
  </si>
  <si>
    <t>PUDIM</t>
  </si>
  <si>
    <t>FEDOR</t>
  </si>
  <si>
    <t xml:space="preserve">RUA ARTUR RAMOS PROF, 222 APTO 131 </t>
  </si>
  <si>
    <t>DRY</t>
  </si>
  <si>
    <t>CAIO DA SILVA PRADO JR</t>
  </si>
  <si>
    <t>179.593.678-92</t>
  </si>
  <si>
    <t>26436591 4</t>
  </si>
  <si>
    <t>caioprado@me.com</t>
  </si>
  <si>
    <t>1 9 9166-5706</t>
  </si>
  <si>
    <t>05010-000</t>
  </si>
  <si>
    <t>RUA CAIUBI 1096 APTO 905</t>
  </si>
  <si>
    <t xml:space="preserve">THEO, GIN, </t>
  </si>
  <si>
    <t>CLAUDINHO</t>
  </si>
  <si>
    <t>BOCHECHA</t>
  </si>
  <si>
    <t>LEANDRO SILVA RABELO</t>
  </si>
  <si>
    <t>285.256.978-77</t>
  </si>
  <si>
    <t>RUA JOSE DOS SANTOS CASTRO 88</t>
  </si>
  <si>
    <t>JD DENISE</t>
  </si>
  <si>
    <t>JHONNY</t>
  </si>
  <si>
    <t>JOANITA CRISTINA CALESCO</t>
  </si>
  <si>
    <t>322.163.588.51</t>
  </si>
  <si>
    <t>11 9 8373-4213</t>
  </si>
  <si>
    <t>RUA WERNER GOLDBERG 157 C APTO 211</t>
  </si>
  <si>
    <t>JD TUPANCY</t>
  </si>
  <si>
    <t>JOAQUIM</t>
  </si>
  <si>
    <t>02375-010</t>
  </si>
  <si>
    <t>leandrosrabelo@hotmail.com</t>
  </si>
  <si>
    <t>06414-025</t>
  </si>
  <si>
    <t>jo.criscal@hotmail.com</t>
  </si>
  <si>
    <t>EMITIDO BOLETOS DE MAR A JUN23</t>
  </si>
  <si>
    <t>2023 Total</t>
  </si>
  <si>
    <t>2023 Soma</t>
  </si>
  <si>
    <t>DIEGO CARNEIRO BARRETO</t>
  </si>
  <si>
    <t>057.140.166-02</t>
  </si>
  <si>
    <t>11 9 9294-4877</t>
  </si>
  <si>
    <t>RUA DONA ANA HELENA DE SALLES GUSMÃO 206</t>
  </si>
  <si>
    <t>diego.carneiro.barreto@gmail.com</t>
  </si>
  <si>
    <t>CARLOS ALBERO SAGRANICHINY</t>
  </si>
  <si>
    <t>Y013137D</t>
  </si>
  <si>
    <t>135.970.158-32</t>
  </si>
  <si>
    <t xml:space="preserve">RUA OS SERTÕES 35 </t>
  </si>
  <si>
    <t>JD DA GLORIA</t>
  </si>
  <si>
    <t xml:space="preserve">martinhernandez@terra.com.br  </t>
  </si>
  <si>
    <t>BRAVA</t>
  </si>
  <si>
    <t>EMITIDO BOLETOS DE FEV A MAR23</t>
  </si>
  <si>
    <t>01457-040</t>
  </si>
  <si>
    <t>01547-050</t>
  </si>
  <si>
    <t>MARILIA TAVARES JORGE</t>
  </si>
  <si>
    <t>44247377-1</t>
  </si>
  <si>
    <t>337.598.108-29</t>
  </si>
  <si>
    <t>11 9 1751-8994</t>
  </si>
  <si>
    <t>AV PROFESSOR JOSE MARIA ALKMIN CASA 1 BLC 4</t>
  </si>
  <si>
    <t>05366-000</t>
  </si>
  <si>
    <t>maritjorge@gmail.com</t>
  </si>
  <si>
    <t>11 981518506</t>
  </si>
  <si>
    <t>SEBASTIAN, PINGO, CLARA, NIVEA, BIANCA</t>
  </si>
  <si>
    <t>ROBERTO YUKI MEZZARANO</t>
  </si>
  <si>
    <t>369.563.168-62</t>
  </si>
  <si>
    <t xml:space="preserve">RUA GAIOLA 12 CASA 13 </t>
  </si>
  <si>
    <t>RECREIO</t>
  </si>
  <si>
    <t>roberto.cog@hotmail.com</t>
  </si>
  <si>
    <t>11 974266496</t>
  </si>
  <si>
    <t>EMITIDO BOLETOS JUL A DEZ23</t>
  </si>
  <si>
    <t xml:space="preserve">THAIZ LIMA RAMOS DOS SANTOS </t>
  </si>
  <si>
    <t>273.314.658-05</t>
  </si>
  <si>
    <t>RUA RITA JOANA DE SOUSA, 154</t>
  </si>
  <si>
    <t xml:space="preserve">BROOKLIN NOVO   </t>
  </si>
  <si>
    <t>Thaizl143@gmail.com</t>
  </si>
  <si>
    <t>295675548-03</t>
  </si>
  <si>
    <t>DOG</t>
  </si>
  <si>
    <t>04601-060</t>
  </si>
  <si>
    <t>CATARINA</t>
  </si>
  <si>
    <t xml:space="preserve">ALANA FIGUEIREDO    </t>
  </si>
  <si>
    <t>311.392.078-73</t>
  </si>
  <si>
    <t xml:space="preserve">11 97407-4774     </t>
  </si>
  <si>
    <t>R AROABA, 482   54 B</t>
  </si>
  <si>
    <t xml:space="preserve">VILA LEOPOLDINA    </t>
  </si>
  <si>
    <t xml:space="preserve">alanarf@gmail.com     </t>
  </si>
  <si>
    <t>JOHN</t>
  </si>
  <si>
    <t>431.613.268-73</t>
  </si>
  <si>
    <t>11 9 4526-8652</t>
  </si>
  <si>
    <t>RUA IPÊS, 305 APARTAMENTO 33 B</t>
  </si>
  <si>
    <t>SUZANO</t>
  </si>
  <si>
    <t>cinthia.rodrigues35@hotmail.com</t>
  </si>
  <si>
    <t>SCOTT</t>
  </si>
  <si>
    <t>TALITA TURCO CUSCIANNA</t>
  </si>
  <si>
    <t>35584432-1</t>
  </si>
  <si>
    <t>419.924.128-04</t>
  </si>
  <si>
    <t>11 9 7538-0758</t>
  </si>
  <si>
    <t>RUA SÃO CRISTOVÃO, 80 JD SÃO FRANCISCO</t>
  </si>
  <si>
    <t>CAIEIRAS</t>
  </si>
  <si>
    <t>07700-025</t>
  </si>
  <si>
    <t>talitaturco@gmail.com</t>
  </si>
  <si>
    <t>THÉO</t>
  </si>
  <si>
    <t>05315-021</t>
  </si>
  <si>
    <t>08615-060</t>
  </si>
  <si>
    <t>CINTHIA BEZERRA R. DE O. BATALLAS</t>
  </si>
  <si>
    <t>EMITIDO BOLETOS SET A DEZ23</t>
  </si>
  <si>
    <t>BOAZ E LIA</t>
  </si>
  <si>
    <t>EDUARDO DE LAURENTIS RUSSO</t>
  </si>
  <si>
    <t>11 9 9338-6027</t>
  </si>
  <si>
    <t xml:space="preserve">RUA FABIA, 1050 APTO 205 </t>
  </si>
  <si>
    <t>05051-030</t>
  </si>
  <si>
    <t>281.299.168-27</t>
  </si>
  <si>
    <t xml:space="preserve">eduardo.russo@ymail.com                           </t>
  </si>
  <si>
    <t>MARIA BEATRIZ IERVOLINO PACHECO E SILVA</t>
  </si>
  <si>
    <t>11 3569-0646</t>
  </si>
  <si>
    <t xml:space="preserve">AV. LOPES DE AZEVEDO 266 </t>
  </si>
  <si>
    <t>JARDIM GUEDALA</t>
  </si>
  <si>
    <t>biaipacheco@gmail.com</t>
  </si>
  <si>
    <t>BORIS</t>
  </si>
  <si>
    <t xml:space="preserve">JHONY DA SILVA DAMACENO </t>
  </si>
  <si>
    <t>11 9 6340-9870</t>
  </si>
  <si>
    <t xml:space="preserve">RUA EMILIO MALLET 335 </t>
  </si>
  <si>
    <t>03320-000</t>
  </si>
  <si>
    <t xml:space="preserve">jhonysilvadamaceno@gmail.com   </t>
  </si>
  <si>
    <t>BRAD, PRETINHA, LUCKY, TARZAN</t>
  </si>
  <si>
    <t>157616608-22</t>
  </si>
  <si>
    <t>05603-000</t>
  </si>
  <si>
    <t>EMITIDO BOLETOS OUT A DEZ23</t>
  </si>
  <si>
    <t>102004198-62</t>
  </si>
  <si>
    <t>11 97554-8446</t>
  </si>
  <si>
    <t>11 989302370</t>
  </si>
  <si>
    <t>SONIA REGINA SAAD WHITAKER</t>
  </si>
  <si>
    <t>001.467.828-44</t>
  </si>
  <si>
    <t>11 9 9264-3401</t>
  </si>
  <si>
    <t xml:space="preserve">RUA CASA DO ATOR, 924 1° ANDAR N° 11 </t>
  </si>
  <si>
    <t xml:space="preserve">VILA OLIMPIA </t>
  </si>
  <si>
    <t xml:space="preserve">Sonia_rsaad@hotmail.com </t>
  </si>
  <si>
    <t>04546-003</t>
  </si>
  <si>
    <t>DUDA E FILO</t>
  </si>
  <si>
    <t>MORENA</t>
  </si>
  <si>
    <t>11 989655803</t>
  </si>
  <si>
    <t>CRISLAENE DOS SANTOS DUARTE DE ANDRADE</t>
  </si>
  <si>
    <t>395.267.138-00</t>
  </si>
  <si>
    <t>11 9 7324-5359</t>
  </si>
  <si>
    <t xml:space="preserve">RODOVIA RAPOSO TAVARES KM 37- CONDOMINIO TERRA NOBRE </t>
  </si>
  <si>
    <t>BOA VISTA</t>
  </si>
  <si>
    <t xml:space="preserve">crislaene.duarte@gmail.com    </t>
  </si>
  <si>
    <t>PALOMA TOZZI CARLINI</t>
  </si>
  <si>
    <t>355.633.588-36</t>
  </si>
  <si>
    <t>11 9 7112-1518</t>
  </si>
  <si>
    <t>RUA DOUTOR RAMIRO DE AZEVEDO 110</t>
  </si>
  <si>
    <t>JARDIM SANTO AMARO</t>
  </si>
  <si>
    <t xml:space="preserve">paloma.tozzi@projetoecia.com.br   </t>
  </si>
  <si>
    <t>BRUCE</t>
  </si>
  <si>
    <t>ENRIQUE CANDIDO DOS SANTOS MOREIA</t>
  </si>
  <si>
    <t>54067631-7</t>
  </si>
  <si>
    <t>018.016.642-50</t>
  </si>
  <si>
    <t>11 9 9588-0801</t>
  </si>
  <si>
    <t xml:space="preserve">RUA MÁRIO AUGUSTO DO CARMO 427 </t>
  </si>
  <si>
    <t>JARDIM AVELINO</t>
  </si>
  <si>
    <t xml:space="preserve">enrique.contato@hotmail.com        </t>
  </si>
  <si>
    <t>APOLLO</t>
  </si>
  <si>
    <t>Valor 2024</t>
  </si>
  <si>
    <t>EMITIDO BOLETOS JAN A JUN24</t>
  </si>
  <si>
    <t>06701-000</t>
  </si>
  <si>
    <t>CARLOS ALBERTO SAGRANICHINY</t>
  </si>
  <si>
    <t>04741-110</t>
  </si>
  <si>
    <t>NÃO EMITIDO</t>
  </si>
  <si>
    <t>03227-070</t>
  </si>
  <si>
    <t>MANOLO</t>
  </si>
  <si>
    <t>COKITO</t>
  </si>
  <si>
    <t xml:space="preserve">LUIZ CARLOS GONÇALVES         </t>
  </si>
  <si>
    <t xml:space="preserve">6170605 - X      </t>
  </si>
  <si>
    <t>839.322.248-68</t>
  </si>
  <si>
    <t>11 9 8198 -0517</t>
  </si>
  <si>
    <t>RUA ZACARIAS DE GOES 2006</t>
  </si>
  <si>
    <t>CAMPO BELO</t>
  </si>
  <si>
    <t>FIDEL</t>
  </si>
  <si>
    <t xml:space="preserve">CLAUDIO LUIZ TEIXEIRA JUNIOR </t>
  </si>
  <si>
    <t>112.680.588.23</t>
  </si>
  <si>
    <t>11 99976-4958</t>
  </si>
  <si>
    <t xml:space="preserve">R DR WILTON PAES DE ALMEIDA 40 AP 43 </t>
  </si>
  <si>
    <t xml:space="preserve">CIDADE JARDIM </t>
  </si>
  <si>
    <t>05678-020</t>
  </si>
  <si>
    <t>Claudioluizteixeirajunior@gmail.com</t>
  </si>
  <si>
    <t>AGDA</t>
  </si>
  <si>
    <t>VANESSA MAKITA DE SOUZA SILVA</t>
  </si>
  <si>
    <t>289.591.878-36</t>
  </si>
  <si>
    <t>11 9 5840-0084</t>
  </si>
  <si>
    <t xml:space="preserve">AVENIDA CARDEAL MOTTA, 545 APTO 71 B </t>
  </si>
  <si>
    <t xml:space="preserve">CITY AMERICA </t>
  </si>
  <si>
    <t>JACQUELINE NASCIMENTO</t>
  </si>
  <si>
    <t>467.859.268.74</t>
  </si>
  <si>
    <t>11 9 5185-9619</t>
  </si>
  <si>
    <t>RUA JACINTO, 47</t>
  </si>
  <si>
    <t>PLANALTO DE COTIA</t>
  </si>
  <si>
    <t>MARCELO</t>
  </si>
  <si>
    <t>TERESA CRISTINA MOURA XAVIER</t>
  </si>
  <si>
    <t>159.574.018-03</t>
  </si>
  <si>
    <t>AVENIDA PAVÃO 231 APTO 164 B</t>
  </si>
  <si>
    <t>04516-010</t>
  </si>
  <si>
    <t>tcmxavier@gmail.com</t>
  </si>
  <si>
    <t>MARGARIDA</t>
  </si>
  <si>
    <t>luizgoncalves@joyeventos.com.br</t>
  </si>
  <si>
    <t>04610-005</t>
  </si>
  <si>
    <t>05101-210</t>
  </si>
  <si>
    <t>vanessamakita@gmail.com</t>
  </si>
  <si>
    <t>contato.jacquenascimento@gmail.com</t>
  </si>
  <si>
    <t>EMITIDO BOLETOS MAR A JUN24</t>
  </si>
  <si>
    <t>06728-335</t>
  </si>
  <si>
    <t>MARGARETH NODA</t>
  </si>
  <si>
    <t>117.705.128-10</t>
  </si>
  <si>
    <t xml:space="preserve">11 9 9825-5983 </t>
  </si>
  <si>
    <t>AVENIDA DOUTOR LUIZ ANTONIO PEDUTI CUNHA 180 CASA</t>
  </si>
  <si>
    <t>05396-270</t>
  </si>
  <si>
    <t>margareth@cvm.gov.br</t>
  </si>
  <si>
    <t>SCHUMANN</t>
  </si>
  <si>
    <t>MARIA ADALGISA RODRIGUES ARAUJO</t>
  </si>
  <si>
    <t>16270809-9</t>
  </si>
  <si>
    <t>11 9 9623-9814</t>
  </si>
  <si>
    <t xml:space="preserve">RUA DOUTOR ALFREDO DI VERNIE 104 </t>
  </si>
  <si>
    <t>05540-020</t>
  </si>
  <si>
    <t>gisaphilip@gmail.com</t>
  </si>
  <si>
    <t>TINA TURNER</t>
  </si>
  <si>
    <t>SUELY HELENA DURBANO</t>
  </si>
  <si>
    <t>4936406-6</t>
  </si>
  <si>
    <t>674.887.818-72</t>
  </si>
  <si>
    <t>11 9 9440-3179</t>
  </si>
  <si>
    <t>RUA MONTE ALEGRE 187 APTO 143</t>
  </si>
  <si>
    <t>helenadurbano@gmail.com</t>
  </si>
  <si>
    <t>DESIREE MICHELLE CASTILHO NAPOLI</t>
  </si>
  <si>
    <t xml:space="preserve"> 11 99326-1999</t>
  </si>
  <si>
    <t>RUA VINTE E OITO DE SETEMBRO 900</t>
  </si>
  <si>
    <t>VILA DOM PEDRO I</t>
  </si>
  <si>
    <t>04267-000</t>
  </si>
  <si>
    <t>desiree.napoli@yahoo.com.br</t>
  </si>
  <si>
    <t>YUPIE</t>
  </si>
  <si>
    <t xml:space="preserve">ITALO DAL MAS NETO </t>
  </si>
  <si>
    <t>327.258.208-80</t>
  </si>
  <si>
    <t>11 9 7606-9076</t>
  </si>
  <si>
    <t xml:space="preserve">RUA NILO PECANHA 79 APTO 21 </t>
  </si>
  <si>
    <t>SANTA PAULA</t>
  </si>
  <si>
    <t>09540-830</t>
  </si>
  <si>
    <t>italodal@gmail.com</t>
  </si>
  <si>
    <t>LUANA</t>
  </si>
  <si>
    <t xml:space="preserve">ANDRE ANDRADE </t>
  </si>
  <si>
    <t>328.166.618-30</t>
  </si>
  <si>
    <t>11 9 7120-6035</t>
  </si>
  <si>
    <t>RUA CARVALHO DE FREITAS PROVENCE MORUMBI, 420 APTO 74</t>
  </si>
  <si>
    <t xml:space="preserve">VILA ANDRADE </t>
  </si>
  <si>
    <t>05728-030</t>
  </si>
  <si>
    <t>CANÚ E LÉO</t>
  </si>
  <si>
    <t xml:space="preserve">THAIS MAGALHÃES </t>
  </si>
  <si>
    <t>11 9 4713-2083</t>
  </si>
  <si>
    <t xml:space="preserve">RUA DO CAMPO, 830 ARUJAZINHO I,II e III </t>
  </si>
  <si>
    <t>JARDIM CAIUBÍ</t>
  </si>
  <si>
    <t xml:space="preserve">ARUJA </t>
  </si>
  <si>
    <t>taizmaga@gmail.com</t>
  </si>
  <si>
    <t>BANDA</t>
  </si>
  <si>
    <t>EMITIDO BOLETOS JUL A DEZ24</t>
  </si>
  <si>
    <t>EMITIDO BOLETOS JUN A DEZ24</t>
  </si>
  <si>
    <t>EMITIDO BOLETOS JUL A DEZ 24</t>
  </si>
  <si>
    <t>andreandrade04@gmail.com</t>
  </si>
  <si>
    <t>MARIA GORETTI BEKER FERREIRA</t>
  </si>
  <si>
    <t>186.271.658-74</t>
  </si>
  <si>
    <t>11 93272-3227</t>
  </si>
  <si>
    <t xml:space="preserve">SANTANA DE PARNAIBA </t>
  </si>
  <si>
    <t>bekergoretti@gmail.com</t>
  </si>
  <si>
    <t>06519-325</t>
  </si>
  <si>
    <t>ALAMEDA DAS SERINGUEIRAS 229 (MORADA DOS PINHEIROS)</t>
  </si>
  <si>
    <t>07435-460</t>
  </si>
  <si>
    <t>RALF</t>
  </si>
  <si>
    <t>BEATRIZ LEAL DE ARAUJO BARBOSA DA SILVA</t>
  </si>
  <si>
    <t>13 9 91047178</t>
  </si>
  <si>
    <t>463593698-85</t>
  </si>
  <si>
    <t>GOLDEN</t>
  </si>
  <si>
    <t>blealaraujo@gmail.com</t>
  </si>
  <si>
    <t>01318-000</t>
  </si>
  <si>
    <t>AVENIDA BRIGADEIRO LUIS ANTONIO, 566 Apto 203</t>
  </si>
  <si>
    <t>TULIO D AMBROSIO</t>
  </si>
  <si>
    <t>11 9 7353-4100</t>
  </si>
  <si>
    <t>RUA IVAI 111 BLC 1 UNIDADE 15</t>
  </si>
  <si>
    <t>LILICA</t>
  </si>
  <si>
    <t xml:space="preserve">MIRANDOPOLIS          </t>
  </si>
  <si>
    <t>40470-02</t>
  </si>
  <si>
    <t>AVENIDA SENADOR CASEMIRO DA ROCHA  809 APTO  162</t>
  </si>
  <si>
    <t>310211708-28</t>
  </si>
  <si>
    <t>411117448-58</t>
  </si>
  <si>
    <t>tuliodambrosio@hotmail.com</t>
  </si>
  <si>
    <t>03080-010</t>
  </si>
  <si>
    <t>Jully</t>
  </si>
  <si>
    <t>AVENIDA PARKINSON 35 APTO 1701</t>
  </si>
  <si>
    <t xml:space="preserve">ALPHAVILLE EMPRESARIAL </t>
  </si>
  <si>
    <t>06465-136</t>
  </si>
  <si>
    <t>CESIRA BERTONI JARDIM</t>
  </si>
  <si>
    <t>61 9164-9126</t>
  </si>
  <si>
    <t xml:space="preserve">ALAMEDA BARROS, 418 APTO 122 </t>
  </si>
  <si>
    <t xml:space="preserve">SANTA CECILIA </t>
  </si>
  <si>
    <t>CARLA VIANA CHARVES DA SILVA</t>
  </si>
  <si>
    <t>11 91714-3677</t>
  </si>
  <si>
    <t>RUA MASATO SAKAI 180 BURITIS 7 APTO 44</t>
  </si>
  <si>
    <t xml:space="preserve">JARDIM SÃO MIGUEL </t>
  </si>
  <si>
    <t xml:space="preserve">FERRAZ DE VASCONCELOS </t>
  </si>
  <si>
    <t>carlaviana304@gmail.com</t>
  </si>
  <si>
    <t>PUPY</t>
  </si>
  <si>
    <t xml:space="preserve">MARCUS VINICIUS LEAL SANTOS </t>
  </si>
  <si>
    <t>382.563.778-60</t>
  </si>
  <si>
    <t xml:space="preserve">11 98606-3427  </t>
  </si>
  <si>
    <t xml:space="preserve">AV CARIOCA 745 APTO 62 </t>
  </si>
  <si>
    <t>VILA CARIOCA</t>
  </si>
  <si>
    <t xml:space="preserve">SÃO PAULO                               </t>
  </si>
  <si>
    <t>SHAKE</t>
  </si>
  <si>
    <t>RITA MARIELLA MALTESE DIAZ DE BRAVO</t>
  </si>
  <si>
    <t>RNMF5682262</t>
  </si>
  <si>
    <t>717.567.491-08</t>
  </si>
  <si>
    <t xml:space="preserve">RUA BARÃO DE RAMALHO 413 </t>
  </si>
  <si>
    <t>UVARANAS</t>
  </si>
  <si>
    <t>PONTA GROSSA</t>
  </si>
  <si>
    <t>84030-100</t>
  </si>
  <si>
    <t>ELIANA DE FREITAS PUGLESI LOMES</t>
  </si>
  <si>
    <t>365.106.468-97</t>
  </si>
  <si>
    <t>11 9 8655-4554</t>
  </si>
  <si>
    <t xml:space="preserve">RUA CORONEL JOSE DIONISIO GOUVEIA 29 </t>
  </si>
  <si>
    <t>BRENDA</t>
  </si>
  <si>
    <t>Valor 2025</t>
  </si>
  <si>
    <t>COSTELINHA</t>
  </si>
  <si>
    <t>EMITIDO BOLETOS DE JAN A JUN25</t>
  </si>
  <si>
    <t>jardim.cesira@gmail.com</t>
  </si>
  <si>
    <t>01232-000</t>
  </si>
  <si>
    <t>08538-300</t>
  </si>
  <si>
    <t>marcus.lealsantos@gmail.com</t>
  </si>
  <si>
    <t>04225-002</t>
  </si>
  <si>
    <t>rmmaltese@gmail.com</t>
  </si>
  <si>
    <t>eliana.puglesi@gmail.com</t>
  </si>
  <si>
    <t>04026-060</t>
  </si>
  <si>
    <t>EMITIDO BOLETOS DE JAN A JUL25</t>
  </si>
  <si>
    <t xml:space="preserve">GABRIELA LONGHI GARGANTINI     </t>
  </si>
  <si>
    <t>445.536.158-86</t>
  </si>
  <si>
    <t xml:space="preserve">11 9 47378507 </t>
  </si>
  <si>
    <t xml:space="preserve">VILA MUSSOLINI   </t>
  </si>
  <si>
    <t xml:space="preserve">SÃO BERNARDO DO CAMPO </t>
  </si>
  <si>
    <t>BARNEY, NEGO E TAYLA</t>
  </si>
  <si>
    <t>INACIO</t>
  </si>
  <si>
    <t>gabi.gargantini@gmail.com</t>
  </si>
  <si>
    <t>09620-020</t>
  </si>
  <si>
    <t>RUA MARECHAL BADOGLIO, 256</t>
  </si>
  <si>
    <t>JOÃO GABRIEL PINTO FERREIRA OLIVEIRA</t>
  </si>
  <si>
    <t>434.274.318-35</t>
  </si>
  <si>
    <t>19 9220-5117</t>
  </si>
  <si>
    <t>RUA CASSIANO RICARDO 483</t>
  </si>
  <si>
    <t>JARDIM CORDEIRO</t>
  </si>
  <si>
    <t>04640-020</t>
  </si>
  <si>
    <t>joaogpfoliveira@gmail.com</t>
  </si>
  <si>
    <t>EMITIDO BOLETOS DE MAR A JUN25</t>
  </si>
  <si>
    <t xml:space="preserve">DENISE RIBOLI FAUSTINO    </t>
  </si>
  <si>
    <t>47618232-3</t>
  </si>
  <si>
    <t>354.035.708-45</t>
  </si>
  <si>
    <t xml:space="preserve">ALPHAVILLE INDUSTRIAL  </t>
  </si>
  <si>
    <t xml:space="preserve">BARUERI       </t>
  </si>
  <si>
    <t>LEIA E LUKE</t>
  </si>
  <si>
    <t>RENATA MARIA TEIXEIRA PINHEIRO</t>
  </si>
  <si>
    <t>11 998005503</t>
  </si>
  <si>
    <t>RUA ALVES GUIMARAES, 661 CS</t>
  </si>
  <si>
    <t>AYLA</t>
  </si>
  <si>
    <t>denise@tecnotrat.com.br</t>
  </si>
  <si>
    <t>renata.pinheiro@uol.com.br</t>
  </si>
  <si>
    <t>PRAÇA OIAPOQUE  360 APTO 1603 AN 16</t>
  </si>
  <si>
    <t>311.747.488-93</t>
  </si>
  <si>
    <t>06454-060</t>
  </si>
  <si>
    <t>Soma de Valor 2025</t>
  </si>
  <si>
    <t>2024 Total</t>
  </si>
  <si>
    <t>2025 Total</t>
  </si>
  <si>
    <t>2024 Soma</t>
  </si>
  <si>
    <t>2025 Soma</t>
  </si>
  <si>
    <t xml:space="preserve">JONES ADALBERTO DE FREITAS </t>
  </si>
  <si>
    <t>088.047.288.09</t>
  </si>
  <si>
    <t>11 96493-8239</t>
  </si>
  <si>
    <t xml:space="preserve">VILA GOMES CARDIM </t>
  </si>
  <si>
    <t>MILLY</t>
  </si>
  <si>
    <t>jonesjaf@gmail.com</t>
  </si>
  <si>
    <t>BRANCA</t>
  </si>
  <si>
    <t>LOBINHO</t>
  </si>
  <si>
    <t>JULIA ELISA MARQUES MARTINS</t>
  </si>
  <si>
    <t>393.333.288-58</t>
  </si>
  <si>
    <t>19 9 9899-2331</t>
  </si>
  <si>
    <t>RUA JACAREI 39 APTO 1304</t>
  </si>
  <si>
    <t>01319-040</t>
  </si>
  <si>
    <t>juliaenmartins@gmail.com</t>
  </si>
  <si>
    <t>AMÉLIE</t>
  </si>
  <si>
    <t>PAULO MAURICIO DA SILVA ALEXANDRE</t>
  </si>
  <si>
    <t>039.761.898.04</t>
  </si>
  <si>
    <t>11 9 7028-9581</t>
  </si>
  <si>
    <t xml:space="preserve">RUA DONA LEOPOLDINA 297 APTO 45 </t>
  </si>
  <si>
    <t>pmsalexx21@gmail.com</t>
  </si>
  <si>
    <t>PISCO</t>
  </si>
  <si>
    <t>ROBERT DE MACEDO SOARES RITTSCHER</t>
  </si>
  <si>
    <t>080.574.348-05</t>
  </si>
  <si>
    <t>11 9 9135-0202</t>
  </si>
  <si>
    <t>RUA JOAO MOURA 502 APTO 153</t>
  </si>
  <si>
    <t>robertrittscher@gmail.com</t>
  </si>
  <si>
    <t>ZECA</t>
  </si>
  <si>
    <t>LUCAS MARTINS FARES</t>
  </si>
  <si>
    <t>470.384.858-90</t>
  </si>
  <si>
    <t>11 9 9925-2562</t>
  </si>
  <si>
    <t>RUA ANTONIO DAS CHAGAS 162</t>
  </si>
  <si>
    <t>04714-001</t>
  </si>
  <si>
    <t>itslucasmf@gmail.com</t>
  </si>
  <si>
    <t>MUFFIN</t>
  </si>
  <si>
    <t>MAGALI DO ROCIO MOLTALTO</t>
  </si>
  <si>
    <t>354.971309-68</t>
  </si>
  <si>
    <t>11 9 4702-0077</t>
  </si>
  <si>
    <t>RUA BARONESA DE ITU 88 APTO 211</t>
  </si>
  <si>
    <t>80250-020</t>
  </si>
  <si>
    <t>magalimontalto@gmail.com</t>
  </si>
  <si>
    <t>05412-001</t>
  </si>
  <si>
    <t>EMITIDO BOLETOS JUL A DEZ25</t>
  </si>
  <si>
    <t xml:space="preserve">MARGARETE DE JESUS SOUSA                          </t>
  </si>
  <si>
    <t>394.574.508-09</t>
  </si>
  <si>
    <t xml:space="preserve">RUA VEREADOR JOAO GONÇAVES LIMA   </t>
  </si>
  <si>
    <t xml:space="preserve">VILA NOGUEIRA     </t>
  </si>
  <si>
    <t>RUFLES</t>
  </si>
  <si>
    <t>09960-180</t>
  </si>
  <si>
    <t>margarete_gue@hotmail.com</t>
  </si>
  <si>
    <t>EMITIDO BOLETOS AGO A DEZ25</t>
  </si>
  <si>
    <t>MALO</t>
  </si>
  <si>
    <t>LEENA</t>
  </si>
  <si>
    <t xml:space="preserve"> 11 96453-7626</t>
  </si>
  <si>
    <t xml:space="preserve">RUA DR. RENATO PAES DE BARROS 329 APTO 41 </t>
  </si>
  <si>
    <t>PITTY</t>
  </si>
  <si>
    <t>MARILIA ARRUDA DE OLIVEIRA MULLER</t>
  </si>
  <si>
    <t>103.791.258-62</t>
  </si>
  <si>
    <t>11 9 9628-1800</t>
  </si>
  <si>
    <t>RUA VANDERLEI 1482 APTO 124</t>
  </si>
  <si>
    <t>05011-001</t>
  </si>
  <si>
    <t>mariliaaom@gmail.com</t>
  </si>
  <si>
    <t>KURO</t>
  </si>
  <si>
    <t>11 976143422</t>
  </si>
  <si>
    <t>11 9 4836-6504</t>
  </si>
  <si>
    <t>dracassyaline@gmail.com</t>
  </si>
  <si>
    <t xml:space="preserve">PEDRO OLLIVIER DE MACEDO REIS </t>
  </si>
  <si>
    <t>108.472.957-10</t>
  </si>
  <si>
    <t>11 9 5075-8912</t>
  </si>
  <si>
    <t xml:space="preserve">RUA GAIVOTA, 886 APTO 52 </t>
  </si>
  <si>
    <t>04522-032</t>
  </si>
  <si>
    <t>pedro.ollivier@gmail.com</t>
  </si>
  <si>
    <t xml:space="preserve">HANNA AMBACK ZAMARIAN      </t>
  </si>
  <si>
    <t>RENATA RODRIGUES DE CASTRO CALIXTO</t>
  </si>
  <si>
    <t>340.568.798-50</t>
  </si>
  <si>
    <t>119 4029-5747</t>
  </si>
  <si>
    <t xml:space="preserve">RUA ROQUE PETRELLA 776 </t>
  </si>
  <si>
    <t>VILA CORDEIRO</t>
  </si>
  <si>
    <t> 04581051</t>
  </si>
  <si>
    <t>danilor.calixto@hotmail.com</t>
  </si>
  <si>
    <t xml:space="preserve">CELSO ANTONIO GIGLIO JUNIOR </t>
  </si>
  <si>
    <t>215.638.628-59</t>
  </si>
  <si>
    <t>11 9 9930-5959</t>
  </si>
  <si>
    <t>RUA GUADALAJARA 450 APTO 21</t>
  </si>
  <si>
    <t xml:space="preserve">BALNEARIO CIDADE ATLANTICA </t>
  </si>
  <si>
    <t>GUARUJA</t>
  </si>
  <si>
    <t>11.441-190</t>
  </si>
  <si>
    <t xml:space="preserve">cgj.partners@cgjpholding.com       </t>
  </si>
  <si>
    <t>MEL E MEG</t>
  </si>
  <si>
    <t>Valor 2026</t>
  </si>
  <si>
    <t>EMITIDO BOLETOS JAN A DEZ26</t>
  </si>
  <si>
    <t xml:space="preserve">FRED </t>
  </si>
  <si>
    <t>EMITIDO BOLETOS JAN A JUN26</t>
  </si>
  <si>
    <t>EMITIDO BOLETOS DE JAN A JUN26</t>
  </si>
  <si>
    <t>ELIZABETH YURIKO SINTO</t>
  </si>
  <si>
    <t>165.115.138-58</t>
  </si>
  <si>
    <t>11 9 7081-7290</t>
  </si>
  <si>
    <t>AVENIDA ROUXINOL 463 APTO 74</t>
  </si>
  <si>
    <t>VILA OLIMPIA</t>
  </si>
  <si>
    <t>bethsinto@gmail.com</t>
  </si>
  <si>
    <t>TYSON</t>
  </si>
  <si>
    <t>ARIANE DE CASSIA SIMÃO</t>
  </si>
  <si>
    <t>11 9 8166-1296</t>
  </si>
  <si>
    <t xml:space="preserve">RUA DR. HENRIQUE MEYER 68 APTO 3 </t>
  </si>
  <si>
    <t>VILA CACHOEIRA</t>
  </si>
  <si>
    <t>02343-000</t>
  </si>
  <si>
    <t>simao.ariane@gmail.com</t>
  </si>
  <si>
    <t>ADRIANO JOSE TURRI JUNIOR</t>
  </si>
  <si>
    <t>254.465818.-57</t>
  </si>
  <si>
    <t>11 9 8937-9861</t>
  </si>
  <si>
    <t>RUA CRISTIANO ANGELI, 765 BLC B UNIDADE 000108</t>
  </si>
  <si>
    <t>ASSUNÇÃO</t>
  </si>
  <si>
    <t xml:space="preserve">SÃO BERNARDO </t>
  </si>
  <si>
    <t>turriadriano@gmail.com</t>
  </si>
  <si>
    <t>LUCIANA DOMINGUEZ</t>
  </si>
  <si>
    <t>285.013.018-41</t>
  </si>
  <si>
    <t>11 9 9760-6965</t>
  </si>
  <si>
    <t>RUA CABO JOSE CLEMENEANO DE CARVALHO 40 APTO 12</t>
  </si>
  <si>
    <t>JD AVELINO</t>
  </si>
  <si>
    <t>lucianadominguez@terra.com.br</t>
  </si>
  <si>
    <t>DANNY</t>
  </si>
  <si>
    <t>396.908.478.48</t>
  </si>
  <si>
    <t>09810-555</t>
  </si>
  <si>
    <t>EMITIDO BOLETOS FEV A JUN26</t>
  </si>
  <si>
    <t>RICARDO TARGINO NETO</t>
  </si>
  <si>
    <t>379.547.618-60</t>
  </si>
  <si>
    <t>11 9 8909-6203</t>
  </si>
  <si>
    <t>ricardo@adolfoneto.com.br</t>
  </si>
  <si>
    <t>RUA ANTONIETA LEITÃO 161  AP 112</t>
  </si>
  <si>
    <t>LEIA</t>
  </si>
  <si>
    <t>BELINHA , FAROFA,  PIPOCA E NINA</t>
  </si>
  <si>
    <t>DAVID MARTINS DE OLIVEIRA</t>
  </si>
  <si>
    <t>298.746.908-01</t>
  </si>
  <si>
    <t>11 98116-9323</t>
  </si>
  <si>
    <t>RUA MARQUES MARICA 660 APTO 145</t>
  </si>
  <si>
    <t>SACOMÃ</t>
  </si>
  <si>
    <t>04252-000</t>
  </si>
  <si>
    <t>david.535m@gmail.com</t>
  </si>
  <si>
    <t>LUCIANA PENHA LOYOLA DA SILVA</t>
  </si>
  <si>
    <t>163.016.498-42</t>
  </si>
  <si>
    <t>11 9 7205-2623</t>
  </si>
  <si>
    <t xml:space="preserve">RUA VILELA 875 APTO 32 </t>
  </si>
  <si>
    <t>luciana.loyola.2014@gmail.com</t>
  </si>
  <si>
    <t>ANDRE ALEXANDRE ARZE</t>
  </si>
  <si>
    <t>319.398.628-33</t>
  </si>
  <si>
    <t>11 9 8326-5077</t>
  </si>
  <si>
    <t xml:space="preserve">RUA PEIXOTO GOMIDE, 596 APTO 164 BLC A </t>
  </si>
  <si>
    <t xml:space="preserve">andre.arze22@gmail.com   </t>
  </si>
  <si>
    <t>AGATHA E KRON</t>
  </si>
  <si>
    <t>FABIO BORDON DE CARVALHO</t>
  </si>
  <si>
    <t>067.757.656-06</t>
  </si>
  <si>
    <t xml:space="preserve">11 9 9618-1300                          </t>
  </si>
  <si>
    <t xml:space="preserve">RUA BARÃO DO TRIUNFO 1415 AP31       </t>
  </si>
  <si>
    <t>são paulo</t>
  </si>
  <si>
    <t xml:space="preserve">fabiofbc@gmail.com    </t>
  </si>
  <si>
    <t>DJALMA E SOFIA</t>
  </si>
  <si>
    <t>LEÃO</t>
  </si>
  <si>
    <t>PAMELA, ROSSI</t>
  </si>
  <si>
    <t>EMITIDO BOLETOS MAR A JUN26</t>
  </si>
  <si>
    <t>EMITIDO BOLETOS ABR A JUN26</t>
  </si>
  <si>
    <t>04602-005</t>
  </si>
  <si>
    <t>BEATRIZ MOURA XAVIER GARCIA</t>
  </si>
  <si>
    <t>524.372.148-44</t>
  </si>
  <si>
    <t>11 98688-2273</t>
  </si>
  <si>
    <t xml:space="preserve">AVENIDA PAVÃO 231 APTO 164 B </t>
  </si>
  <si>
    <t xml:space="preserve"> biamxgarcia@gmail.com</t>
  </si>
  <si>
    <t>ID</t>
  </si>
  <si>
    <t>Hospedagem de cães</t>
  </si>
  <si>
    <t>Status NF</t>
  </si>
  <si>
    <t>Nome Cliente</t>
  </si>
  <si>
    <t>CPF/CNPJ</t>
  </si>
  <si>
    <t>Email</t>
  </si>
  <si>
    <t>Telefone</t>
  </si>
  <si>
    <t>Nome do Cão</t>
  </si>
  <si>
    <t>Serviço</t>
  </si>
  <si>
    <t>Valor Total</t>
  </si>
  <si>
    <t>Município</t>
  </si>
  <si>
    <t>Data Emissão</t>
  </si>
  <si>
    <t>Número NF</t>
  </si>
  <si>
    <t>Competencia</t>
  </si>
  <si>
    <t>STATUS_PROCESSAMENTO</t>
  </si>
  <si>
    <t>DESCRICAO_NF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</si>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</sst>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&quot;R$ &quot;#,##0.00;[Red]&quot;R$ &quot;#,##0.00"/>
    <numFmt numFmtId="167" formatCode="dd/mm/yy;@"/>
    <numFmt numFmtId="168" formatCode="#,##0.00;[Red]#,##0.00"/>
    <numFmt numFmtId="171" formatCode="yyyy\-mm"/>
    <numFmt numFmtId="172" formatCode="yyyy\-mm\-dd"/>
  </numFmts>
  <fonts count="4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63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1"/>
      <name val="Segoe UI"/>
      <family val="2"/>
    </font>
    <font>
      <b/>
      <sz val="11"/>
      <color indexed="81"/>
      <name val="Segoe UI"/>
      <family val="2"/>
    </font>
    <font>
      <sz val="10"/>
      <name val="Arial"/>
      <family val="2"/>
    </font>
    <font>
      <sz val="10"/>
      <name val="Trebuchet MS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  <family val="2"/>
    </font>
    <font>
      <sz val="8"/>
      <color rgb="FF333333"/>
      <name val="Arial"/>
      <family val="2"/>
    </font>
    <font>
      <sz val="8"/>
      <color theme="1"/>
      <name val="Arial"/>
      <family val="2"/>
    </font>
    <font>
      <sz val="8"/>
      <color rgb="FF333333"/>
      <name val="Verdana"/>
      <family val="2"/>
    </font>
    <font>
      <sz val="8"/>
      <color rgb="FFFF0000"/>
      <name val="Arial"/>
      <family val="2"/>
    </font>
    <font>
      <sz val="10"/>
      <color rgb="FF333333"/>
      <name val="Sans-serif"/>
    </font>
    <font>
      <sz val="12"/>
      <color rgb="FF000000"/>
      <name val="Calibri"/>
      <family val="2"/>
    </font>
    <font>
      <sz val="11"/>
      <color rgb="FF333333"/>
      <name val="Calibri"/>
      <family val="2"/>
    </font>
    <font>
      <sz val="9"/>
      <color rgb="FF333333"/>
      <name val="Calibri"/>
      <family val="2"/>
    </font>
    <font>
      <sz val="10"/>
      <color rgb="FF333333"/>
      <name val="Arial"/>
      <family val="2"/>
    </font>
    <font>
      <sz val="8"/>
      <color rgb="FF545454"/>
      <name val="Arial"/>
      <family val="2"/>
    </font>
    <font>
      <sz val="10"/>
      <color rgb="FFFF0000"/>
      <name val="Arial"/>
      <family val="2"/>
    </font>
    <font>
      <u/>
      <sz val="10"/>
      <color rgb="FFFF0000"/>
      <name val="Arial"/>
      <family val="2"/>
    </font>
    <font>
      <sz val="11"/>
      <color rgb="FF333333"/>
      <name val="Arial"/>
      <family val="2"/>
    </font>
    <font>
      <b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indexed="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9"/>
      </left>
      <right/>
      <top style="thin">
        <color rgb="FF999999"/>
      </top>
      <bottom style="thin">
        <color rgb="FF999999"/>
      </bottom>
      <diagonal/>
    </border>
  </borders>
  <cellStyleXfs count="932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224">
    <xf numFmtId="0" fontId="0" fillId="0" borderId="0" xfId="0"/>
    <xf numFmtId="165" fontId="0" fillId="0" borderId="0" xfId="13" applyFont="1"/>
    <xf numFmtId="0" fontId="4" fillId="0" borderId="0" xfId="1" applyAlignment="1" applyProtection="1"/>
    <xf numFmtId="165" fontId="5" fillId="0" borderId="0" xfId="2758" applyFont="1"/>
    <xf numFmtId="165" fontId="5" fillId="0" borderId="0" xfId="13" applyFont="1"/>
    <xf numFmtId="165" fontId="5" fillId="0" borderId="0" xfId="3335" applyFont="1"/>
    <xf numFmtId="165" fontId="0" fillId="0" borderId="0" xfId="3335" applyFont="1"/>
    <xf numFmtId="0" fontId="5" fillId="0" borderId="0" xfId="7"/>
    <xf numFmtId="0" fontId="3" fillId="0" borderId="0" xfId="7" applyFont="1"/>
    <xf numFmtId="166" fontId="5" fillId="0" borderId="0" xfId="7" applyNumberFormat="1"/>
    <xf numFmtId="167" fontId="5" fillId="0" borderId="0" xfId="7" applyNumberFormat="1"/>
    <xf numFmtId="165" fontId="5" fillId="0" borderId="0" xfId="3912" applyFont="1"/>
    <xf numFmtId="165" fontId="5" fillId="0" borderId="0" xfId="14" applyFont="1"/>
    <xf numFmtId="43" fontId="5" fillId="0" borderId="0" xfId="591" applyFont="1"/>
    <xf numFmtId="14" fontId="3" fillId="0" borderId="0" xfId="7" applyNumberFormat="1" applyFont="1"/>
    <xf numFmtId="0" fontId="3" fillId="0" borderId="0" xfId="7" applyFont="1" applyAlignment="1">
      <alignment horizontal="left"/>
    </xf>
    <xf numFmtId="0" fontId="4" fillId="0" borderId="0" xfId="1" applyFill="1" applyAlignment="1" applyProtection="1"/>
    <xf numFmtId="43" fontId="5" fillId="0" borderId="0" xfId="16" applyFont="1"/>
    <xf numFmtId="0" fontId="5" fillId="0" borderId="0" xfId="0" applyFont="1"/>
    <xf numFmtId="0" fontId="0" fillId="0" borderId="21" xfId="0" applyBorder="1"/>
    <xf numFmtId="0" fontId="0" fillId="0" borderId="22" xfId="0" applyBorder="1"/>
    <xf numFmtId="0" fontId="0" fillId="0" borderId="23" xfId="0" applyBorder="1"/>
    <xf numFmtId="165" fontId="0" fillId="0" borderId="22" xfId="0" applyNumberFormat="1" applyBorder="1"/>
    <xf numFmtId="0" fontId="0" fillId="0" borderId="24" xfId="0" applyBorder="1"/>
    <xf numFmtId="165" fontId="0" fillId="0" borderId="25" xfId="0" applyNumberFormat="1" applyBorder="1"/>
    <xf numFmtId="0" fontId="0" fillId="2" borderId="21" xfId="0" applyFill="1" applyBorder="1"/>
    <xf numFmtId="0" fontId="0" fillId="2" borderId="23" xfId="0" applyFill="1" applyBorder="1"/>
    <xf numFmtId="0" fontId="0" fillId="2" borderId="22" xfId="0" applyFill="1" applyBorder="1"/>
    <xf numFmtId="0" fontId="0" fillId="2" borderId="0" xfId="0" applyFill="1"/>
    <xf numFmtId="0" fontId="0" fillId="0" borderId="26" xfId="0" applyBorder="1"/>
    <xf numFmtId="0" fontId="0" fillId="0" borderId="25" xfId="0" applyBorder="1"/>
    <xf numFmtId="0" fontId="0" fillId="2" borderId="27" xfId="0" applyFill="1" applyBorder="1"/>
    <xf numFmtId="165" fontId="0" fillId="2" borderId="28" xfId="0" applyNumberFormat="1" applyFill="1" applyBorder="1"/>
    <xf numFmtId="0" fontId="0" fillId="0" borderId="27" xfId="0" applyBorder="1"/>
    <xf numFmtId="0" fontId="0" fillId="0" borderId="29" xfId="0" applyBorder="1"/>
    <xf numFmtId="0" fontId="0" fillId="0" borderId="28" xfId="0" applyBorder="1"/>
    <xf numFmtId="0" fontId="3" fillId="3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/>
    <xf numFmtId="166" fontId="0" fillId="0" borderId="0" xfId="0" applyNumberFormat="1" applyAlignment="1">
      <alignment horizontal="left"/>
    </xf>
    <xf numFmtId="0" fontId="3" fillId="4" borderId="0" xfId="0" applyFont="1" applyFill="1"/>
    <xf numFmtId="0" fontId="3" fillId="3" borderId="0" xfId="0" applyFont="1" applyFill="1" applyAlignment="1">
      <alignment horizontal="left"/>
    </xf>
    <xf numFmtId="167" fontId="3" fillId="3" borderId="0" xfId="0" applyNumberFormat="1" applyFont="1" applyFill="1"/>
    <xf numFmtId="165" fontId="5" fillId="3" borderId="0" xfId="13" applyFont="1" applyFill="1"/>
    <xf numFmtId="165" fontId="5" fillId="4" borderId="0" xfId="13" applyFont="1" applyFill="1"/>
    <xf numFmtId="165" fontId="5" fillId="2" borderId="0" xfId="13" applyFont="1" applyFill="1"/>
    <xf numFmtId="0" fontId="0" fillId="3" borderId="0" xfId="0" applyFill="1"/>
    <xf numFmtId="0" fontId="4" fillId="3" borderId="0" xfId="1" applyFill="1" applyAlignment="1" applyProtection="1"/>
    <xf numFmtId="165" fontId="5" fillId="5" borderId="0" xfId="13" applyFont="1" applyFill="1"/>
    <xf numFmtId="0" fontId="5" fillId="3" borderId="0" xfId="0" applyFont="1" applyFill="1"/>
    <xf numFmtId="0" fontId="3" fillId="4" borderId="0" xfId="0" applyFont="1" applyFill="1" applyAlignment="1">
      <alignment horizontal="left"/>
    </xf>
    <xf numFmtId="167" fontId="3" fillId="0" borderId="0" xfId="0" applyNumberFormat="1" applyFont="1"/>
    <xf numFmtId="0" fontId="3" fillId="0" borderId="0" xfId="0" applyFont="1" applyAlignment="1">
      <alignment horizontal="left"/>
    </xf>
    <xf numFmtId="167" fontId="3" fillId="3" borderId="0" xfId="0" applyNumberFormat="1" applyFont="1" applyFill="1" applyAlignment="1">
      <alignment horizontal="right"/>
    </xf>
    <xf numFmtId="165" fontId="5" fillId="3" borderId="0" xfId="3912" applyFont="1" applyFill="1"/>
    <xf numFmtId="164" fontId="0" fillId="0" borderId="0" xfId="2" applyFont="1"/>
    <xf numFmtId="43" fontId="0" fillId="0" borderId="0" xfId="0" applyNumberFormat="1"/>
    <xf numFmtId="0" fontId="5" fillId="4" borderId="0" xfId="0" applyFont="1" applyFill="1" applyAlignment="1">
      <alignment horizontal="left"/>
    </xf>
    <xf numFmtId="165" fontId="5" fillId="3" borderId="0" xfId="14" applyFont="1" applyFill="1"/>
    <xf numFmtId="0" fontId="29" fillId="0" borderId="0" xfId="0" applyFont="1" applyAlignment="1">
      <alignment horizontal="left"/>
    </xf>
    <xf numFmtId="0" fontId="5" fillId="2" borderId="0" xfId="0" applyFont="1" applyFill="1"/>
    <xf numFmtId="43" fontId="0" fillId="3" borderId="0" xfId="0" applyNumberFormat="1" applyFill="1"/>
    <xf numFmtId="14" fontId="0" fillId="3" borderId="0" xfId="0" applyNumberFormat="1" applyFill="1"/>
    <xf numFmtId="0" fontId="29" fillId="3" borderId="0" xfId="0" applyFont="1" applyFill="1"/>
    <xf numFmtId="0" fontId="11" fillId="3" borderId="0" xfId="0" applyFont="1" applyFill="1" applyAlignment="1">
      <alignment horizontal="left"/>
    </xf>
    <xf numFmtId="4" fontId="0" fillId="3" borderId="0" xfId="0" applyNumberFormat="1" applyFill="1"/>
    <xf numFmtId="4" fontId="0" fillId="6" borderId="0" xfId="0" applyNumberFormat="1" applyFill="1"/>
    <xf numFmtId="0" fontId="29" fillId="0" borderId="0" xfId="0" applyFont="1"/>
    <xf numFmtId="0" fontId="3" fillId="3" borderId="0" xfId="7" applyFont="1" applyFill="1"/>
    <xf numFmtId="4" fontId="5" fillId="3" borderId="0" xfId="7" applyNumberFormat="1" applyFill="1"/>
    <xf numFmtId="14" fontId="3" fillId="0" borderId="0" xfId="0" applyNumberFormat="1" applyFont="1"/>
    <xf numFmtId="14" fontId="3" fillId="3" borderId="0" xfId="0" applyNumberFormat="1" applyFont="1" applyFill="1"/>
    <xf numFmtId="0" fontId="5" fillId="0" borderId="0" xfId="4489" applyFont="1"/>
    <xf numFmtId="0" fontId="5" fillId="3" borderId="0" xfId="4489" applyFont="1" applyFill="1"/>
    <xf numFmtId="43" fontId="5" fillId="3" borderId="0" xfId="3913" applyFont="1" applyFill="1"/>
    <xf numFmtId="0" fontId="25" fillId="0" borderId="0" xfId="0" applyFont="1"/>
    <xf numFmtId="3" fontId="3" fillId="0" borderId="0" xfId="0" applyNumberFormat="1" applyFont="1" applyAlignment="1">
      <alignment horizontal="left"/>
    </xf>
    <xf numFmtId="14" fontId="0" fillId="0" borderId="0" xfId="0" applyNumberFormat="1"/>
    <xf numFmtId="165" fontId="5" fillId="5" borderId="0" xfId="3912" applyFont="1" applyFill="1"/>
    <xf numFmtId="166" fontId="3" fillId="3" borderId="0" xfId="0" applyNumberFormat="1" applyFont="1" applyFill="1"/>
    <xf numFmtId="0" fontId="30" fillId="3" borderId="0" xfId="0" applyFont="1" applyFill="1"/>
    <xf numFmtId="0" fontId="3" fillId="2" borderId="0" xfId="0" applyFont="1" applyFill="1"/>
    <xf numFmtId="166" fontId="3" fillId="3" borderId="0" xfId="0" applyNumberFormat="1" applyFont="1" applyFill="1" applyAlignment="1">
      <alignment horizontal="right"/>
    </xf>
    <xf numFmtId="0" fontId="3" fillId="3" borderId="0" xfId="1" applyFont="1" applyFill="1" applyAlignment="1" applyProtection="1"/>
    <xf numFmtId="167" fontId="3" fillId="0" borderId="0" xfId="0" applyNumberFormat="1" applyFont="1" applyAlignment="1">
      <alignment horizontal="right"/>
    </xf>
    <xf numFmtId="166" fontId="3" fillId="0" borderId="0" xfId="0" applyNumberFormat="1" applyFont="1"/>
    <xf numFmtId="3" fontId="3" fillId="3" borderId="0" xfId="0" applyNumberFormat="1" applyFont="1" applyFill="1" applyAlignment="1">
      <alignment horizontal="left"/>
    </xf>
    <xf numFmtId="0" fontId="31" fillId="3" borderId="0" xfId="0" applyFont="1" applyFill="1"/>
    <xf numFmtId="166" fontId="0" fillId="3" borderId="0" xfId="0" applyNumberFormat="1" applyFill="1"/>
    <xf numFmtId="0" fontId="32" fillId="3" borderId="0" xfId="0" applyFont="1" applyFill="1"/>
    <xf numFmtId="165" fontId="0" fillId="3" borderId="0" xfId="0" applyNumberFormat="1" applyFill="1"/>
    <xf numFmtId="0" fontId="31" fillId="0" borderId="0" xfId="0" applyFont="1"/>
    <xf numFmtId="165" fontId="0" fillId="0" borderId="0" xfId="0" applyNumberFormat="1"/>
    <xf numFmtId="0" fontId="3" fillId="5" borderId="0" xfId="0" applyFont="1" applyFill="1"/>
    <xf numFmtId="0" fontId="0" fillId="5" borderId="0" xfId="0" applyFill="1"/>
    <xf numFmtId="0" fontId="31" fillId="3" borderId="0" xfId="0" applyFont="1" applyFill="1" applyAlignment="1">
      <alignment horizontal="left"/>
    </xf>
    <xf numFmtId="167" fontId="0" fillId="3" borderId="0" xfId="0" applyNumberFormat="1" applyFill="1"/>
    <xf numFmtId="0" fontId="3" fillId="7" borderId="0" xfId="0" applyFont="1" applyFill="1"/>
    <xf numFmtId="0" fontId="5" fillId="5" borderId="0" xfId="0" applyFont="1" applyFill="1"/>
    <xf numFmtId="167" fontId="0" fillId="0" borderId="0" xfId="0" applyNumberFormat="1"/>
    <xf numFmtId="0" fontId="11" fillId="0" borderId="0" xfId="0" applyFont="1"/>
    <xf numFmtId="0" fontId="33" fillId="3" borderId="0" xfId="0" applyFont="1" applyFill="1"/>
    <xf numFmtId="0" fontId="34" fillId="0" borderId="0" xfId="0" applyFont="1"/>
    <xf numFmtId="165" fontId="0" fillId="8" borderId="0" xfId="0" applyNumberFormat="1" applyFill="1"/>
    <xf numFmtId="3" fontId="0" fillId="0" borderId="0" xfId="0" applyNumberFormat="1" applyAlignment="1">
      <alignment horizontal="left"/>
    </xf>
    <xf numFmtId="4" fontId="5" fillId="0" borderId="0" xfId="0" applyNumberFormat="1" applyFont="1" applyAlignment="1">
      <alignment horizontal="right"/>
    </xf>
    <xf numFmtId="43" fontId="5" fillId="3" borderId="0" xfId="0" applyNumberFormat="1" applyFont="1" applyFill="1"/>
    <xf numFmtId="0" fontId="33" fillId="0" borderId="0" xfId="0" applyFont="1"/>
    <xf numFmtId="0" fontId="3" fillId="9" borderId="0" xfId="0" applyFont="1" applyFill="1"/>
    <xf numFmtId="0" fontId="5" fillId="0" borderId="0" xfId="5066" applyFont="1"/>
    <xf numFmtId="0" fontId="3" fillId="10" borderId="0" xfId="0" applyFont="1" applyFill="1"/>
    <xf numFmtId="4" fontId="0" fillId="0" borderId="0" xfId="0" applyNumberFormat="1"/>
    <xf numFmtId="165" fontId="5" fillId="11" borderId="0" xfId="13" applyFont="1" applyFill="1"/>
    <xf numFmtId="165" fontId="3" fillId="0" borderId="0" xfId="13" applyFont="1"/>
    <xf numFmtId="0" fontId="35" fillId="0" borderId="0" xfId="0" applyFont="1"/>
    <xf numFmtId="0" fontId="36" fillId="0" borderId="0" xfId="0" applyFont="1"/>
    <xf numFmtId="0" fontId="5" fillId="0" borderId="0" xfId="5643" applyFont="1"/>
    <xf numFmtId="165" fontId="5" fillId="3" borderId="0" xfId="0" applyNumberFormat="1" applyFont="1" applyFill="1"/>
    <xf numFmtId="0" fontId="3" fillId="12" borderId="0" xfId="0" applyFont="1" applyFill="1"/>
    <xf numFmtId="165" fontId="5" fillId="12" borderId="0" xfId="14" applyFont="1" applyFill="1"/>
    <xf numFmtId="43" fontId="0" fillId="12" borderId="0" xfId="0" applyNumberFormat="1" applyFill="1"/>
    <xf numFmtId="0" fontId="5" fillId="12" borderId="0" xfId="0" applyFont="1" applyFill="1"/>
    <xf numFmtId="0" fontId="3" fillId="13" borderId="0" xfId="0" applyFont="1" applyFill="1"/>
    <xf numFmtId="3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37" fillId="0" borderId="0" xfId="0" applyFont="1"/>
    <xf numFmtId="0" fontId="0" fillId="12" borderId="0" xfId="0" applyFill="1"/>
    <xf numFmtId="0" fontId="37" fillId="0" borderId="0" xfId="0" applyFont="1" applyAlignment="1">
      <alignment horizontal="left"/>
    </xf>
    <xf numFmtId="0" fontId="3" fillId="6" borderId="0" xfId="0" applyFont="1" applyFill="1"/>
    <xf numFmtId="165" fontId="5" fillId="12" borderId="0" xfId="13" applyFont="1" applyFill="1"/>
    <xf numFmtId="0" fontId="28" fillId="3" borderId="0" xfId="1" applyFont="1" applyFill="1" applyAlignment="1" applyProtection="1"/>
    <xf numFmtId="43" fontId="5" fillId="3" borderId="0" xfId="1456" applyFont="1" applyFill="1"/>
    <xf numFmtId="0" fontId="3" fillId="3" borderId="0" xfId="7" applyFont="1" applyFill="1" applyAlignment="1">
      <alignment horizontal="left"/>
    </xf>
    <xf numFmtId="0" fontId="5" fillId="3" borderId="0" xfId="7" applyFill="1"/>
    <xf numFmtId="43" fontId="5" fillId="3" borderId="0" xfId="23" applyFont="1" applyFill="1"/>
    <xf numFmtId="0" fontId="38" fillId="0" borderId="0" xfId="0" applyFont="1"/>
    <xf numFmtId="165" fontId="5" fillId="3" borderId="0" xfId="2758" applyFont="1" applyFill="1"/>
    <xf numFmtId="3" fontId="3" fillId="0" borderId="0" xfId="0" applyNumberFormat="1" applyFont="1"/>
    <xf numFmtId="165" fontId="5" fillId="6" borderId="0" xfId="13" applyFont="1" applyFill="1"/>
    <xf numFmtId="0" fontId="0" fillId="3" borderId="0" xfId="0" applyFill="1" applyAlignment="1">
      <alignment horizontal="left"/>
    </xf>
    <xf numFmtId="0" fontId="3" fillId="12" borderId="0" xfId="0" applyFont="1" applyFill="1" applyAlignment="1">
      <alignment horizontal="left"/>
    </xf>
    <xf numFmtId="14" fontId="5" fillId="0" borderId="0" xfId="0" applyNumberFormat="1" applyFont="1"/>
    <xf numFmtId="0" fontId="37" fillId="3" borderId="0" xfId="0" applyFont="1" applyFill="1"/>
    <xf numFmtId="0" fontId="3" fillId="4" borderId="0" xfId="7" applyFont="1" applyFill="1"/>
    <xf numFmtId="0" fontId="3" fillId="12" borderId="0" xfId="7" applyFont="1" applyFill="1"/>
    <xf numFmtId="165" fontId="0" fillId="14" borderId="0" xfId="0" applyNumberFormat="1" applyFill="1"/>
    <xf numFmtId="43" fontId="5" fillId="3" borderId="0" xfId="591" applyFont="1" applyFill="1"/>
    <xf numFmtId="4" fontId="0" fillId="2" borderId="0" xfId="0" applyNumberFormat="1" applyFill="1"/>
    <xf numFmtId="43" fontId="0" fillId="5" borderId="0" xfId="0" applyNumberFormat="1" applyFill="1"/>
    <xf numFmtId="165" fontId="5" fillId="6" borderId="0" xfId="3912" applyFont="1" applyFill="1"/>
    <xf numFmtId="0" fontId="39" fillId="3" borderId="0" xfId="0" applyFont="1" applyFill="1"/>
    <xf numFmtId="0" fontId="30" fillId="0" borderId="0" xfId="0" applyFont="1"/>
    <xf numFmtId="0" fontId="30" fillId="4" borderId="0" xfId="0" applyFont="1" applyFill="1"/>
    <xf numFmtId="0" fontId="28" fillId="0" borderId="0" xfId="0" applyFont="1"/>
    <xf numFmtId="167" fontId="30" fillId="0" borderId="0" xfId="0" applyNumberFormat="1" applyFont="1"/>
    <xf numFmtId="165" fontId="28" fillId="3" borderId="0" xfId="2758" applyFont="1" applyFill="1"/>
    <xf numFmtId="165" fontId="28" fillId="3" borderId="0" xfId="13" applyFont="1" applyFill="1"/>
    <xf numFmtId="165" fontId="28" fillId="4" borderId="0" xfId="13" applyFont="1" applyFill="1"/>
    <xf numFmtId="0" fontId="28" fillId="3" borderId="0" xfId="0" applyFont="1" applyFill="1"/>
    <xf numFmtId="4" fontId="0" fillId="8" borderId="0" xfId="0" applyNumberFormat="1" applyFill="1"/>
    <xf numFmtId="0" fontId="32" fillId="4" borderId="0" xfId="0" applyFont="1" applyFill="1"/>
    <xf numFmtId="0" fontId="32" fillId="0" borderId="0" xfId="0" applyFont="1" applyAlignment="1">
      <alignment horizontal="left"/>
    </xf>
    <xf numFmtId="0" fontId="32" fillId="0" borderId="0" xfId="7" applyFont="1"/>
    <xf numFmtId="0" fontId="40" fillId="0" borderId="0" xfId="1" applyFont="1" applyAlignment="1" applyProtection="1"/>
    <xf numFmtId="0" fontId="32" fillId="3" borderId="0" xfId="7" applyFont="1" applyFill="1"/>
    <xf numFmtId="14" fontId="32" fillId="0" borderId="0" xfId="0" applyNumberFormat="1" applyFont="1"/>
    <xf numFmtId="0" fontId="39" fillId="0" borderId="0" xfId="0" applyFont="1"/>
    <xf numFmtId="4" fontId="39" fillId="3" borderId="0" xfId="0" applyNumberFormat="1" applyFont="1" applyFill="1"/>
    <xf numFmtId="165" fontId="39" fillId="3" borderId="0" xfId="3912" applyFont="1" applyFill="1"/>
    <xf numFmtId="43" fontId="39" fillId="0" borderId="0" xfId="0" applyNumberFormat="1" applyFont="1"/>
    <xf numFmtId="0" fontId="5" fillId="4" borderId="0" xfId="0" applyFont="1" applyFill="1"/>
    <xf numFmtId="0" fontId="41" fillId="0" borderId="0" xfId="0" applyFont="1"/>
    <xf numFmtId="0" fontId="41" fillId="3" borderId="0" xfId="0" applyFont="1" applyFill="1"/>
    <xf numFmtId="168" fontId="0" fillId="0" borderId="0" xfId="0" applyNumberFormat="1"/>
    <xf numFmtId="0" fontId="19" fillId="15" borderId="1" xfId="0" applyFont="1" applyFill="1" applyBorder="1" applyAlignment="1">
      <alignment horizontal="center"/>
    </xf>
    <xf numFmtId="0" fontId="19" fillId="15" borderId="2" xfId="0" applyFont="1" applyFill="1" applyBorder="1" applyAlignment="1">
      <alignment horizontal="center"/>
    </xf>
    <xf numFmtId="0" fontId="19" fillId="15" borderId="3" xfId="0" applyFont="1" applyFill="1" applyBorder="1" applyAlignment="1">
      <alignment horizontal="center"/>
    </xf>
    <xf numFmtId="0" fontId="19" fillId="15" borderId="4" xfId="0" applyFont="1" applyFill="1" applyBorder="1" applyAlignment="1">
      <alignment horizontal="center"/>
    </xf>
    <xf numFmtId="0" fontId="19" fillId="15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8" fillId="0" borderId="0" xfId="0" applyFont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6" xfId="0" applyFill="1" applyBorder="1"/>
    <xf numFmtId="0" fontId="0" fillId="4" borderId="5" xfId="0" applyFill="1" applyBorder="1"/>
    <xf numFmtId="1" fontId="0" fillId="4" borderId="5" xfId="0" applyNumberFormat="1" applyFill="1" applyBorder="1"/>
    <xf numFmtId="0" fontId="5" fillId="0" borderId="18" xfId="0" applyFont="1" applyBorder="1" applyAlignment="1">
      <alignment horizontal="center"/>
    </xf>
    <xf numFmtId="0" fontId="0" fillId="0" borderId="9" xfId="0" applyBorder="1"/>
    <xf numFmtId="0" fontId="0" fillId="0" borderId="19" xfId="0" applyBorder="1"/>
    <xf numFmtId="1" fontId="0" fillId="0" borderId="19" xfId="0" applyNumberFormat="1" applyBorder="1"/>
    <xf numFmtId="0" fontId="18" fillId="5" borderId="13" xfId="0" applyFont="1" applyFill="1" applyBorder="1" applyAlignment="1">
      <alignment horizontal="center"/>
    </xf>
    <xf numFmtId="0" fontId="18" fillId="5" borderId="13" xfId="0" applyFont="1" applyFill="1" applyBorder="1"/>
    <xf numFmtId="0" fontId="18" fillId="5" borderId="14" xfId="0" applyFont="1" applyFill="1" applyBorder="1"/>
    <xf numFmtId="1" fontId="18" fillId="5" borderId="14" xfId="0" applyNumberFormat="1" applyFont="1" applyFill="1" applyBorder="1"/>
    <xf numFmtId="9" fontId="0" fillId="0" borderId="0" xfId="8" applyFont="1"/>
    <xf numFmtId="0" fontId="28" fillId="4" borderId="16" xfId="0" applyFont="1" applyFill="1" applyBorder="1"/>
    <xf numFmtId="0" fontId="28" fillId="0" borderId="8" xfId="0" applyFont="1" applyBorder="1"/>
    <xf numFmtId="0" fontId="28" fillId="0" borderId="9" xfId="0" applyFont="1" applyBorder="1"/>
    <xf numFmtId="0" fontId="42" fillId="5" borderId="13" xfId="0" applyFont="1" applyFill="1" applyBorder="1"/>
    <xf numFmtId="43" fontId="39" fillId="3" borderId="0" xfId="0" applyNumberFormat="1" applyFont="1" applyFill="1"/>
    <xf numFmtId="43" fontId="28" fillId="3" borderId="0" xfId="0" applyNumberFormat="1" applyFont="1" applyFill="1"/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0" xfId="9321"/>
    <xf numFmtId="171" fontId="1" fillId="0" borderId="0" xfId="9321" applyNumberFormat="1"/>
    <xf numFmtId="172" fontId="1" fillId="0" borderId="0" xfId="9321" applyNumberFormat="1"/>
    <xf numFmtId="0" fontId="1" fillId="2" borderId="0" xfId="9321" applyFill="1" applyAlignment="1">
      <alignment horizontal="center"/>
    </xf>
    <xf numFmtId="165" fontId="1" fillId="2" borderId="0" xfId="13" applyFont="1" applyFill="1" applyAlignment="1">
      <alignment horizontal="center"/>
    </xf>
    <xf numFmtId="165" fontId="1" fillId="0" borderId="0" xfId="13" applyFont="1"/>
  </cellXfs>
  <cellStyles count="9322">
    <cellStyle name="Hiperlink" xfId="1" builtinId="8"/>
    <cellStyle name="Moeda" xfId="2" builtinId="4"/>
    <cellStyle name="Moeda 2" xfId="3" xr:uid="{DA51125E-048F-4739-8673-F1D9DEE5B90B}"/>
    <cellStyle name="Moeda 2 2" xfId="4" xr:uid="{153DBCED-3FC4-4D73-B7C2-5FCFE0D0F232}"/>
    <cellStyle name="Moeda 3" xfId="5" xr:uid="{BCB8F950-698A-47E1-B7F4-96F89C2C248E}"/>
    <cellStyle name="Moeda 4" xfId="6" xr:uid="{433EB102-7599-4366-AF3D-836A399777C1}"/>
    <cellStyle name="Normal" xfId="0" builtinId="0"/>
    <cellStyle name="Normal 2" xfId="7" xr:uid="{77F505B3-8650-49EA-899F-76355A3AE28D}"/>
    <cellStyle name="Normal 3" xfId="9321" xr:uid="{EDFF5FB0-6E8F-4B7A-9E68-EA03DF1D2EF5}"/>
    <cellStyle name="Porcentagem" xfId="8" builtinId="5"/>
    <cellStyle name="Porcentagem 2" xfId="9" xr:uid="{DF0522BB-FDC7-47DC-B53A-CC181E994D07}"/>
    <cellStyle name="Porcentagem 3" xfId="10" xr:uid="{87D51C47-4017-4261-BDC3-C40126ABD9F2}"/>
    <cellStyle name="Porcentagem 3 2" xfId="11" xr:uid="{EEB17848-83EA-47ED-AD76-672F1DCB423E}"/>
    <cellStyle name="Porcentagem 4" xfId="12" xr:uid="{E06523B7-FE48-449F-93AD-DE4383F232E8}"/>
    <cellStyle name="Vírgula" xfId="13" builtinId="3"/>
    <cellStyle name="Vírgula 10" xfId="14" xr:uid="{1DE8F86A-B7DC-4645-B4C0-A3DA05DFD7BF}"/>
    <cellStyle name="Vírgula 10 2" xfId="15" xr:uid="{9EAA17B4-67CF-4A75-ACE3-E1BCF6C46C64}"/>
    <cellStyle name="Vírgula 10 2 10" xfId="16" xr:uid="{498CCB55-9483-4B7E-B5C8-6908CD1DF183}"/>
    <cellStyle name="Vírgula 10 2 10 2" xfId="17" xr:uid="{1575504C-E5B0-4193-877D-D3D3321C36C7}"/>
    <cellStyle name="Vírgula 10 2 10 2 2" xfId="18" xr:uid="{029054F1-E70A-49AA-90FD-B75B1102A4DD}"/>
    <cellStyle name="Vírgula 10 2 10 2 3" xfId="6222" xr:uid="{8D7EABD2-9E68-4D8C-9845-6182CB5C7636}"/>
    <cellStyle name="Vírgula 10 2 10 3" xfId="19" xr:uid="{06029B5A-CB97-4480-B971-ED2A74F83510}"/>
    <cellStyle name="Vírgula 10 2 10 4" xfId="6221" xr:uid="{A15B2BE1-C051-4566-AF9C-3EF598CCE991}"/>
    <cellStyle name="Vírgula 10 2 11" xfId="20" xr:uid="{1268FE90-88B9-4599-A553-1229CADE294F}"/>
    <cellStyle name="Vírgula 10 2 11 2" xfId="21" xr:uid="{923017C0-57C7-454A-AB79-1016819DC724}"/>
    <cellStyle name="Vírgula 10 2 11 3" xfId="6223" xr:uid="{E9FCB395-0CAF-4D24-99E6-829726356C99}"/>
    <cellStyle name="Vírgula 10 2 12" xfId="22" xr:uid="{2D382936-6777-4CEF-8B37-7E709691D9A4}"/>
    <cellStyle name="Vírgula 10 2 13" xfId="6220" xr:uid="{A3741DAC-67FB-4E87-9FC9-8D26CC015F3E}"/>
    <cellStyle name="Vírgula 10 2 2" xfId="23" xr:uid="{BD89E9E6-A789-4140-8CDD-1C1196987013}"/>
    <cellStyle name="Vírgula 10 2 2 10" xfId="24" xr:uid="{894F0E2B-0CC0-496C-9465-819BC4911F5F}"/>
    <cellStyle name="Vírgula 10 2 2 10 2" xfId="25" xr:uid="{4547C5A8-97EC-4079-ACAD-E19956310D7F}"/>
    <cellStyle name="Vírgula 10 2 2 10 3" xfId="6225" xr:uid="{D3F67408-1605-40F9-9110-B0E3089D1026}"/>
    <cellStyle name="Vírgula 10 2 2 11" xfId="26" xr:uid="{CF7450E4-3B7C-4556-BDBF-022BDF6DE422}"/>
    <cellStyle name="Vírgula 10 2 2 12" xfId="6224" xr:uid="{2C5ED641-FA52-4CAD-8D67-AB794F293A65}"/>
    <cellStyle name="Vírgula 10 2 2 2" xfId="27" xr:uid="{445F9294-822F-4A7A-BB00-C1C0AB82705D}"/>
    <cellStyle name="Vírgula 10 2 2 2 2" xfId="28" xr:uid="{223F1E68-B2A2-4872-B6B0-58EBDE537307}"/>
    <cellStyle name="Vírgula 10 2 2 2 2 2" xfId="29" xr:uid="{C2E800F6-851F-424D-8528-A28220954B2F}"/>
    <cellStyle name="Vírgula 10 2 2 2 2 2 2" xfId="30" xr:uid="{C0E49F36-837F-4CA9-833F-580F6E2A23A3}"/>
    <cellStyle name="Vírgula 10 2 2 2 2 2 2 2" xfId="31" xr:uid="{21EC5CC3-BBFF-4D5A-BC29-2E853F3D0C32}"/>
    <cellStyle name="Vírgula 10 2 2 2 2 2 2 2 2" xfId="32" xr:uid="{687B1C6E-E9F1-4CD2-ABAB-88C69230D1E4}"/>
    <cellStyle name="Vírgula 10 2 2 2 2 2 2 2 3" xfId="6230" xr:uid="{3E1A9F3F-9446-40B9-8FBF-547F67F02B43}"/>
    <cellStyle name="Vírgula 10 2 2 2 2 2 2 3" xfId="33" xr:uid="{AE061DC7-ED9C-484A-9211-B3DD4EF1B85C}"/>
    <cellStyle name="Vírgula 10 2 2 2 2 2 2 4" xfId="6229" xr:uid="{923EFA88-EEFF-449B-A87B-DFB1F783491F}"/>
    <cellStyle name="Vírgula 10 2 2 2 2 2 3" xfId="34" xr:uid="{0D4EB138-15AE-40CF-A09C-03C3A476F3AA}"/>
    <cellStyle name="Vírgula 10 2 2 2 2 2 3 2" xfId="35" xr:uid="{904A49FB-54CB-4CE4-AAB1-BB133C592697}"/>
    <cellStyle name="Vírgula 10 2 2 2 2 2 3 2 2" xfId="36" xr:uid="{362C75A2-1B73-4DFF-A088-0DEF1C15634E}"/>
    <cellStyle name="Vírgula 10 2 2 2 2 2 3 2 3" xfId="6232" xr:uid="{F39ED7D5-9685-46C1-9674-414C9C2ED979}"/>
    <cellStyle name="Vírgula 10 2 2 2 2 2 3 3" xfId="37" xr:uid="{5DF50CF7-7AE3-40C6-B0FF-5C219DC3C4EF}"/>
    <cellStyle name="Vírgula 10 2 2 2 2 2 3 4" xfId="6231" xr:uid="{3F4D59D0-4671-4D79-ABCF-3F928DA00654}"/>
    <cellStyle name="Vírgula 10 2 2 2 2 2 4" xfId="38" xr:uid="{877B50EC-04C1-491A-9005-C83EE3DFE789}"/>
    <cellStyle name="Vírgula 10 2 2 2 2 2 4 2" xfId="39" xr:uid="{129064B4-C86E-42BD-82FA-6FFFD56C4A58}"/>
    <cellStyle name="Vírgula 10 2 2 2 2 2 4 3" xfId="6233" xr:uid="{69D3D7D8-D189-4ED1-AFDE-9FD218B8BF23}"/>
    <cellStyle name="Vírgula 10 2 2 2 2 2 5" xfId="40" xr:uid="{049F9E11-7678-43EA-B117-C52F69FBBEEB}"/>
    <cellStyle name="Vírgula 10 2 2 2 2 2 6" xfId="6228" xr:uid="{55FEA8EE-4FEC-4CDC-A5D2-690B2ECFEBAC}"/>
    <cellStyle name="Vírgula 10 2 2 2 2 3" xfId="41" xr:uid="{AEF55B27-BD6A-4980-A18E-443671004C7B}"/>
    <cellStyle name="Vírgula 10 2 2 2 2 3 2" xfId="42" xr:uid="{87A557FF-C331-41B4-9263-0153D1EBD306}"/>
    <cellStyle name="Vírgula 10 2 2 2 2 3 2 2" xfId="43" xr:uid="{4B73EC00-CF46-4085-861F-A337972EDD76}"/>
    <cellStyle name="Vírgula 10 2 2 2 2 3 2 3" xfId="6235" xr:uid="{F80955C8-F0C4-497D-B120-3BF44E386F04}"/>
    <cellStyle name="Vírgula 10 2 2 2 2 3 3" xfId="44" xr:uid="{89D3597C-F4F0-4273-BF76-756A92D0A2C7}"/>
    <cellStyle name="Vírgula 10 2 2 2 2 3 4" xfId="6234" xr:uid="{11810503-AAD4-42E2-8A72-99CA39DD5EE5}"/>
    <cellStyle name="Vírgula 10 2 2 2 2 4" xfId="45" xr:uid="{3D45A205-C586-4881-BAD6-5610FB17F306}"/>
    <cellStyle name="Vírgula 10 2 2 2 2 4 2" xfId="46" xr:uid="{C2CABC84-38A1-46B5-92F9-E3B96D8326CD}"/>
    <cellStyle name="Vírgula 10 2 2 2 2 4 2 2" xfId="47" xr:uid="{B049C373-A5BB-42D4-B2FA-FCC548E02A23}"/>
    <cellStyle name="Vírgula 10 2 2 2 2 4 2 3" xfId="6237" xr:uid="{EF927D41-D634-4FD8-9D16-B3FA083D9EA8}"/>
    <cellStyle name="Vírgula 10 2 2 2 2 4 3" xfId="48" xr:uid="{1D8EA743-52DD-42C2-AC9C-BE5B6150A4E3}"/>
    <cellStyle name="Vírgula 10 2 2 2 2 4 4" xfId="6236" xr:uid="{91A9E68B-9944-4377-8B13-AEDDAC26429D}"/>
    <cellStyle name="Vírgula 10 2 2 2 2 5" xfId="49" xr:uid="{0B0508EC-B150-4691-967E-F2F121FA7CB7}"/>
    <cellStyle name="Vírgula 10 2 2 2 2 5 2" xfId="50" xr:uid="{D1236B2C-3DE6-4325-904C-2C0E370EE310}"/>
    <cellStyle name="Vírgula 10 2 2 2 2 5 3" xfId="6238" xr:uid="{63A3D0B8-48F3-4408-B0E4-BC42F0AB61EC}"/>
    <cellStyle name="Vírgula 10 2 2 2 2 6" xfId="51" xr:uid="{C8E17E10-FF3E-4E5B-9D94-605BCDFECD93}"/>
    <cellStyle name="Vírgula 10 2 2 2 2 7" xfId="6227" xr:uid="{DDCE6770-0C46-4FF1-9290-4243073850B6}"/>
    <cellStyle name="Vírgula 10 2 2 2 3" xfId="52" xr:uid="{8D25EFA6-295C-4EB9-AF6E-F056382A6865}"/>
    <cellStyle name="Vírgula 10 2 2 2 3 2" xfId="53" xr:uid="{8B5549F8-3FCE-49F6-859C-9020AB4F6C99}"/>
    <cellStyle name="Vírgula 10 2 2 2 3 2 2" xfId="54" xr:uid="{E0A725DC-1271-4829-849C-602D5E2B2047}"/>
    <cellStyle name="Vírgula 10 2 2 2 3 2 2 2" xfId="55" xr:uid="{EA90282B-81E0-49D3-BC4F-5F8E1935D6B2}"/>
    <cellStyle name="Vírgula 10 2 2 2 3 2 2 2 2" xfId="56" xr:uid="{80DA7613-213B-4717-A992-B05D92C4CE6B}"/>
    <cellStyle name="Vírgula 10 2 2 2 3 2 2 2 3" xfId="6242" xr:uid="{B6984041-E8A1-4957-BF48-33D6CA97752B}"/>
    <cellStyle name="Vírgula 10 2 2 2 3 2 2 3" xfId="57" xr:uid="{3E560DB5-975F-403D-9D55-469B55008BF3}"/>
    <cellStyle name="Vírgula 10 2 2 2 3 2 2 4" xfId="6241" xr:uid="{2031FDB2-9A5C-482A-ABC4-46995E116BCF}"/>
    <cellStyle name="Vírgula 10 2 2 2 3 2 3" xfId="58" xr:uid="{5F330E5A-3C8E-4B3D-8174-A617B1F9FC67}"/>
    <cellStyle name="Vírgula 10 2 2 2 3 2 3 2" xfId="59" xr:uid="{C9D47F51-1832-48AC-BEF7-B497F8D229F6}"/>
    <cellStyle name="Vírgula 10 2 2 2 3 2 3 2 2" xfId="60" xr:uid="{29C279B8-29E6-465E-A16D-62A5A34E7DE3}"/>
    <cellStyle name="Vírgula 10 2 2 2 3 2 3 2 3" xfId="6244" xr:uid="{F187D4BC-BD37-45FC-BC9F-0A04B62D82AB}"/>
    <cellStyle name="Vírgula 10 2 2 2 3 2 3 3" xfId="61" xr:uid="{7E5A334B-EC78-4806-AB31-04156F01BFFF}"/>
    <cellStyle name="Vírgula 10 2 2 2 3 2 3 4" xfId="6243" xr:uid="{DF88E80C-BE08-4D0A-A066-A1A5437E18FE}"/>
    <cellStyle name="Vírgula 10 2 2 2 3 2 4" xfId="62" xr:uid="{1CE57EE0-1C29-454F-9D9B-DBFF6EC88E5D}"/>
    <cellStyle name="Vírgula 10 2 2 2 3 2 4 2" xfId="63" xr:uid="{8E16BE55-CAAD-4470-B9CD-971BF1F04BEC}"/>
    <cellStyle name="Vírgula 10 2 2 2 3 2 4 3" xfId="6245" xr:uid="{D1C6A132-696D-4402-B14E-2098E21EDA66}"/>
    <cellStyle name="Vírgula 10 2 2 2 3 2 5" xfId="64" xr:uid="{AA4A81FF-6887-4129-AC5E-1D9315B0F356}"/>
    <cellStyle name="Vírgula 10 2 2 2 3 2 6" xfId="6240" xr:uid="{90842FF8-20D8-4C5A-8BAD-BD22126EE27E}"/>
    <cellStyle name="Vírgula 10 2 2 2 3 3" xfId="65" xr:uid="{AA41F670-D371-41C4-AD15-D0285A5624D7}"/>
    <cellStyle name="Vírgula 10 2 2 2 3 3 2" xfId="66" xr:uid="{F2D80276-24F7-4B49-A51D-A4CBCEB78B64}"/>
    <cellStyle name="Vírgula 10 2 2 2 3 3 2 2" xfId="67" xr:uid="{7F836D2F-80D4-4430-8FDB-04B4A20B1893}"/>
    <cellStyle name="Vírgula 10 2 2 2 3 3 2 3" xfId="6247" xr:uid="{C5616EF4-A151-4DDF-8195-455CCB218872}"/>
    <cellStyle name="Vírgula 10 2 2 2 3 3 3" xfId="68" xr:uid="{9F1AD10F-3D52-440D-9D44-0769200AEE45}"/>
    <cellStyle name="Vírgula 10 2 2 2 3 3 4" xfId="6246" xr:uid="{53567339-6CF0-4DF7-B481-5F8E75663D0C}"/>
    <cellStyle name="Vírgula 10 2 2 2 3 4" xfId="69" xr:uid="{A5E2CD00-ED2F-49E9-8BEA-B97CB4BA4EEE}"/>
    <cellStyle name="Vírgula 10 2 2 2 3 4 2" xfId="70" xr:uid="{1C7D1865-39C7-418F-8EF2-611582C758D0}"/>
    <cellStyle name="Vírgula 10 2 2 2 3 4 2 2" xfId="71" xr:uid="{9924EF66-3078-49D4-9438-899F29F6D421}"/>
    <cellStyle name="Vírgula 10 2 2 2 3 4 2 3" xfId="6249" xr:uid="{D1832D25-E976-4478-914D-8607FD76D2C4}"/>
    <cellStyle name="Vírgula 10 2 2 2 3 4 3" xfId="72" xr:uid="{535020AD-B872-4640-8406-1146FD1CDD9F}"/>
    <cellStyle name="Vírgula 10 2 2 2 3 4 4" xfId="6248" xr:uid="{F9E007ED-E48E-48B9-B21F-EC78B0E6FA59}"/>
    <cellStyle name="Vírgula 10 2 2 2 3 5" xfId="73" xr:uid="{95624CD5-9A12-42DA-B96A-3E7C6CFF5BC9}"/>
    <cellStyle name="Vírgula 10 2 2 2 3 5 2" xfId="74" xr:uid="{C90CF8DF-FE3E-498D-AAAD-93F023E610F8}"/>
    <cellStyle name="Vírgula 10 2 2 2 3 5 3" xfId="6250" xr:uid="{01961023-6324-4471-99B4-08BB10A205B9}"/>
    <cellStyle name="Vírgula 10 2 2 2 3 6" xfId="75" xr:uid="{A935DFE8-71A4-4583-8556-77F1DBA7976A}"/>
    <cellStyle name="Vírgula 10 2 2 2 3 7" xfId="6239" xr:uid="{F7FAB837-9799-4F62-8EB5-A1048AF3FA65}"/>
    <cellStyle name="Vírgula 10 2 2 2 4" xfId="76" xr:uid="{9565D67B-6327-4609-92DB-05E9C247DBD8}"/>
    <cellStyle name="Vírgula 10 2 2 2 4 2" xfId="77" xr:uid="{8D977B1C-EECB-4716-A3B9-75FB5A5BC916}"/>
    <cellStyle name="Vírgula 10 2 2 2 4 2 2" xfId="78" xr:uid="{522ED134-ACD4-470F-9403-9051CA886A54}"/>
    <cellStyle name="Vírgula 10 2 2 2 4 2 2 2" xfId="79" xr:uid="{04739309-A29B-4DCF-BCB4-9B0AF635FFC4}"/>
    <cellStyle name="Vírgula 10 2 2 2 4 2 2 3" xfId="6253" xr:uid="{3BF78A2F-8212-4BF9-8731-F4EFC40CC75A}"/>
    <cellStyle name="Vírgula 10 2 2 2 4 2 3" xfId="80" xr:uid="{085AB2CD-4D57-4A5A-BE4E-21AC73E764BC}"/>
    <cellStyle name="Vírgula 10 2 2 2 4 2 4" xfId="6252" xr:uid="{91A95EE4-E59A-4CE6-A95B-907E7B9F2BE0}"/>
    <cellStyle name="Vírgula 10 2 2 2 4 3" xfId="81" xr:uid="{382AD743-09FD-4731-B67B-FF9E78415FC3}"/>
    <cellStyle name="Vírgula 10 2 2 2 4 3 2" xfId="82" xr:uid="{26113F51-B8A7-4818-A313-B2C384893C42}"/>
    <cellStyle name="Vírgula 10 2 2 2 4 3 2 2" xfId="83" xr:uid="{81A2A4D0-98F0-4440-9938-976CCDF4310A}"/>
    <cellStyle name="Vírgula 10 2 2 2 4 3 2 3" xfId="6255" xr:uid="{E545357B-07A8-4487-BF80-EB93AE4E9A99}"/>
    <cellStyle name="Vírgula 10 2 2 2 4 3 3" xfId="84" xr:uid="{BCCA469D-20C4-44AB-B0C8-E8A3AD003931}"/>
    <cellStyle name="Vírgula 10 2 2 2 4 3 4" xfId="6254" xr:uid="{959AE0B4-4740-48CD-B6AF-69A4937C4AE3}"/>
    <cellStyle name="Vírgula 10 2 2 2 4 4" xfId="85" xr:uid="{8B1B0426-6384-4FC6-9558-159B7191F789}"/>
    <cellStyle name="Vírgula 10 2 2 2 4 4 2" xfId="86" xr:uid="{AAF8616A-7CC6-4477-80B6-5246D6B353C3}"/>
    <cellStyle name="Vírgula 10 2 2 2 4 4 3" xfId="6256" xr:uid="{32360F6A-F051-4E86-95C8-D9F1838C1933}"/>
    <cellStyle name="Vírgula 10 2 2 2 4 5" xfId="87" xr:uid="{516E539E-FBCA-4B51-B686-3AC2ABF38243}"/>
    <cellStyle name="Vírgula 10 2 2 2 4 6" xfId="6251" xr:uid="{60DDBFD2-2666-405D-B7FA-48E2452CC358}"/>
    <cellStyle name="Vírgula 10 2 2 2 5" xfId="88" xr:uid="{FEBDA6CF-1299-455A-A6A4-7D2AF62DC71F}"/>
    <cellStyle name="Vírgula 10 2 2 2 5 2" xfId="89" xr:uid="{DEEBB728-4D9E-44D7-A417-CF5F209695E2}"/>
    <cellStyle name="Vírgula 10 2 2 2 5 2 2" xfId="90" xr:uid="{C48EBC16-AF8C-4F70-8923-8D86FC3AA96E}"/>
    <cellStyle name="Vírgula 10 2 2 2 5 2 3" xfId="6258" xr:uid="{F2590932-9998-417C-B98B-D7F34B0005BD}"/>
    <cellStyle name="Vírgula 10 2 2 2 5 3" xfId="91" xr:uid="{DD84EF94-CE48-48DE-BB81-C3F42378655B}"/>
    <cellStyle name="Vírgula 10 2 2 2 5 4" xfId="6257" xr:uid="{60B82B02-75EE-493B-842E-0AD9C01DD913}"/>
    <cellStyle name="Vírgula 10 2 2 2 6" xfId="92" xr:uid="{88B7FB38-88CC-4681-ACB7-7F5B434C0082}"/>
    <cellStyle name="Vírgula 10 2 2 2 6 2" xfId="93" xr:uid="{3B2CF7E4-C352-4504-8F9D-46CEDA11090F}"/>
    <cellStyle name="Vírgula 10 2 2 2 6 2 2" xfId="94" xr:uid="{2CDC071F-55BC-4C1D-85A4-A4C7E6A45960}"/>
    <cellStyle name="Vírgula 10 2 2 2 6 2 3" xfId="6260" xr:uid="{EBF94CB9-24C6-4084-9696-FDCFF57108BC}"/>
    <cellStyle name="Vírgula 10 2 2 2 6 3" xfId="95" xr:uid="{9CCD6CB7-772C-4255-93CE-02796557BCC7}"/>
    <cellStyle name="Vírgula 10 2 2 2 6 4" xfId="6259" xr:uid="{2E3C27D6-2F1F-49B1-94F4-EEECC376F8D5}"/>
    <cellStyle name="Vírgula 10 2 2 2 7" xfId="96" xr:uid="{0A832DFA-6ABC-429A-B05F-7764D2512D67}"/>
    <cellStyle name="Vírgula 10 2 2 2 7 2" xfId="97" xr:uid="{60E31EF5-C034-44BE-8E94-04D6E3A5C7A9}"/>
    <cellStyle name="Vírgula 10 2 2 2 7 3" xfId="6261" xr:uid="{85805CA3-61B9-44F0-A5FA-B5CB2A93753D}"/>
    <cellStyle name="Vírgula 10 2 2 2 8" xfId="98" xr:uid="{545A8417-B0C1-4F7A-BFCE-55B847149B09}"/>
    <cellStyle name="Vírgula 10 2 2 2 9" xfId="6226" xr:uid="{68291272-09D3-4416-B1BC-7E32E40EAFF9}"/>
    <cellStyle name="Vírgula 10 2 2 3" xfId="99" xr:uid="{6A65F322-C7BB-4B16-B0B4-5E047C512CDA}"/>
    <cellStyle name="Vírgula 10 2 2 3 2" xfId="100" xr:uid="{158E2E27-492A-40C8-A085-005553F803A0}"/>
    <cellStyle name="Vírgula 10 2 2 3 2 2" xfId="101" xr:uid="{E858B208-1828-475C-AB75-CB719201FDA8}"/>
    <cellStyle name="Vírgula 10 2 2 3 2 2 2" xfId="102" xr:uid="{DF4932E7-2E9D-498F-BD67-8FCAFE2DEF3B}"/>
    <cellStyle name="Vírgula 10 2 2 3 2 2 2 2" xfId="103" xr:uid="{B0ECD60A-920D-4D22-A251-AEB521A42C10}"/>
    <cellStyle name="Vírgula 10 2 2 3 2 2 2 2 2" xfId="104" xr:uid="{2CACCA9E-8FE9-4E39-B85C-6674CD2B653A}"/>
    <cellStyle name="Vírgula 10 2 2 3 2 2 2 2 3" xfId="6266" xr:uid="{2CAA21BC-6BDD-4D89-8F53-9910EB04FCC9}"/>
    <cellStyle name="Vírgula 10 2 2 3 2 2 2 3" xfId="105" xr:uid="{0356CB0A-C1DB-466F-AEEF-0F910A5D03B2}"/>
    <cellStyle name="Vírgula 10 2 2 3 2 2 2 4" xfId="6265" xr:uid="{C16F44C8-E0E3-4DBF-BC3B-3A43ED9DEDA7}"/>
    <cellStyle name="Vírgula 10 2 2 3 2 2 3" xfId="106" xr:uid="{1090D81B-9508-4616-8343-FB8327252EF8}"/>
    <cellStyle name="Vírgula 10 2 2 3 2 2 3 2" xfId="107" xr:uid="{39297BE3-E6DF-408F-A206-9093A75C8E56}"/>
    <cellStyle name="Vírgula 10 2 2 3 2 2 3 2 2" xfId="108" xr:uid="{70C0E5FF-4591-4580-9622-7925D063253B}"/>
    <cellStyle name="Vírgula 10 2 2 3 2 2 3 2 3" xfId="6268" xr:uid="{C87C7121-2B2F-4B74-BB84-4AC6B19A5BB1}"/>
    <cellStyle name="Vírgula 10 2 2 3 2 2 3 3" xfId="109" xr:uid="{5F6A8DD4-160C-431B-BA81-509561BD8FFE}"/>
    <cellStyle name="Vírgula 10 2 2 3 2 2 3 4" xfId="6267" xr:uid="{5B8F9BA3-A1C7-4650-B2E3-7A87419A5F72}"/>
    <cellStyle name="Vírgula 10 2 2 3 2 2 4" xfId="110" xr:uid="{0BB25989-F35F-49A2-B001-57DD3B25AA81}"/>
    <cellStyle name="Vírgula 10 2 2 3 2 2 4 2" xfId="111" xr:uid="{FDD1EAD2-48B3-463D-A000-5A4FD8833EDB}"/>
    <cellStyle name="Vírgula 10 2 2 3 2 2 4 3" xfId="6269" xr:uid="{8023AD3F-3435-44C7-B061-6457BD42DB60}"/>
    <cellStyle name="Vírgula 10 2 2 3 2 2 5" xfId="112" xr:uid="{09B8B6E4-36A2-4CCC-8B15-71DFFEBC629D}"/>
    <cellStyle name="Vírgula 10 2 2 3 2 2 6" xfId="6264" xr:uid="{3B499CB0-4993-4548-9691-4299FD3ADB90}"/>
    <cellStyle name="Vírgula 10 2 2 3 2 3" xfId="113" xr:uid="{23347D42-6D05-49E9-8F38-F2F1006322D4}"/>
    <cellStyle name="Vírgula 10 2 2 3 2 3 2" xfId="114" xr:uid="{2AF48526-4E13-4BB6-9F47-23EC5CAA5CBB}"/>
    <cellStyle name="Vírgula 10 2 2 3 2 3 2 2" xfId="115" xr:uid="{34227AD6-5984-44E8-89CB-E5DD3E72AF2E}"/>
    <cellStyle name="Vírgula 10 2 2 3 2 3 2 3" xfId="6271" xr:uid="{5BD9BAAB-2EFE-400F-8BC1-AAFA2D011B78}"/>
    <cellStyle name="Vírgula 10 2 2 3 2 3 3" xfId="116" xr:uid="{3484D9AF-09CA-4CE0-A10F-7A480AC451BF}"/>
    <cellStyle name="Vírgula 10 2 2 3 2 3 4" xfId="6270" xr:uid="{617AE77E-0163-4BF0-9EB9-5D9ED94876D5}"/>
    <cellStyle name="Vírgula 10 2 2 3 2 4" xfId="117" xr:uid="{8599AC81-B6F8-4700-A87D-3CD71543BE74}"/>
    <cellStyle name="Vírgula 10 2 2 3 2 4 2" xfId="118" xr:uid="{190585FA-6C35-4311-8EF0-B93BAAEDC00D}"/>
    <cellStyle name="Vírgula 10 2 2 3 2 4 2 2" xfId="119" xr:uid="{7A14808A-BFB7-4628-A719-EA017BD2B685}"/>
    <cellStyle name="Vírgula 10 2 2 3 2 4 2 3" xfId="6273" xr:uid="{0F9149F8-1DCB-4974-8099-4CA3A85324B3}"/>
    <cellStyle name="Vírgula 10 2 2 3 2 4 3" xfId="120" xr:uid="{B425CBB7-437B-4DCC-8CF5-C6B2C59A0F57}"/>
    <cellStyle name="Vírgula 10 2 2 3 2 4 4" xfId="6272" xr:uid="{969B7C50-A38D-444C-AB10-B046292102C1}"/>
    <cellStyle name="Vírgula 10 2 2 3 2 5" xfId="121" xr:uid="{F11510FD-1542-4936-8DA0-7602521615F6}"/>
    <cellStyle name="Vírgula 10 2 2 3 2 5 2" xfId="122" xr:uid="{E1AC020A-3561-4B95-9AB4-C98A37C448A2}"/>
    <cellStyle name="Vírgula 10 2 2 3 2 5 3" xfId="6274" xr:uid="{9106D39F-3802-43B3-A5EB-3080AEE8253C}"/>
    <cellStyle name="Vírgula 10 2 2 3 2 6" xfId="123" xr:uid="{08A06D86-9F40-46ED-8F3F-397F2B1EDFD6}"/>
    <cellStyle name="Vírgula 10 2 2 3 2 7" xfId="6263" xr:uid="{423AC13E-014D-48A7-A74D-F4FDC7AD19B0}"/>
    <cellStyle name="Vírgula 10 2 2 3 3" xfId="124" xr:uid="{050FE608-83AF-4DB1-851E-2707ABC8A2F7}"/>
    <cellStyle name="Vírgula 10 2 2 3 3 2" xfId="125" xr:uid="{81B4D4B0-F669-4CF4-935C-F320C41D6D86}"/>
    <cellStyle name="Vírgula 10 2 2 3 3 2 2" xfId="126" xr:uid="{6FBEAFB6-7CDC-404D-A2CD-97B18FA61DC2}"/>
    <cellStyle name="Vírgula 10 2 2 3 3 2 2 2" xfId="127" xr:uid="{89D430D2-EFCE-499F-B6FE-AECE81CF2214}"/>
    <cellStyle name="Vírgula 10 2 2 3 3 2 2 2 2" xfId="128" xr:uid="{0FB48297-A4C2-4F21-AB59-2A585EF77EBD}"/>
    <cellStyle name="Vírgula 10 2 2 3 3 2 2 2 3" xfId="6278" xr:uid="{87B24D28-9655-41E4-A6F5-C9D6F3FF6A64}"/>
    <cellStyle name="Vírgula 10 2 2 3 3 2 2 3" xfId="129" xr:uid="{0E36A3BF-C362-47E5-9328-82A9FA5C8D53}"/>
    <cellStyle name="Vírgula 10 2 2 3 3 2 2 4" xfId="6277" xr:uid="{5C147F13-DCFC-433B-BB76-12340FEDB5B2}"/>
    <cellStyle name="Vírgula 10 2 2 3 3 2 3" xfId="130" xr:uid="{F26E2E33-0066-4CB7-8F2B-8D095EDB50E3}"/>
    <cellStyle name="Vírgula 10 2 2 3 3 2 3 2" xfId="131" xr:uid="{C0EF3C6D-F315-49E1-88FB-E866B4036AAE}"/>
    <cellStyle name="Vírgula 10 2 2 3 3 2 3 2 2" xfId="132" xr:uid="{81E7AFB8-7B6D-4E38-8F45-25AE16E18BBD}"/>
    <cellStyle name="Vírgula 10 2 2 3 3 2 3 2 3" xfId="6280" xr:uid="{07A4283D-F403-4F39-85A1-32CA6CE41A5D}"/>
    <cellStyle name="Vírgula 10 2 2 3 3 2 3 3" xfId="133" xr:uid="{C2FA7B5A-2810-4223-A4ED-29F4A4BF4A7F}"/>
    <cellStyle name="Vírgula 10 2 2 3 3 2 3 4" xfId="6279" xr:uid="{0FDA297E-6FEA-4974-B526-49554FF6B852}"/>
    <cellStyle name="Vírgula 10 2 2 3 3 2 4" xfId="134" xr:uid="{73B4BD61-BBC7-41AE-8D21-BD52173D5EF9}"/>
    <cellStyle name="Vírgula 10 2 2 3 3 2 4 2" xfId="135" xr:uid="{FA547520-9A30-4F05-A42F-4947E90217A3}"/>
    <cellStyle name="Vírgula 10 2 2 3 3 2 4 3" xfId="6281" xr:uid="{8696D415-54CF-46C0-AB5D-F0E3223175F7}"/>
    <cellStyle name="Vírgula 10 2 2 3 3 2 5" xfId="136" xr:uid="{468D7E67-33B8-40A4-949C-6B67E191A969}"/>
    <cellStyle name="Vírgula 10 2 2 3 3 2 6" xfId="6276" xr:uid="{DF7784BA-0A89-4E68-8FD2-5B66BBCE3B62}"/>
    <cellStyle name="Vírgula 10 2 2 3 3 3" xfId="137" xr:uid="{1FCCEAF7-73E9-4CBA-83AE-E4074A09F4C5}"/>
    <cellStyle name="Vírgula 10 2 2 3 3 3 2" xfId="138" xr:uid="{2D714B57-06A8-4AC3-BE7C-239CC1381D7B}"/>
    <cellStyle name="Vírgula 10 2 2 3 3 3 2 2" xfId="139" xr:uid="{981A17CF-1C7F-4D6A-AA36-9B8624E5BE8A}"/>
    <cellStyle name="Vírgula 10 2 2 3 3 3 2 3" xfId="6283" xr:uid="{960E441F-4695-4AF2-98F0-62039C514506}"/>
    <cellStyle name="Vírgula 10 2 2 3 3 3 3" xfId="140" xr:uid="{13E1FD2E-5A52-4256-BFF8-04902024577F}"/>
    <cellStyle name="Vírgula 10 2 2 3 3 3 4" xfId="6282" xr:uid="{EE252428-4D38-447B-BA92-3DA8327A66EB}"/>
    <cellStyle name="Vírgula 10 2 2 3 3 4" xfId="141" xr:uid="{A621671B-E91C-4926-8A2D-0278188C9220}"/>
    <cellStyle name="Vírgula 10 2 2 3 3 4 2" xfId="142" xr:uid="{325D38BB-56B9-4E15-9641-DEF41B98EC30}"/>
    <cellStyle name="Vírgula 10 2 2 3 3 4 2 2" xfId="143" xr:uid="{B2239449-9274-4D1B-A48E-C3D6F1012381}"/>
    <cellStyle name="Vírgula 10 2 2 3 3 4 2 3" xfId="6285" xr:uid="{8A8C1967-C40A-441A-BA42-2570846A236A}"/>
    <cellStyle name="Vírgula 10 2 2 3 3 4 3" xfId="144" xr:uid="{F22091D0-D0CF-4AD3-906C-D6B69384283F}"/>
    <cellStyle name="Vírgula 10 2 2 3 3 4 4" xfId="6284" xr:uid="{CDDD5A15-4A9A-4E45-81C4-FEF972AD4F45}"/>
    <cellStyle name="Vírgula 10 2 2 3 3 5" xfId="145" xr:uid="{38727DA2-E59D-45B2-BEB0-7422069862FE}"/>
    <cellStyle name="Vírgula 10 2 2 3 3 5 2" xfId="146" xr:uid="{30C68B59-7D9F-4AC7-A3A0-CD81F33767CB}"/>
    <cellStyle name="Vírgula 10 2 2 3 3 5 3" xfId="6286" xr:uid="{DFC843B5-2758-49B8-B222-743D56F3192A}"/>
    <cellStyle name="Vírgula 10 2 2 3 3 6" xfId="147" xr:uid="{376C7FDC-420F-4962-97AA-504D34E2999E}"/>
    <cellStyle name="Vírgula 10 2 2 3 3 7" xfId="6275" xr:uid="{470AC711-C10F-4846-930F-1B2034903AD3}"/>
    <cellStyle name="Vírgula 10 2 2 3 4" xfId="148" xr:uid="{F3E97DA4-EACB-455F-BC52-0C14D1795244}"/>
    <cellStyle name="Vírgula 10 2 2 3 4 2" xfId="149" xr:uid="{92635D23-EFB8-45A5-B4F4-D2272302289F}"/>
    <cellStyle name="Vírgula 10 2 2 3 4 2 2" xfId="150" xr:uid="{65674CF2-35B5-4CC5-939D-F2775F88F563}"/>
    <cellStyle name="Vírgula 10 2 2 3 4 2 2 2" xfId="151" xr:uid="{672C8032-C41D-4287-B41F-48112B9C3292}"/>
    <cellStyle name="Vírgula 10 2 2 3 4 2 2 3" xfId="6289" xr:uid="{2A088712-EDD7-49EC-BF20-B489E83909F0}"/>
    <cellStyle name="Vírgula 10 2 2 3 4 2 3" xfId="152" xr:uid="{860A960F-93DC-4019-BC67-E3A83B89E5D5}"/>
    <cellStyle name="Vírgula 10 2 2 3 4 2 4" xfId="6288" xr:uid="{499870CF-6686-4DBE-9E62-643013E41B84}"/>
    <cellStyle name="Vírgula 10 2 2 3 4 3" xfId="153" xr:uid="{DA2D5FED-B394-4B4B-9F05-92AB574E97E6}"/>
    <cellStyle name="Vírgula 10 2 2 3 4 3 2" xfId="154" xr:uid="{77880DDE-9A9A-4F6C-BDD8-CEF8DE2A827B}"/>
    <cellStyle name="Vírgula 10 2 2 3 4 3 2 2" xfId="155" xr:uid="{23B73D8E-1795-4138-A674-4A0726B98EDF}"/>
    <cellStyle name="Vírgula 10 2 2 3 4 3 2 3" xfId="6291" xr:uid="{87AE8048-1E2D-4711-83E3-3EE04193B0F9}"/>
    <cellStyle name="Vírgula 10 2 2 3 4 3 3" xfId="156" xr:uid="{7D92AD8A-7A96-434D-9C86-D024CE56FF5D}"/>
    <cellStyle name="Vírgula 10 2 2 3 4 3 4" xfId="6290" xr:uid="{5E16B341-EF85-4AF6-A678-D33BA2B775E4}"/>
    <cellStyle name="Vírgula 10 2 2 3 4 4" xfId="157" xr:uid="{DD7CE544-4D16-4F52-A092-7EB0347A86E8}"/>
    <cellStyle name="Vírgula 10 2 2 3 4 4 2" xfId="158" xr:uid="{610608E6-AFE4-47EF-B91E-E4D7B8ADBE4B}"/>
    <cellStyle name="Vírgula 10 2 2 3 4 4 3" xfId="6292" xr:uid="{C64BB8E3-BE47-408E-B86B-D71278B0F793}"/>
    <cellStyle name="Vírgula 10 2 2 3 4 5" xfId="159" xr:uid="{1359490E-C5A9-4B7B-BFA2-436EC1691603}"/>
    <cellStyle name="Vírgula 10 2 2 3 4 6" xfId="6287" xr:uid="{5F4B5F22-10A1-4E98-A8D1-D8CFACCC7BB4}"/>
    <cellStyle name="Vírgula 10 2 2 3 5" xfId="160" xr:uid="{25E16DB0-1A9C-4655-955D-6CB9AB34B673}"/>
    <cellStyle name="Vírgula 10 2 2 3 5 2" xfId="161" xr:uid="{E0D52E4C-E90A-455A-B31F-F7609BD43B6E}"/>
    <cellStyle name="Vírgula 10 2 2 3 5 2 2" xfId="162" xr:uid="{BAE6E681-8C7E-4BA2-9A55-BE68279F46E5}"/>
    <cellStyle name="Vírgula 10 2 2 3 5 2 3" xfId="6294" xr:uid="{A4468BCC-48B9-45CC-A4A0-81F7048927C9}"/>
    <cellStyle name="Vírgula 10 2 2 3 5 3" xfId="163" xr:uid="{0F856B4B-D31D-4B45-BFE2-B966575DD414}"/>
    <cellStyle name="Vírgula 10 2 2 3 5 4" xfId="6293" xr:uid="{65924C1D-129F-4767-8D29-BC6EC49E445D}"/>
    <cellStyle name="Vírgula 10 2 2 3 6" xfId="164" xr:uid="{11726C53-4C93-46C0-8D40-78E642ABC42A}"/>
    <cellStyle name="Vírgula 10 2 2 3 6 2" xfId="165" xr:uid="{F3B774F0-C81A-4E51-8A2B-3BC6342FF63F}"/>
    <cellStyle name="Vírgula 10 2 2 3 6 2 2" xfId="166" xr:uid="{E61403CB-312F-4A07-81DD-DFA47E133CC8}"/>
    <cellStyle name="Vírgula 10 2 2 3 6 2 3" xfId="6296" xr:uid="{EB6100FD-D071-4504-8AA9-7A03BA96276D}"/>
    <cellStyle name="Vírgula 10 2 2 3 6 3" xfId="167" xr:uid="{3F256B44-CCA6-4B8A-BC33-1C67A8AE37CE}"/>
    <cellStyle name="Vírgula 10 2 2 3 6 4" xfId="6295" xr:uid="{36CEAC85-5DAD-4DC8-AB13-6E284F2E5932}"/>
    <cellStyle name="Vírgula 10 2 2 3 7" xfId="168" xr:uid="{5056C7AD-B82C-4D0C-AC4D-611BD029D08B}"/>
    <cellStyle name="Vírgula 10 2 2 3 7 2" xfId="169" xr:uid="{CB866646-4D66-4A41-B924-4C7EC96F739F}"/>
    <cellStyle name="Vírgula 10 2 2 3 7 3" xfId="6297" xr:uid="{EB59DFB5-7EC3-4CAF-9985-C713FF4E3EFB}"/>
    <cellStyle name="Vírgula 10 2 2 3 8" xfId="170" xr:uid="{E52C1431-42E3-46B2-BDC8-2A0922FEBBDF}"/>
    <cellStyle name="Vírgula 10 2 2 3 9" xfId="6262" xr:uid="{657B4317-199C-456A-8568-97090D133C55}"/>
    <cellStyle name="Vírgula 10 2 2 4" xfId="171" xr:uid="{EE1A97FC-EB87-49B8-B3E8-B6857B516552}"/>
    <cellStyle name="Vírgula 10 2 2 4 2" xfId="172" xr:uid="{0BBF6964-3FB9-4668-ABFB-42301C410A86}"/>
    <cellStyle name="Vírgula 10 2 2 4 2 2" xfId="173" xr:uid="{79818668-0721-438B-A121-F438A2322B09}"/>
    <cellStyle name="Vírgula 10 2 2 4 2 2 2" xfId="174" xr:uid="{80950F0F-FC82-42FB-B1FD-29888FC1BEF2}"/>
    <cellStyle name="Vírgula 10 2 2 4 2 2 2 2" xfId="175" xr:uid="{D623A75B-0B1F-427A-830E-DC3AF010469E}"/>
    <cellStyle name="Vírgula 10 2 2 4 2 2 2 2 2" xfId="176" xr:uid="{80383D16-9E7D-4D6C-B8C9-1583B6F67FEC}"/>
    <cellStyle name="Vírgula 10 2 2 4 2 2 2 2 3" xfId="6302" xr:uid="{6DA08557-064A-433E-B1EC-3586F211D837}"/>
    <cellStyle name="Vírgula 10 2 2 4 2 2 2 3" xfId="177" xr:uid="{5378B4E4-A7CF-4075-9254-92941F6C00F5}"/>
    <cellStyle name="Vírgula 10 2 2 4 2 2 2 4" xfId="6301" xr:uid="{2B851EBB-B4E8-46DD-9E8A-8A280F87CAFE}"/>
    <cellStyle name="Vírgula 10 2 2 4 2 2 3" xfId="178" xr:uid="{DFBA9DE9-EC8F-42E7-BDFE-98A3F32077C2}"/>
    <cellStyle name="Vírgula 10 2 2 4 2 2 3 2" xfId="179" xr:uid="{704F6E64-A99A-474E-8ECF-2CF2CFA5FDB7}"/>
    <cellStyle name="Vírgula 10 2 2 4 2 2 3 2 2" xfId="180" xr:uid="{1E0B3343-9871-4E7A-AC6C-3C4C29E46F35}"/>
    <cellStyle name="Vírgula 10 2 2 4 2 2 3 2 3" xfId="6304" xr:uid="{489B5186-C7D3-4C0F-B179-EB02F68C5AD9}"/>
    <cellStyle name="Vírgula 10 2 2 4 2 2 3 3" xfId="181" xr:uid="{0AB99AE7-6BD8-4DA2-9669-56937360DB9F}"/>
    <cellStyle name="Vírgula 10 2 2 4 2 2 3 4" xfId="6303" xr:uid="{B4EDBD39-1E27-4341-9BD3-E393EFB766CD}"/>
    <cellStyle name="Vírgula 10 2 2 4 2 2 4" xfId="182" xr:uid="{1BD7F684-B7BA-48A0-A483-96BE0FC1C7E6}"/>
    <cellStyle name="Vírgula 10 2 2 4 2 2 4 2" xfId="183" xr:uid="{5FF0CD9F-A975-485C-BD2F-51DFBAC1A61F}"/>
    <cellStyle name="Vírgula 10 2 2 4 2 2 4 3" xfId="6305" xr:uid="{CD8431AB-8E5F-472F-ACA4-56675F52A305}"/>
    <cellStyle name="Vírgula 10 2 2 4 2 2 5" xfId="184" xr:uid="{26C03421-286A-4310-9515-3ADBF6436836}"/>
    <cellStyle name="Vírgula 10 2 2 4 2 2 6" xfId="6300" xr:uid="{88AA87B5-E261-4D78-8684-7D11B49501D8}"/>
    <cellStyle name="Vírgula 10 2 2 4 2 3" xfId="185" xr:uid="{34E0A260-0F55-4357-9009-29A85DDCF80E}"/>
    <cellStyle name="Vírgula 10 2 2 4 2 3 2" xfId="186" xr:uid="{06B262C7-A059-4CCF-8B86-85ABB98F5694}"/>
    <cellStyle name="Vírgula 10 2 2 4 2 3 2 2" xfId="187" xr:uid="{F61D5564-98D7-4111-A00A-372DA6B87D6B}"/>
    <cellStyle name="Vírgula 10 2 2 4 2 3 2 3" xfId="6307" xr:uid="{44D44473-B2BA-49B3-BC93-B41B8760559B}"/>
    <cellStyle name="Vírgula 10 2 2 4 2 3 3" xfId="188" xr:uid="{13C0A0B7-054A-4B64-A2BB-AD3A9CD1D12F}"/>
    <cellStyle name="Vírgula 10 2 2 4 2 3 4" xfId="6306" xr:uid="{A8EF1956-2473-4361-B775-D89BC293D59B}"/>
    <cellStyle name="Vírgula 10 2 2 4 2 4" xfId="189" xr:uid="{85623C1B-6C46-48E4-977C-7E1E4706CF6F}"/>
    <cellStyle name="Vírgula 10 2 2 4 2 4 2" xfId="190" xr:uid="{D48701D4-0FC6-46DA-AC27-7D26B18D96F2}"/>
    <cellStyle name="Vírgula 10 2 2 4 2 4 2 2" xfId="191" xr:uid="{65D6E358-186A-4257-9FA0-4448A2F76C5A}"/>
    <cellStyle name="Vírgula 10 2 2 4 2 4 2 3" xfId="6309" xr:uid="{50FE34BB-842E-45EF-90CA-CE7E1E958ACF}"/>
    <cellStyle name="Vírgula 10 2 2 4 2 4 3" xfId="192" xr:uid="{8648C7E4-AE5B-41C5-B797-D4D8B696527D}"/>
    <cellStyle name="Vírgula 10 2 2 4 2 4 4" xfId="6308" xr:uid="{4A85E3AD-ABF9-4683-9A9B-4B234D2B9EA4}"/>
    <cellStyle name="Vírgula 10 2 2 4 2 5" xfId="193" xr:uid="{7BE84BF0-01EF-4405-B565-32029449A9C8}"/>
    <cellStyle name="Vírgula 10 2 2 4 2 5 2" xfId="194" xr:uid="{DE7120F0-A223-4516-BDC3-A3CBFCAA181E}"/>
    <cellStyle name="Vírgula 10 2 2 4 2 5 3" xfId="6310" xr:uid="{09F7EA73-C7E6-419E-B5DE-B17DA6D309D5}"/>
    <cellStyle name="Vírgula 10 2 2 4 2 6" xfId="195" xr:uid="{9FC527AB-4711-4637-A343-6B9093BE11D5}"/>
    <cellStyle name="Vírgula 10 2 2 4 2 7" xfId="6299" xr:uid="{B7A62FB5-6C43-47C8-AF9C-C5180E2BCF5E}"/>
    <cellStyle name="Vírgula 10 2 2 4 3" xfId="196" xr:uid="{3CB29C8C-E9ED-4809-9D93-3C6F61A5A431}"/>
    <cellStyle name="Vírgula 10 2 2 4 3 2" xfId="197" xr:uid="{A8EE5DBF-726F-4FFF-9D66-E6CAF18C85B0}"/>
    <cellStyle name="Vírgula 10 2 2 4 3 2 2" xfId="198" xr:uid="{ECBC275F-16B5-4434-B522-FFB02EF1BFC1}"/>
    <cellStyle name="Vírgula 10 2 2 4 3 2 2 2" xfId="199" xr:uid="{6CB4FA8B-D30A-44F1-B9E9-0604ED124BF3}"/>
    <cellStyle name="Vírgula 10 2 2 4 3 2 2 2 2" xfId="200" xr:uid="{ECAE9210-F661-4EB9-91F8-02BBC211882A}"/>
    <cellStyle name="Vírgula 10 2 2 4 3 2 2 2 3" xfId="6314" xr:uid="{790B574D-C5E2-4A5C-B90C-803634FDECAF}"/>
    <cellStyle name="Vírgula 10 2 2 4 3 2 2 3" xfId="201" xr:uid="{6FF58748-08CE-4968-A48C-740D4D179807}"/>
    <cellStyle name="Vírgula 10 2 2 4 3 2 2 4" xfId="6313" xr:uid="{FD63A5F9-79AF-44C5-8827-88217F0DB4E0}"/>
    <cellStyle name="Vírgula 10 2 2 4 3 2 3" xfId="202" xr:uid="{BBE29B7F-8726-493C-853B-35B2C9D40132}"/>
    <cellStyle name="Vírgula 10 2 2 4 3 2 3 2" xfId="203" xr:uid="{BE724CDC-37FE-43D6-9BAD-D05801D8F7C4}"/>
    <cellStyle name="Vírgula 10 2 2 4 3 2 3 2 2" xfId="204" xr:uid="{2C5382FF-8C0A-4B43-8D41-FB47E200C545}"/>
    <cellStyle name="Vírgula 10 2 2 4 3 2 3 2 3" xfId="6316" xr:uid="{BEB18CEB-9A6F-4A8E-9ECA-13E664A2DF3F}"/>
    <cellStyle name="Vírgula 10 2 2 4 3 2 3 3" xfId="205" xr:uid="{55383C28-8634-4E98-A7C3-93DA7D3B5E8C}"/>
    <cellStyle name="Vírgula 10 2 2 4 3 2 3 4" xfId="6315" xr:uid="{530B1BF2-517C-4C89-AE93-97A47A9E2322}"/>
    <cellStyle name="Vírgula 10 2 2 4 3 2 4" xfId="206" xr:uid="{1DF62CC6-FBFA-47C0-B8AD-9DA4FD1326B5}"/>
    <cellStyle name="Vírgula 10 2 2 4 3 2 4 2" xfId="207" xr:uid="{74493A92-9BEB-4850-BD5A-1BE8CC76675E}"/>
    <cellStyle name="Vírgula 10 2 2 4 3 2 4 3" xfId="6317" xr:uid="{CEF5854F-EBF7-408A-A01B-FDCD314F6B55}"/>
    <cellStyle name="Vírgula 10 2 2 4 3 2 5" xfId="208" xr:uid="{5B68F79A-1C6C-4AC9-B730-607F464C2B52}"/>
    <cellStyle name="Vírgula 10 2 2 4 3 2 6" xfId="6312" xr:uid="{373EF244-E929-4779-A968-B1E304C7CEBD}"/>
    <cellStyle name="Vírgula 10 2 2 4 3 3" xfId="209" xr:uid="{EE9B1969-94C2-4319-A1BE-1DEE4FAD1593}"/>
    <cellStyle name="Vírgula 10 2 2 4 3 3 2" xfId="210" xr:uid="{56EBEBA4-F6AE-4D94-A07E-70294FB7FD8D}"/>
    <cellStyle name="Vírgula 10 2 2 4 3 3 2 2" xfId="211" xr:uid="{F442EE5C-CFEC-4836-876D-BA0AC606E305}"/>
    <cellStyle name="Vírgula 10 2 2 4 3 3 2 3" xfId="6319" xr:uid="{A0F3E4FC-E333-40CA-888E-769C56A6E48E}"/>
    <cellStyle name="Vírgula 10 2 2 4 3 3 3" xfId="212" xr:uid="{76C13E64-E7AF-4D0C-85B4-668EB31F95BD}"/>
    <cellStyle name="Vírgula 10 2 2 4 3 3 4" xfId="6318" xr:uid="{11DEDF36-AAAF-497B-AA2B-1D9F840DCF0D}"/>
    <cellStyle name="Vírgula 10 2 2 4 3 4" xfId="213" xr:uid="{4FD75635-27CA-4C9F-BF86-99F925884211}"/>
    <cellStyle name="Vírgula 10 2 2 4 3 4 2" xfId="214" xr:uid="{6005FA01-968A-4733-881C-95A7ACE9DF28}"/>
    <cellStyle name="Vírgula 10 2 2 4 3 4 2 2" xfId="215" xr:uid="{14BBE071-29AF-4E0A-A0AB-BC258955384B}"/>
    <cellStyle name="Vírgula 10 2 2 4 3 4 2 3" xfId="6321" xr:uid="{B8AE4FF2-0426-4C39-A058-68FC3CDA3D79}"/>
    <cellStyle name="Vírgula 10 2 2 4 3 4 3" xfId="216" xr:uid="{6C8065CC-847A-416B-A7BB-BCB3408A94E5}"/>
    <cellStyle name="Vírgula 10 2 2 4 3 4 4" xfId="6320" xr:uid="{27ED3BB3-9B2A-4687-B96A-FD950BADE25C}"/>
    <cellStyle name="Vírgula 10 2 2 4 3 5" xfId="217" xr:uid="{8D9EB5BF-6268-4113-8697-24751095DB82}"/>
    <cellStyle name="Vírgula 10 2 2 4 3 5 2" xfId="218" xr:uid="{A2D42840-52DB-4929-8105-A5E4D3E645FB}"/>
    <cellStyle name="Vírgula 10 2 2 4 3 5 3" xfId="6322" xr:uid="{29218242-D564-423C-BFD4-16EF088B4AF9}"/>
    <cellStyle name="Vírgula 10 2 2 4 3 6" xfId="219" xr:uid="{0CF1D149-ABB0-40EC-9F65-6EB49C38B4DA}"/>
    <cellStyle name="Vírgula 10 2 2 4 3 7" xfId="6311" xr:uid="{27B93A50-0D92-4E78-945E-66F78549D458}"/>
    <cellStyle name="Vírgula 10 2 2 4 4" xfId="220" xr:uid="{7B70F6CF-2E38-4B3A-A8B1-520352E74C01}"/>
    <cellStyle name="Vírgula 10 2 2 4 4 2" xfId="221" xr:uid="{3583985A-6F6B-4224-9116-D397A207F5D5}"/>
    <cellStyle name="Vírgula 10 2 2 4 4 2 2" xfId="222" xr:uid="{5F433991-0298-45B8-A3CB-C70831A5C531}"/>
    <cellStyle name="Vírgula 10 2 2 4 4 2 2 2" xfId="223" xr:uid="{8A7EEDFD-C5A6-4409-A28C-B73790F17E6C}"/>
    <cellStyle name="Vírgula 10 2 2 4 4 2 2 3" xfId="6325" xr:uid="{BE42567E-3C75-43C1-82AE-FF5B3693B358}"/>
    <cellStyle name="Vírgula 10 2 2 4 4 2 3" xfId="224" xr:uid="{E3BE12F6-0ADA-4588-84FB-6C472B4C10FC}"/>
    <cellStyle name="Vírgula 10 2 2 4 4 2 4" xfId="6324" xr:uid="{550A5CBF-F451-4565-8E80-D750372437BA}"/>
    <cellStyle name="Vírgula 10 2 2 4 4 3" xfId="225" xr:uid="{550F2573-1BB5-4DA9-B555-E75D43FE8A20}"/>
    <cellStyle name="Vírgula 10 2 2 4 4 3 2" xfId="226" xr:uid="{D3C59A22-1100-4DD6-AC48-1BBC615ED3A9}"/>
    <cellStyle name="Vírgula 10 2 2 4 4 3 2 2" xfId="227" xr:uid="{10AB65E7-E57A-45AC-B89D-5755CAAF7857}"/>
    <cellStyle name="Vírgula 10 2 2 4 4 3 2 3" xfId="6327" xr:uid="{9F1337A0-7C5D-4981-94FA-C0A21B7A7A58}"/>
    <cellStyle name="Vírgula 10 2 2 4 4 3 3" xfId="228" xr:uid="{62EDB90B-4971-4FBC-9638-06B9A832D14D}"/>
    <cellStyle name="Vírgula 10 2 2 4 4 3 4" xfId="6326" xr:uid="{D044347A-40CA-4418-B1D4-5D76D8AE9354}"/>
    <cellStyle name="Vírgula 10 2 2 4 4 4" xfId="229" xr:uid="{62A4A207-B23F-45B4-9A77-FD5B82706D99}"/>
    <cellStyle name="Vírgula 10 2 2 4 4 4 2" xfId="230" xr:uid="{8A10DCE6-2152-48AB-929E-7777FDFC0658}"/>
    <cellStyle name="Vírgula 10 2 2 4 4 4 3" xfId="6328" xr:uid="{F453A921-9159-46AF-8E48-2D2B8749656C}"/>
    <cellStyle name="Vírgula 10 2 2 4 4 5" xfId="231" xr:uid="{88EDC91D-4065-41BB-BFF1-1109F9D18AB3}"/>
    <cellStyle name="Vírgula 10 2 2 4 4 6" xfId="6323" xr:uid="{90FECCE2-F070-4441-B29D-07B42144C712}"/>
    <cellStyle name="Vírgula 10 2 2 4 5" xfId="232" xr:uid="{82D075AA-0D80-42DA-BEDA-598FB2E86DAE}"/>
    <cellStyle name="Vírgula 10 2 2 4 5 2" xfId="233" xr:uid="{EF940EBC-282D-4B41-ADF6-DEEA2453CB2E}"/>
    <cellStyle name="Vírgula 10 2 2 4 5 2 2" xfId="234" xr:uid="{89CBA210-4808-4C1E-94F2-3C8FB1385445}"/>
    <cellStyle name="Vírgula 10 2 2 4 5 2 3" xfId="6330" xr:uid="{6AD2565C-6CDB-4856-8592-65038EDEA734}"/>
    <cellStyle name="Vírgula 10 2 2 4 5 3" xfId="235" xr:uid="{D4A1FA93-6EA2-46FE-9DE0-2B84EEAB6607}"/>
    <cellStyle name="Vírgula 10 2 2 4 5 4" xfId="6329" xr:uid="{25CEAC15-0428-4876-9984-F0A99F181830}"/>
    <cellStyle name="Vírgula 10 2 2 4 6" xfId="236" xr:uid="{42A95E29-50C9-4836-AF73-2C26ABCF092A}"/>
    <cellStyle name="Vírgula 10 2 2 4 6 2" xfId="237" xr:uid="{3648B204-EC97-4003-85E4-199E2DC4B259}"/>
    <cellStyle name="Vírgula 10 2 2 4 6 2 2" xfId="238" xr:uid="{AF418091-998E-49CD-B253-87C9B6CE8E3D}"/>
    <cellStyle name="Vírgula 10 2 2 4 6 2 3" xfId="6332" xr:uid="{C43C3BFD-4BD4-42D3-8011-D57455A0BA9A}"/>
    <cellStyle name="Vírgula 10 2 2 4 6 3" xfId="239" xr:uid="{4E4AFA35-9637-42A0-84D6-BB39D2A70F5E}"/>
    <cellStyle name="Vírgula 10 2 2 4 6 4" xfId="6331" xr:uid="{30A07F4C-1AE8-40EC-84B3-A35C09251D4E}"/>
    <cellStyle name="Vírgula 10 2 2 4 7" xfId="240" xr:uid="{B65F9133-9F9A-414B-B14E-96AB0D07EC4C}"/>
    <cellStyle name="Vírgula 10 2 2 4 7 2" xfId="241" xr:uid="{4271C4F3-5437-44CC-A89E-3F8CDBDF858E}"/>
    <cellStyle name="Vírgula 10 2 2 4 7 3" xfId="6333" xr:uid="{6688003E-4931-4A6C-B08F-3988A6CC43A5}"/>
    <cellStyle name="Vírgula 10 2 2 4 8" xfId="242" xr:uid="{ABABD036-4DE7-4394-B4DD-BB01F08D9249}"/>
    <cellStyle name="Vírgula 10 2 2 4 9" xfId="6298" xr:uid="{CC183FF1-D166-4C58-AEA0-372F66C9093C}"/>
    <cellStyle name="Vírgula 10 2 2 5" xfId="243" xr:uid="{B3B6E344-D849-435F-BBA5-D6DF451EC892}"/>
    <cellStyle name="Vírgula 10 2 2 5 2" xfId="244" xr:uid="{1DDB9061-DDC3-433D-B5F9-2F964F652CC2}"/>
    <cellStyle name="Vírgula 10 2 2 5 2 2" xfId="245" xr:uid="{5B1DA5C3-DF69-4CD7-A3B7-5EB3A17A9E25}"/>
    <cellStyle name="Vírgula 10 2 2 5 2 2 2" xfId="246" xr:uid="{70C41ED4-28F5-4E5A-838B-3FBB6B14C568}"/>
    <cellStyle name="Vírgula 10 2 2 5 2 2 2 2" xfId="247" xr:uid="{E3CE8350-A96B-48A9-9152-FDA7522DAE24}"/>
    <cellStyle name="Vírgula 10 2 2 5 2 2 2 3" xfId="6337" xr:uid="{013AF8BC-ED15-4664-9D0F-D220CFD9CCDB}"/>
    <cellStyle name="Vírgula 10 2 2 5 2 2 3" xfId="248" xr:uid="{F4F2CC5D-F2DA-4B66-89C4-DB66B40C1017}"/>
    <cellStyle name="Vírgula 10 2 2 5 2 2 4" xfId="6336" xr:uid="{C67C1671-D984-4325-AB64-AC5AB40A9095}"/>
    <cellStyle name="Vírgula 10 2 2 5 2 3" xfId="249" xr:uid="{1DB3A117-E6FC-44C6-B947-39F668D58E67}"/>
    <cellStyle name="Vírgula 10 2 2 5 2 3 2" xfId="250" xr:uid="{5BCB5E1A-44D6-40CC-A582-9F99A5551B88}"/>
    <cellStyle name="Vírgula 10 2 2 5 2 3 2 2" xfId="251" xr:uid="{64270293-5260-4018-9156-B16AEA8CDDFF}"/>
    <cellStyle name="Vírgula 10 2 2 5 2 3 2 3" xfId="6339" xr:uid="{71EFE338-BE1D-4D22-A14D-D1D371D93C1A}"/>
    <cellStyle name="Vírgula 10 2 2 5 2 3 3" xfId="252" xr:uid="{4D2F0054-1376-4C59-B33A-F83E97E5B686}"/>
    <cellStyle name="Vírgula 10 2 2 5 2 3 4" xfId="6338" xr:uid="{57D36092-24E8-47A0-A373-B327ADA70599}"/>
    <cellStyle name="Vírgula 10 2 2 5 2 4" xfId="253" xr:uid="{3252BF04-27D5-46A6-89C4-555DC8469E9E}"/>
    <cellStyle name="Vírgula 10 2 2 5 2 4 2" xfId="254" xr:uid="{06C577ED-08CE-4ACA-B00E-BA11E0828C1F}"/>
    <cellStyle name="Vírgula 10 2 2 5 2 4 3" xfId="6340" xr:uid="{3E65FA74-BCB9-4E0B-9943-30743A1BFB3F}"/>
    <cellStyle name="Vírgula 10 2 2 5 2 5" xfId="255" xr:uid="{FCF818F4-CE96-456A-92CC-7C1412E3DB08}"/>
    <cellStyle name="Vírgula 10 2 2 5 2 6" xfId="6335" xr:uid="{85EE1EA7-0061-49FF-B45A-4C497CDBC5F2}"/>
    <cellStyle name="Vírgula 10 2 2 5 3" xfId="256" xr:uid="{5235B421-2E8E-4681-B389-661D4A01AF2B}"/>
    <cellStyle name="Vírgula 10 2 2 5 3 2" xfId="257" xr:uid="{92B6E08D-2D05-4E44-AFA9-0EB5D5807DC2}"/>
    <cellStyle name="Vírgula 10 2 2 5 3 2 2" xfId="258" xr:uid="{84B3A588-2D64-4EDE-8FF5-ACC2B96C9AE2}"/>
    <cellStyle name="Vírgula 10 2 2 5 3 2 3" xfId="6342" xr:uid="{046A3D77-C885-4AA2-AE93-F46F45BFDC72}"/>
    <cellStyle name="Vírgula 10 2 2 5 3 3" xfId="259" xr:uid="{D6643292-F89A-49DC-A6D3-196ED11499E4}"/>
    <cellStyle name="Vírgula 10 2 2 5 3 4" xfId="6341" xr:uid="{15CDC9A5-FF56-4615-BAE3-2246C75FA60D}"/>
    <cellStyle name="Vírgula 10 2 2 5 4" xfId="260" xr:uid="{612829F0-B153-4CAD-B832-B3C8C86B1A39}"/>
    <cellStyle name="Vírgula 10 2 2 5 4 2" xfId="261" xr:uid="{3B92B130-2574-4261-A67F-246CC0E8CB9C}"/>
    <cellStyle name="Vírgula 10 2 2 5 4 2 2" xfId="262" xr:uid="{35AE0FE6-2FE2-45B1-B958-8ADD113E5C4B}"/>
    <cellStyle name="Vírgula 10 2 2 5 4 2 3" xfId="6344" xr:uid="{D424CC85-BBC1-40E9-A59C-AD5E5C82FFA8}"/>
    <cellStyle name="Vírgula 10 2 2 5 4 3" xfId="263" xr:uid="{3D400EEF-6453-46EC-94EA-4B1B87346DC1}"/>
    <cellStyle name="Vírgula 10 2 2 5 4 4" xfId="6343" xr:uid="{1AF5B047-2F66-42C5-B0D9-997EC13EA514}"/>
    <cellStyle name="Vírgula 10 2 2 5 5" xfId="264" xr:uid="{96D3440F-EBB7-4A05-8F16-7C03122B2702}"/>
    <cellStyle name="Vírgula 10 2 2 5 5 2" xfId="265" xr:uid="{C7AD0ADA-D53D-4039-8A85-D011FDC7C39D}"/>
    <cellStyle name="Vírgula 10 2 2 5 5 3" xfId="6345" xr:uid="{80958F2C-6247-4CBF-8E22-53C8D49A38FC}"/>
    <cellStyle name="Vírgula 10 2 2 5 6" xfId="266" xr:uid="{E905A7C4-04B7-450F-890A-E91D08B54336}"/>
    <cellStyle name="Vírgula 10 2 2 5 7" xfId="6334" xr:uid="{23C040FE-62C8-4C6F-8DA9-FA5358E610EF}"/>
    <cellStyle name="Vírgula 10 2 2 6" xfId="267" xr:uid="{43B889D2-9E43-453E-A551-856CD3B7AC9E}"/>
    <cellStyle name="Vírgula 10 2 2 6 2" xfId="268" xr:uid="{78E414AA-8E52-4D56-8B6D-35B15A6E300E}"/>
    <cellStyle name="Vírgula 10 2 2 6 2 2" xfId="269" xr:uid="{BD4F12D5-56A9-487A-9D28-85AAEC6693B3}"/>
    <cellStyle name="Vírgula 10 2 2 6 2 2 2" xfId="270" xr:uid="{BFC979FB-FF05-462A-BF62-B2BB4B7A495F}"/>
    <cellStyle name="Vírgula 10 2 2 6 2 2 2 2" xfId="271" xr:uid="{1551291C-E98F-466B-B555-496C95B4BEAD}"/>
    <cellStyle name="Vírgula 10 2 2 6 2 2 2 3" xfId="6349" xr:uid="{131E4696-D6AC-4DD4-8BD6-2263531ED941}"/>
    <cellStyle name="Vírgula 10 2 2 6 2 2 3" xfId="272" xr:uid="{79BAC882-4394-4599-8FA7-F679A09795A9}"/>
    <cellStyle name="Vírgula 10 2 2 6 2 2 4" xfId="6348" xr:uid="{D8B53BCD-28AE-4E79-BF2E-8E9BF84FD35D}"/>
    <cellStyle name="Vírgula 10 2 2 6 2 3" xfId="273" xr:uid="{85967BE8-B033-49AE-8C76-8662F43816D4}"/>
    <cellStyle name="Vírgula 10 2 2 6 2 3 2" xfId="274" xr:uid="{EA0E9044-54C8-4D37-8A08-1914406125B0}"/>
    <cellStyle name="Vírgula 10 2 2 6 2 3 2 2" xfId="275" xr:uid="{AC65FE4F-2A32-4AA2-908C-E518A65B73C8}"/>
    <cellStyle name="Vírgula 10 2 2 6 2 3 2 3" xfId="6351" xr:uid="{972429C7-2B4C-4C56-8529-F1F25665AD16}"/>
    <cellStyle name="Vírgula 10 2 2 6 2 3 3" xfId="276" xr:uid="{5EA33DDB-9650-4446-82EB-7C11EB7636A0}"/>
    <cellStyle name="Vírgula 10 2 2 6 2 3 4" xfId="6350" xr:uid="{C5F28B36-CA32-4FA3-9AF3-BD001E5E20CE}"/>
    <cellStyle name="Vírgula 10 2 2 6 2 4" xfId="277" xr:uid="{FDA30DF2-C225-4F2B-947A-4D094438D234}"/>
    <cellStyle name="Vírgula 10 2 2 6 2 4 2" xfId="278" xr:uid="{2CA16628-E088-4EC9-8F87-C340E441E258}"/>
    <cellStyle name="Vírgula 10 2 2 6 2 4 3" xfId="6352" xr:uid="{FDDFC37A-8133-4517-AB29-D663C7E81AA4}"/>
    <cellStyle name="Vírgula 10 2 2 6 2 5" xfId="279" xr:uid="{8A5FD97C-FFAF-45E7-A6E4-10BB8DE4CE51}"/>
    <cellStyle name="Vírgula 10 2 2 6 2 6" xfId="6347" xr:uid="{865A8D9B-DFC5-43D3-9176-488B889E7A34}"/>
    <cellStyle name="Vírgula 10 2 2 6 3" xfId="280" xr:uid="{C6750CA7-1CF6-4A8D-8DA3-00BD9223682C}"/>
    <cellStyle name="Vírgula 10 2 2 6 3 2" xfId="281" xr:uid="{56AF3B9F-0D9C-40F3-90F5-6CF381C89A5C}"/>
    <cellStyle name="Vírgula 10 2 2 6 3 2 2" xfId="282" xr:uid="{8AE6B5EB-8B62-40CC-815C-7B3382814B91}"/>
    <cellStyle name="Vírgula 10 2 2 6 3 2 3" xfId="6354" xr:uid="{DEC76CFF-C3A4-48A2-B371-F8493C1EEFA8}"/>
    <cellStyle name="Vírgula 10 2 2 6 3 3" xfId="283" xr:uid="{C5D17AB1-6BE3-432D-AC18-0C6861F961F8}"/>
    <cellStyle name="Vírgula 10 2 2 6 3 4" xfId="6353" xr:uid="{C071C514-2CCE-4E24-BF00-FE4295C602E1}"/>
    <cellStyle name="Vírgula 10 2 2 6 4" xfId="284" xr:uid="{79EF853D-C7F5-4F01-AA71-57BA0F1494CA}"/>
    <cellStyle name="Vírgula 10 2 2 6 4 2" xfId="285" xr:uid="{6D5BA67A-BAC1-4C83-8B0A-6FA3FE70E0F7}"/>
    <cellStyle name="Vírgula 10 2 2 6 4 2 2" xfId="286" xr:uid="{1EEA2B9F-9209-4B53-88A9-34322414B163}"/>
    <cellStyle name="Vírgula 10 2 2 6 4 2 3" xfId="6356" xr:uid="{4DB4DF31-9A07-4A7B-8634-32F6339868D3}"/>
    <cellStyle name="Vírgula 10 2 2 6 4 3" xfId="287" xr:uid="{356F97A9-E53B-4F13-9B4E-B1EF1894180B}"/>
    <cellStyle name="Vírgula 10 2 2 6 4 4" xfId="6355" xr:uid="{D5E1F7B4-CC1C-4BCC-9083-04B09EE83495}"/>
    <cellStyle name="Vírgula 10 2 2 6 5" xfId="288" xr:uid="{E05FCFFE-27F5-4E31-B0A5-C9AE2885A7F0}"/>
    <cellStyle name="Vírgula 10 2 2 6 5 2" xfId="289" xr:uid="{35BC4171-413B-4783-9F34-24DB4F8E747F}"/>
    <cellStyle name="Vírgula 10 2 2 6 5 3" xfId="6357" xr:uid="{7DF0864C-CB2D-414D-A567-EC5D90B416B6}"/>
    <cellStyle name="Vírgula 10 2 2 6 6" xfId="290" xr:uid="{621AD9B0-941B-47F9-8557-3ED030170217}"/>
    <cellStyle name="Vírgula 10 2 2 6 7" xfId="6346" xr:uid="{C5C243F7-7768-4773-9309-5DB404AD7FFB}"/>
    <cellStyle name="Vírgula 10 2 2 7" xfId="291" xr:uid="{08C253FA-5616-4F09-8D49-063C119D2CFB}"/>
    <cellStyle name="Vírgula 10 2 2 7 2" xfId="292" xr:uid="{845078F8-9E87-4C77-9C53-9B5F01EFBE91}"/>
    <cellStyle name="Vírgula 10 2 2 7 2 2" xfId="293" xr:uid="{54B91792-A6DA-47DD-9BD7-F2549E73830A}"/>
    <cellStyle name="Vírgula 10 2 2 7 2 2 2" xfId="294" xr:uid="{51F45B7F-A69A-462C-AC5E-8F8015C27ED1}"/>
    <cellStyle name="Vírgula 10 2 2 7 2 2 3" xfId="6360" xr:uid="{E8569B28-6A0A-4DF3-B032-53D3FD691E9A}"/>
    <cellStyle name="Vírgula 10 2 2 7 2 3" xfId="295" xr:uid="{52D58DCC-06C8-4CAF-8FE2-E5E6246FB8AE}"/>
    <cellStyle name="Vírgula 10 2 2 7 2 4" xfId="6359" xr:uid="{30142C6B-72D4-46EF-8E40-B3622CA0F0BC}"/>
    <cellStyle name="Vírgula 10 2 2 7 3" xfId="296" xr:uid="{A2BA0D83-1248-498A-82BD-952D2B9793E8}"/>
    <cellStyle name="Vírgula 10 2 2 7 3 2" xfId="297" xr:uid="{B778BF12-9F4A-4615-8E31-A3CE3FC7A8E0}"/>
    <cellStyle name="Vírgula 10 2 2 7 3 2 2" xfId="298" xr:uid="{8905FBA1-92CE-4115-A056-2AA475BD3ADF}"/>
    <cellStyle name="Vírgula 10 2 2 7 3 2 3" xfId="6362" xr:uid="{53329B60-6455-420D-9E55-8FAB83410454}"/>
    <cellStyle name="Vírgula 10 2 2 7 3 3" xfId="299" xr:uid="{11FBA9EF-D12A-474C-A247-365D4AB9A307}"/>
    <cellStyle name="Vírgula 10 2 2 7 3 4" xfId="6361" xr:uid="{2262BF14-8AA4-4EB8-92A1-6804FEE88BFF}"/>
    <cellStyle name="Vírgula 10 2 2 7 4" xfId="300" xr:uid="{5B830EAE-C15A-418B-AF0E-5914A8102932}"/>
    <cellStyle name="Vírgula 10 2 2 7 4 2" xfId="301" xr:uid="{BA3CF78A-9A19-4E59-BF90-D6BB4C3DA81A}"/>
    <cellStyle name="Vírgula 10 2 2 7 4 3" xfId="6363" xr:uid="{D98DDCE2-384C-444E-8A3D-91D18780B581}"/>
    <cellStyle name="Vírgula 10 2 2 7 5" xfId="302" xr:uid="{91350000-512E-48F1-8BB3-44EB3FC95638}"/>
    <cellStyle name="Vírgula 10 2 2 7 6" xfId="6358" xr:uid="{D7587C00-C67D-4158-9CAA-C0A93EDF03B1}"/>
    <cellStyle name="Vírgula 10 2 2 8" xfId="303" xr:uid="{0BE3542E-78AC-42A8-BCBE-2A4954BCA44C}"/>
    <cellStyle name="Vírgula 10 2 2 8 2" xfId="304" xr:uid="{D80F1FB3-F3C8-4161-91BA-A78179400F40}"/>
    <cellStyle name="Vírgula 10 2 2 8 2 2" xfId="305" xr:uid="{2387B31C-6C8B-4087-8D36-C3DAF7A16BB8}"/>
    <cellStyle name="Vírgula 10 2 2 8 2 3" xfId="6365" xr:uid="{82C78967-9408-40AD-A06E-D30A33C1ADCB}"/>
    <cellStyle name="Vírgula 10 2 2 8 3" xfId="306" xr:uid="{A78BBE88-3F8E-428D-8794-79106D18BE2B}"/>
    <cellStyle name="Vírgula 10 2 2 8 4" xfId="6364" xr:uid="{7CEBB7A8-8E61-4D93-9F15-0114BB0EAF22}"/>
    <cellStyle name="Vírgula 10 2 2 9" xfId="307" xr:uid="{5275C239-2BC6-4217-AF62-E78DAFB1DE1B}"/>
    <cellStyle name="Vírgula 10 2 2 9 2" xfId="308" xr:uid="{0BBB0E6F-960E-4A89-8F08-6D0E3E1275CB}"/>
    <cellStyle name="Vírgula 10 2 2 9 2 2" xfId="309" xr:uid="{8E539DEA-F076-4136-9E35-B759B9CEF0BA}"/>
    <cellStyle name="Vírgula 10 2 2 9 2 3" xfId="6367" xr:uid="{E4341316-D456-429C-B528-8C610ACB2CCA}"/>
    <cellStyle name="Vírgula 10 2 2 9 3" xfId="310" xr:uid="{C976BE49-0BCA-4FC4-B06E-BF7A74485B53}"/>
    <cellStyle name="Vírgula 10 2 2 9 4" xfId="6366" xr:uid="{D05CBE4A-16BC-4549-9263-090FB58E4982}"/>
    <cellStyle name="Vírgula 10 2 3" xfId="311" xr:uid="{38233046-9C7A-4B1C-930C-5CACB1067133}"/>
    <cellStyle name="Vírgula 10 2 3 2" xfId="312" xr:uid="{9E8C152D-98A4-4460-B2A5-64EC78CCB83F}"/>
    <cellStyle name="Vírgula 10 2 3 2 2" xfId="313" xr:uid="{26EC49D4-D231-45DA-8107-C288F3FF6EA2}"/>
    <cellStyle name="Vírgula 10 2 3 2 2 2" xfId="314" xr:uid="{FCEFC48A-A797-4FD6-89DA-F63F25BBFFB3}"/>
    <cellStyle name="Vírgula 10 2 3 2 2 2 2" xfId="315" xr:uid="{CD3A0053-8C79-4F50-AD34-7113329D77C4}"/>
    <cellStyle name="Vírgula 10 2 3 2 2 2 2 2" xfId="316" xr:uid="{1F669334-0A19-452E-A5DE-A251760E9773}"/>
    <cellStyle name="Vírgula 10 2 3 2 2 2 2 3" xfId="6372" xr:uid="{EC0F3ACE-39C2-42A0-A619-98753365A1B1}"/>
    <cellStyle name="Vírgula 10 2 3 2 2 2 3" xfId="317" xr:uid="{47173729-2387-4ADE-A9BB-8A19787A82A6}"/>
    <cellStyle name="Vírgula 10 2 3 2 2 2 4" xfId="6371" xr:uid="{E356931E-91A6-4207-AC54-2F860D20FE10}"/>
    <cellStyle name="Vírgula 10 2 3 2 2 3" xfId="318" xr:uid="{A1468B0D-A324-4B7B-B575-C8C331F23561}"/>
    <cellStyle name="Vírgula 10 2 3 2 2 3 2" xfId="319" xr:uid="{A25C3B2D-5595-457D-9F6C-2B72B7DE64DE}"/>
    <cellStyle name="Vírgula 10 2 3 2 2 3 2 2" xfId="320" xr:uid="{6877B652-7F04-46A6-A713-D57C38524A5F}"/>
    <cellStyle name="Vírgula 10 2 3 2 2 3 2 3" xfId="6374" xr:uid="{3BFE7077-DC0A-4C06-AE83-E0334D80AF22}"/>
    <cellStyle name="Vírgula 10 2 3 2 2 3 3" xfId="321" xr:uid="{F332DC39-3AAD-434A-A8B6-A6239C130946}"/>
    <cellStyle name="Vírgula 10 2 3 2 2 3 4" xfId="6373" xr:uid="{3BB972CF-2971-4C16-B057-2A35AA088D9F}"/>
    <cellStyle name="Vírgula 10 2 3 2 2 4" xfId="322" xr:uid="{95536165-26D5-4DB2-828B-CDC16E06EC40}"/>
    <cellStyle name="Vírgula 10 2 3 2 2 4 2" xfId="323" xr:uid="{FA6B1FD9-B983-4732-B63A-3D47992D2F12}"/>
    <cellStyle name="Vírgula 10 2 3 2 2 4 3" xfId="6375" xr:uid="{11E53ABD-E8A6-49D0-B945-E06FADF34247}"/>
    <cellStyle name="Vírgula 10 2 3 2 2 5" xfId="324" xr:uid="{C75FC6FF-75F9-49A0-87FB-957EB82EDA02}"/>
    <cellStyle name="Vírgula 10 2 3 2 2 6" xfId="6370" xr:uid="{BBEF546A-2ED0-464E-B3CC-94DE4AF31989}"/>
    <cellStyle name="Vírgula 10 2 3 2 3" xfId="325" xr:uid="{E8EA28F1-4F70-43AD-9C30-42C23D0BC01F}"/>
    <cellStyle name="Vírgula 10 2 3 2 3 2" xfId="326" xr:uid="{D19A3BAF-9AB8-4CA0-8E6F-B8C48E63F7B8}"/>
    <cellStyle name="Vírgula 10 2 3 2 3 2 2" xfId="327" xr:uid="{0BB2D5B6-235F-444A-ACE0-C975D40E87BC}"/>
    <cellStyle name="Vírgula 10 2 3 2 3 2 3" xfId="6377" xr:uid="{F3B8CAEA-356F-407D-8BB6-AAE468AE0537}"/>
    <cellStyle name="Vírgula 10 2 3 2 3 3" xfId="328" xr:uid="{1822C076-28E7-4485-9137-AE2596EAF8E5}"/>
    <cellStyle name="Vírgula 10 2 3 2 3 4" xfId="6376" xr:uid="{AA085284-3284-484C-8FBC-94C7BDACBF00}"/>
    <cellStyle name="Vírgula 10 2 3 2 4" xfId="329" xr:uid="{6043A9AD-16D5-4977-9457-63263B75E1B8}"/>
    <cellStyle name="Vírgula 10 2 3 2 4 2" xfId="330" xr:uid="{97F11C8E-4A82-4156-8DEA-134CBC4A8BAD}"/>
    <cellStyle name="Vírgula 10 2 3 2 4 2 2" xfId="331" xr:uid="{1008E954-E7D0-456C-86CA-0E96F3F7DA77}"/>
    <cellStyle name="Vírgula 10 2 3 2 4 2 3" xfId="6379" xr:uid="{5AE91DF7-FF1C-48AD-8302-5DDBA8991BAC}"/>
    <cellStyle name="Vírgula 10 2 3 2 4 3" xfId="332" xr:uid="{C926C828-396E-414D-A8E7-BA12D3370FF9}"/>
    <cellStyle name="Vírgula 10 2 3 2 4 4" xfId="6378" xr:uid="{737931DA-2965-4283-859A-8F162065F9C8}"/>
    <cellStyle name="Vírgula 10 2 3 2 5" xfId="333" xr:uid="{AFEBE620-10A6-422B-9841-3ADC9BAE919A}"/>
    <cellStyle name="Vírgula 10 2 3 2 5 2" xfId="334" xr:uid="{FFFCEB63-B8BB-473C-AB20-C45849A4588A}"/>
    <cellStyle name="Vírgula 10 2 3 2 5 3" xfId="6380" xr:uid="{090517F5-7007-4D26-9D4E-E3626B11D37F}"/>
    <cellStyle name="Vírgula 10 2 3 2 6" xfId="335" xr:uid="{44A3BBED-9957-4D1C-A1BE-878439977FD6}"/>
    <cellStyle name="Vírgula 10 2 3 2 7" xfId="6369" xr:uid="{1C89C799-7A47-455B-9F77-C249DDD0CD03}"/>
    <cellStyle name="Vírgula 10 2 3 3" xfId="336" xr:uid="{9AD11FEC-537E-44AC-8ED6-86FD9D42D7A8}"/>
    <cellStyle name="Vírgula 10 2 3 3 2" xfId="337" xr:uid="{6FEE5FA0-FDEA-4B02-BF6B-36B0A889EFFA}"/>
    <cellStyle name="Vírgula 10 2 3 3 2 2" xfId="338" xr:uid="{1DE27359-C89E-4097-B313-E6DD4AE5B1B8}"/>
    <cellStyle name="Vírgula 10 2 3 3 2 2 2" xfId="339" xr:uid="{09F1C3B8-97D9-4DBD-AED7-F49F338E33DD}"/>
    <cellStyle name="Vírgula 10 2 3 3 2 2 2 2" xfId="340" xr:uid="{226EEEFE-A1C5-49D4-BA15-7BEA322B7F85}"/>
    <cellStyle name="Vírgula 10 2 3 3 2 2 2 3" xfId="6384" xr:uid="{92C43023-DF1B-4739-8612-E9B2CBD130E0}"/>
    <cellStyle name="Vírgula 10 2 3 3 2 2 3" xfId="341" xr:uid="{DBEE2B1C-341A-4653-958C-238A6D00CFE1}"/>
    <cellStyle name="Vírgula 10 2 3 3 2 2 4" xfId="6383" xr:uid="{F780CD34-ABF2-46A4-A7B3-2DB8D2E2C3C0}"/>
    <cellStyle name="Vírgula 10 2 3 3 2 3" xfId="342" xr:uid="{359F2842-2550-453B-BB8A-7A752E1A57E3}"/>
    <cellStyle name="Vírgula 10 2 3 3 2 3 2" xfId="343" xr:uid="{C4B916FC-3E49-4330-AB76-09D882E475F2}"/>
    <cellStyle name="Vírgula 10 2 3 3 2 3 2 2" xfId="344" xr:uid="{FE481082-FF83-4085-888A-8B5105484305}"/>
    <cellStyle name="Vírgula 10 2 3 3 2 3 2 3" xfId="6386" xr:uid="{DB14C139-1C69-4C80-9549-54BEAD1157D4}"/>
    <cellStyle name="Vírgula 10 2 3 3 2 3 3" xfId="345" xr:uid="{854FA588-65EB-43B1-9D59-FE1C6A9DB442}"/>
    <cellStyle name="Vírgula 10 2 3 3 2 3 4" xfId="6385" xr:uid="{2E023830-C8E3-4CEF-B565-6CF2C9AE45E3}"/>
    <cellStyle name="Vírgula 10 2 3 3 2 4" xfId="346" xr:uid="{66FE0AAE-F35E-4932-8B21-D574BCAC5D35}"/>
    <cellStyle name="Vírgula 10 2 3 3 2 4 2" xfId="347" xr:uid="{200E4BB8-CD27-4C7C-AFBE-59C9A195BC5E}"/>
    <cellStyle name="Vírgula 10 2 3 3 2 4 3" xfId="6387" xr:uid="{4CED3C5F-A552-45B9-9546-D8AC80F0B09B}"/>
    <cellStyle name="Vírgula 10 2 3 3 2 5" xfId="348" xr:uid="{C3E40DFB-CDC1-49F9-AC65-BF35F59A7ECE}"/>
    <cellStyle name="Vírgula 10 2 3 3 2 6" xfId="6382" xr:uid="{1D4F9678-F33E-448D-B6D8-502B8461AA5B}"/>
    <cellStyle name="Vírgula 10 2 3 3 3" xfId="349" xr:uid="{7D38B53A-0221-4DDD-ACD2-F823706550A5}"/>
    <cellStyle name="Vírgula 10 2 3 3 3 2" xfId="350" xr:uid="{24B4EE61-D46D-4259-A601-0FA40D09950E}"/>
    <cellStyle name="Vírgula 10 2 3 3 3 2 2" xfId="351" xr:uid="{7B688F0D-E103-4DB4-BD47-CC2E47DCF2E3}"/>
    <cellStyle name="Vírgula 10 2 3 3 3 2 3" xfId="6389" xr:uid="{60317FC3-5C6A-49F8-A01D-A83DA2E8A167}"/>
    <cellStyle name="Vírgula 10 2 3 3 3 3" xfId="352" xr:uid="{8E416F2D-FDE0-4A99-92A3-F8603585B1F0}"/>
    <cellStyle name="Vírgula 10 2 3 3 3 4" xfId="6388" xr:uid="{1B15C4DF-5CB3-4912-B682-F26C847C6DC7}"/>
    <cellStyle name="Vírgula 10 2 3 3 4" xfId="353" xr:uid="{4DD0D79A-2370-40AD-9106-B9450F4BC9F4}"/>
    <cellStyle name="Vírgula 10 2 3 3 4 2" xfId="354" xr:uid="{C1794E6B-8D9D-47BD-B72A-A4D57B6FB56C}"/>
    <cellStyle name="Vírgula 10 2 3 3 4 2 2" xfId="355" xr:uid="{52951D20-9B96-4D1E-8742-D664BD80EA7E}"/>
    <cellStyle name="Vírgula 10 2 3 3 4 2 3" xfId="6391" xr:uid="{5FA0C151-35D2-4AE6-9DA9-62989E44575D}"/>
    <cellStyle name="Vírgula 10 2 3 3 4 3" xfId="356" xr:uid="{EE6B1078-A01E-4DB8-91A0-5A41EA8CF76B}"/>
    <cellStyle name="Vírgula 10 2 3 3 4 4" xfId="6390" xr:uid="{BA3501FE-56D0-46A9-B84D-758C60498D43}"/>
    <cellStyle name="Vírgula 10 2 3 3 5" xfId="357" xr:uid="{5A4F7193-0281-44A7-BCBC-1D42856635AA}"/>
    <cellStyle name="Vírgula 10 2 3 3 5 2" xfId="358" xr:uid="{C51304AF-C8DC-4AF0-B496-2E5FD1F3D43A}"/>
    <cellStyle name="Vírgula 10 2 3 3 5 3" xfId="6392" xr:uid="{26720180-DEB4-42E3-BD37-AE29A8C664D3}"/>
    <cellStyle name="Vírgula 10 2 3 3 6" xfId="359" xr:uid="{97B70FA1-E5F4-43BC-AA87-214D0B07AAAE}"/>
    <cellStyle name="Vírgula 10 2 3 3 7" xfId="6381" xr:uid="{77799504-DA72-47DE-BE22-BA367B3C51AB}"/>
    <cellStyle name="Vírgula 10 2 3 4" xfId="360" xr:uid="{A1BFB902-5220-40C2-9ECB-55364DB719E4}"/>
    <cellStyle name="Vírgula 10 2 3 4 2" xfId="361" xr:uid="{CB986530-3989-4226-BB44-5FEDFB0FD299}"/>
    <cellStyle name="Vírgula 10 2 3 4 2 2" xfId="362" xr:uid="{050CE119-49DF-4887-9AFF-D84A7D3017C2}"/>
    <cellStyle name="Vírgula 10 2 3 4 2 2 2" xfId="363" xr:uid="{1408DAB9-57A1-43FB-81B8-E74BDA4C4142}"/>
    <cellStyle name="Vírgula 10 2 3 4 2 2 3" xfId="6395" xr:uid="{5ABB1388-41A4-4085-95A1-6296EE46A141}"/>
    <cellStyle name="Vírgula 10 2 3 4 2 3" xfId="364" xr:uid="{2EE73017-1F5C-4B74-8099-DCD17D7D2302}"/>
    <cellStyle name="Vírgula 10 2 3 4 2 4" xfId="6394" xr:uid="{4C9BBB39-7155-4EAF-B17E-B73DD25E0753}"/>
    <cellStyle name="Vírgula 10 2 3 4 3" xfId="365" xr:uid="{4F80BA4A-53DD-4E2C-99BC-4DD848E6A5E1}"/>
    <cellStyle name="Vírgula 10 2 3 4 3 2" xfId="366" xr:uid="{BD8CCED5-8DA9-41C5-BF90-6E79509283AC}"/>
    <cellStyle name="Vírgula 10 2 3 4 3 2 2" xfId="367" xr:uid="{6F0528EC-DB16-4055-AB10-7137377D91E5}"/>
    <cellStyle name="Vírgula 10 2 3 4 3 2 3" xfId="6397" xr:uid="{58529A33-4FEF-490F-9904-45EBFE202217}"/>
    <cellStyle name="Vírgula 10 2 3 4 3 3" xfId="368" xr:uid="{3083E2D3-1A00-4C19-B986-949315DCCA89}"/>
    <cellStyle name="Vírgula 10 2 3 4 3 4" xfId="6396" xr:uid="{BF125399-C191-40BA-8783-BAD9A808C8D8}"/>
    <cellStyle name="Vírgula 10 2 3 4 4" xfId="369" xr:uid="{E71B7598-5150-4AE4-AB4C-828A77B3B836}"/>
    <cellStyle name="Vírgula 10 2 3 4 4 2" xfId="370" xr:uid="{F2135A70-FC68-4F9C-B7F5-3093A699F613}"/>
    <cellStyle name="Vírgula 10 2 3 4 4 3" xfId="6398" xr:uid="{DDB81A52-2379-4AC5-A791-548840187D41}"/>
    <cellStyle name="Vírgula 10 2 3 4 5" xfId="371" xr:uid="{159727A4-8C7F-4CCD-8A09-7CA574D96CB0}"/>
    <cellStyle name="Vírgula 10 2 3 4 6" xfId="6393" xr:uid="{BA88C743-FB39-4A2E-AC83-BF088535531F}"/>
    <cellStyle name="Vírgula 10 2 3 5" xfId="372" xr:uid="{E56474F4-13EB-4298-B019-8A59DE5AD9BC}"/>
    <cellStyle name="Vírgula 10 2 3 5 2" xfId="373" xr:uid="{ED8C9AF1-7071-466A-8544-05A807E232FC}"/>
    <cellStyle name="Vírgula 10 2 3 5 2 2" xfId="374" xr:uid="{23F04B89-7DB3-42CA-9F01-39D2EB2B6EE5}"/>
    <cellStyle name="Vírgula 10 2 3 5 2 3" xfId="6400" xr:uid="{4B2BC107-2155-47FE-8283-1A7AE2275788}"/>
    <cellStyle name="Vírgula 10 2 3 5 3" xfId="375" xr:uid="{41C7050C-490E-4058-84C8-7BF4A518D3A7}"/>
    <cellStyle name="Vírgula 10 2 3 5 4" xfId="6399" xr:uid="{FCE8AE59-A5A4-4A01-A104-D72206EE884D}"/>
    <cellStyle name="Vírgula 10 2 3 6" xfId="376" xr:uid="{864E7F64-07BD-446D-A2C0-908C18D3E111}"/>
    <cellStyle name="Vírgula 10 2 3 6 2" xfId="377" xr:uid="{B5DDD165-0E9B-4805-B0BA-6EE4536DCD67}"/>
    <cellStyle name="Vírgula 10 2 3 6 2 2" xfId="378" xr:uid="{FDD142CA-614F-4CC0-AA91-11B3531AD8E0}"/>
    <cellStyle name="Vírgula 10 2 3 6 2 3" xfId="6402" xr:uid="{F31112DD-89D5-4076-9963-624CD54FC16B}"/>
    <cellStyle name="Vírgula 10 2 3 6 3" xfId="379" xr:uid="{7C787BBB-5FBA-4CFE-922B-C4ED0F499EDD}"/>
    <cellStyle name="Vírgula 10 2 3 6 4" xfId="6401" xr:uid="{6C0D85FA-0C43-48CF-AB99-650B47D4E029}"/>
    <cellStyle name="Vírgula 10 2 3 7" xfId="380" xr:uid="{F0A80948-03D1-4FC1-A29F-6E4A6DF0F9E0}"/>
    <cellStyle name="Vírgula 10 2 3 7 2" xfId="381" xr:uid="{190B1B67-9484-4040-9431-713F1B9B37D0}"/>
    <cellStyle name="Vírgula 10 2 3 7 3" xfId="6403" xr:uid="{DFDF0237-1978-40D4-8596-051D8758393E}"/>
    <cellStyle name="Vírgula 10 2 3 8" xfId="382" xr:uid="{73E55CE4-6F39-4A84-B124-C55559F2DDD3}"/>
    <cellStyle name="Vírgula 10 2 3 9" xfId="6368" xr:uid="{C087E0B6-2419-43F3-BBB6-AE40C0C3123C}"/>
    <cellStyle name="Vírgula 10 2 4" xfId="383" xr:uid="{E62E13D5-27BB-4E61-B3F0-D96D6C4CEACE}"/>
    <cellStyle name="Vírgula 10 2 4 2" xfId="384" xr:uid="{1E27C092-295C-4F32-82AF-C8CC0362A929}"/>
    <cellStyle name="Vírgula 10 2 4 2 2" xfId="385" xr:uid="{D565B0EA-CB3A-4F0A-82C2-E7840FEE4232}"/>
    <cellStyle name="Vírgula 10 2 4 2 2 2" xfId="386" xr:uid="{52F951B5-5EF8-4DF2-B9F9-6355256559A6}"/>
    <cellStyle name="Vírgula 10 2 4 2 2 2 2" xfId="387" xr:uid="{7A74FDD5-063B-4DE1-B737-7086CA776C10}"/>
    <cellStyle name="Vírgula 10 2 4 2 2 2 2 2" xfId="388" xr:uid="{0E7793E9-B6C6-409B-8391-990406440C39}"/>
    <cellStyle name="Vírgula 10 2 4 2 2 2 2 3" xfId="6408" xr:uid="{08E7812C-8A8F-4A6C-8AF7-78C8169F5F0B}"/>
    <cellStyle name="Vírgula 10 2 4 2 2 2 3" xfId="389" xr:uid="{5FFD6FC1-5D92-4DB7-9228-6799AA989DA4}"/>
    <cellStyle name="Vírgula 10 2 4 2 2 2 4" xfId="6407" xr:uid="{3621A5A2-4CE4-492F-B4F4-70B545986D22}"/>
    <cellStyle name="Vírgula 10 2 4 2 2 3" xfId="390" xr:uid="{585326FA-735E-4D9A-81CE-18B38144BD84}"/>
    <cellStyle name="Vírgula 10 2 4 2 2 3 2" xfId="391" xr:uid="{C7586183-96CE-43BD-8730-5F98B4AEE043}"/>
    <cellStyle name="Vírgula 10 2 4 2 2 3 2 2" xfId="392" xr:uid="{F1B6EF88-6ED8-4E51-9962-07DEFA934B98}"/>
    <cellStyle name="Vírgula 10 2 4 2 2 3 2 3" xfId="6410" xr:uid="{026496C7-402F-4638-A7E3-B315A5F237E1}"/>
    <cellStyle name="Vírgula 10 2 4 2 2 3 3" xfId="393" xr:uid="{B789B09F-9CF6-4031-8A5E-5EBECF9492FE}"/>
    <cellStyle name="Vírgula 10 2 4 2 2 3 4" xfId="6409" xr:uid="{3352DEB4-28F9-4779-A06B-53672BFB4D51}"/>
    <cellStyle name="Vírgula 10 2 4 2 2 4" xfId="394" xr:uid="{2D334026-CFAB-4F33-9B5B-2153D965AB68}"/>
    <cellStyle name="Vírgula 10 2 4 2 2 4 2" xfId="395" xr:uid="{B4D9483D-4934-4D9F-8A67-BFEBB7E9B9D6}"/>
    <cellStyle name="Vírgula 10 2 4 2 2 4 3" xfId="6411" xr:uid="{C6322DDE-50B8-40E8-BDF5-69E39968D9B4}"/>
    <cellStyle name="Vírgula 10 2 4 2 2 5" xfId="396" xr:uid="{56045A39-9999-4DBC-ACED-DB43FDC75A98}"/>
    <cellStyle name="Vírgula 10 2 4 2 2 6" xfId="6406" xr:uid="{5ED779BC-DD7B-40EF-9F51-9681E8724AF7}"/>
    <cellStyle name="Vírgula 10 2 4 2 3" xfId="397" xr:uid="{1A4AD475-4E56-4D03-94BC-400EC13B7B3F}"/>
    <cellStyle name="Vírgula 10 2 4 2 3 2" xfId="398" xr:uid="{9564B25E-7E96-4403-BF8D-EB1BD7BF2C00}"/>
    <cellStyle name="Vírgula 10 2 4 2 3 2 2" xfId="399" xr:uid="{A2FFE016-FF25-40AE-BEBC-250DB4496056}"/>
    <cellStyle name="Vírgula 10 2 4 2 3 2 3" xfId="6413" xr:uid="{70DEA113-804D-4027-BA30-F708A76246FD}"/>
    <cellStyle name="Vírgula 10 2 4 2 3 3" xfId="400" xr:uid="{93997832-B683-4F67-AF77-D1E358F9330B}"/>
    <cellStyle name="Vírgula 10 2 4 2 3 4" xfId="6412" xr:uid="{CE9D145F-CD54-40A4-9A3B-6F678523470B}"/>
    <cellStyle name="Vírgula 10 2 4 2 4" xfId="401" xr:uid="{D8D42FE2-877A-434D-9757-D2B1D5D47DDD}"/>
    <cellStyle name="Vírgula 10 2 4 2 4 2" xfId="402" xr:uid="{5F36EF4D-9174-4200-9B7B-98C70E400D55}"/>
    <cellStyle name="Vírgula 10 2 4 2 4 2 2" xfId="403" xr:uid="{DDB151F6-D49E-4DE5-8FE5-E25F5FF1D40F}"/>
    <cellStyle name="Vírgula 10 2 4 2 4 2 3" xfId="6415" xr:uid="{382B2410-09BB-4FCB-8317-42C160801CFF}"/>
    <cellStyle name="Vírgula 10 2 4 2 4 3" xfId="404" xr:uid="{458C7500-0DB2-4539-BF86-505FDFB64C67}"/>
    <cellStyle name="Vírgula 10 2 4 2 4 4" xfId="6414" xr:uid="{2AF247DC-D1B3-46D3-A74C-B93E48F5BCBD}"/>
    <cellStyle name="Vírgula 10 2 4 2 5" xfId="405" xr:uid="{76241EB4-2F81-4B4F-B0EB-81EFC0C9637D}"/>
    <cellStyle name="Vírgula 10 2 4 2 5 2" xfId="406" xr:uid="{42120663-102D-449D-AB53-CB9B162F64A2}"/>
    <cellStyle name="Vírgula 10 2 4 2 5 3" xfId="6416" xr:uid="{81794061-3A57-4ADD-8CD7-478457F23735}"/>
    <cellStyle name="Vírgula 10 2 4 2 6" xfId="407" xr:uid="{0862EE35-D8C0-47BB-B27A-8A272F7B1B33}"/>
    <cellStyle name="Vírgula 10 2 4 2 7" xfId="6405" xr:uid="{D242CD9C-EA7A-4B27-B2FC-A1F9BD7BF209}"/>
    <cellStyle name="Vírgula 10 2 4 3" xfId="408" xr:uid="{901B2256-435A-4500-AF32-CFFCB5ED6DA5}"/>
    <cellStyle name="Vírgula 10 2 4 3 2" xfId="409" xr:uid="{F8C8E18D-67BB-479D-96CF-36D452186DA5}"/>
    <cellStyle name="Vírgula 10 2 4 3 2 2" xfId="410" xr:uid="{682FB29A-FA7A-42A9-8A8F-03D26E4385AC}"/>
    <cellStyle name="Vírgula 10 2 4 3 2 2 2" xfId="411" xr:uid="{D4D6D7FC-9133-4C5A-A4E8-AF5D3D783120}"/>
    <cellStyle name="Vírgula 10 2 4 3 2 2 2 2" xfId="412" xr:uid="{BD2B7F4F-69DD-4FEB-8EEE-8585370DC21B}"/>
    <cellStyle name="Vírgula 10 2 4 3 2 2 2 3" xfId="6420" xr:uid="{9945ABE4-E9EB-49DC-B168-071244283C7E}"/>
    <cellStyle name="Vírgula 10 2 4 3 2 2 3" xfId="413" xr:uid="{A5BAEDB2-27F5-437B-A523-53B1B849428E}"/>
    <cellStyle name="Vírgula 10 2 4 3 2 2 4" xfId="6419" xr:uid="{05FDA77C-ED06-4C15-B116-73B3ADC00C40}"/>
    <cellStyle name="Vírgula 10 2 4 3 2 3" xfId="414" xr:uid="{21C0FABD-CDD8-40E0-983D-9EF978798B01}"/>
    <cellStyle name="Vírgula 10 2 4 3 2 3 2" xfId="415" xr:uid="{BACC9FF7-1D4D-4109-9FE6-62ECCFF2DCA2}"/>
    <cellStyle name="Vírgula 10 2 4 3 2 3 2 2" xfId="416" xr:uid="{6E0612E4-8C5D-4E25-AB95-700BB58796F4}"/>
    <cellStyle name="Vírgula 10 2 4 3 2 3 2 3" xfId="6422" xr:uid="{1C3FB7D7-2FDF-4B00-9EB7-B50C7FBF1425}"/>
    <cellStyle name="Vírgula 10 2 4 3 2 3 3" xfId="417" xr:uid="{2DA719EC-8D6D-4AD5-8EB2-87248277E38C}"/>
    <cellStyle name="Vírgula 10 2 4 3 2 3 4" xfId="6421" xr:uid="{EE213FD4-A9A2-4071-8F62-B0E99485AC77}"/>
    <cellStyle name="Vírgula 10 2 4 3 2 4" xfId="418" xr:uid="{91819F44-C01A-4E0D-96AC-284C37A383A8}"/>
    <cellStyle name="Vírgula 10 2 4 3 2 4 2" xfId="419" xr:uid="{439C79BB-9876-4E16-80C8-D5FD21FA5BAA}"/>
    <cellStyle name="Vírgula 10 2 4 3 2 4 3" xfId="6423" xr:uid="{10FDDDD4-DC02-4708-AC46-8FE97A525EBB}"/>
    <cellStyle name="Vírgula 10 2 4 3 2 5" xfId="420" xr:uid="{5ACD511F-7DBE-4851-929F-41A6F7AD193A}"/>
    <cellStyle name="Vírgula 10 2 4 3 2 6" xfId="6418" xr:uid="{A55703AC-B486-4627-9DD3-CCB747773D08}"/>
    <cellStyle name="Vírgula 10 2 4 3 3" xfId="421" xr:uid="{32B11B5D-A508-45A7-A91E-619A40F82924}"/>
    <cellStyle name="Vírgula 10 2 4 3 3 2" xfId="422" xr:uid="{57AF2D2D-5350-4EE5-95C0-1AC0493891A9}"/>
    <cellStyle name="Vírgula 10 2 4 3 3 2 2" xfId="423" xr:uid="{F3BF8F22-FC8F-4ADF-8512-01F0C4B37098}"/>
    <cellStyle name="Vírgula 10 2 4 3 3 2 3" xfId="6425" xr:uid="{0DF03075-6E02-41B8-9075-7EA39301BDA9}"/>
    <cellStyle name="Vírgula 10 2 4 3 3 3" xfId="424" xr:uid="{03A02505-B078-4D77-9B29-B627F5DACE6C}"/>
    <cellStyle name="Vírgula 10 2 4 3 3 4" xfId="6424" xr:uid="{32ED4C50-2428-43D6-BD74-67916BD29312}"/>
    <cellStyle name="Vírgula 10 2 4 3 4" xfId="425" xr:uid="{10A8F437-457D-4F47-A748-6B629EEC6067}"/>
    <cellStyle name="Vírgula 10 2 4 3 4 2" xfId="426" xr:uid="{9B342910-3A84-4B9B-957A-664A923DB0CD}"/>
    <cellStyle name="Vírgula 10 2 4 3 4 2 2" xfId="427" xr:uid="{A6948E3A-7D3A-4D56-ABEC-5289B7D5B1B0}"/>
    <cellStyle name="Vírgula 10 2 4 3 4 2 3" xfId="6427" xr:uid="{2BDCA446-35D3-4452-A5A9-039DB041C850}"/>
    <cellStyle name="Vírgula 10 2 4 3 4 3" xfId="428" xr:uid="{DB6FB47A-6BD3-4FA2-8F46-7D90658CE543}"/>
    <cellStyle name="Vírgula 10 2 4 3 4 4" xfId="6426" xr:uid="{5C250187-6B36-4DF9-B9A9-38668FB7C597}"/>
    <cellStyle name="Vírgula 10 2 4 3 5" xfId="429" xr:uid="{40724902-E99B-413A-B617-4F78B37AD15F}"/>
    <cellStyle name="Vírgula 10 2 4 3 5 2" xfId="430" xr:uid="{0D1BA181-733C-4101-8393-699AADD818D2}"/>
    <cellStyle name="Vírgula 10 2 4 3 5 3" xfId="6428" xr:uid="{7BB5FED6-7694-4B06-B9C0-58C0A8EDACDE}"/>
    <cellStyle name="Vírgula 10 2 4 3 6" xfId="431" xr:uid="{67FE26C8-6FC7-4E66-AF7B-6EBEF8D3241D}"/>
    <cellStyle name="Vírgula 10 2 4 3 7" xfId="6417" xr:uid="{B4941A37-9012-4CAE-BDD7-6E7600801062}"/>
    <cellStyle name="Vírgula 10 2 4 4" xfId="432" xr:uid="{52B68268-4A11-41E8-9FBA-F9EEE1F91D2A}"/>
    <cellStyle name="Vírgula 10 2 4 4 2" xfId="433" xr:uid="{5FCC462C-D5AB-4E6E-A093-A298F83E034B}"/>
    <cellStyle name="Vírgula 10 2 4 4 2 2" xfId="434" xr:uid="{7B318020-1542-4F4A-8AD2-9B1206A46176}"/>
    <cellStyle name="Vírgula 10 2 4 4 2 2 2" xfId="435" xr:uid="{35AF50D2-72D6-4691-B0E2-9BD621242C62}"/>
    <cellStyle name="Vírgula 10 2 4 4 2 2 3" xfId="6431" xr:uid="{850F275E-803C-4788-B0AE-1D6CCEA2B6AA}"/>
    <cellStyle name="Vírgula 10 2 4 4 2 3" xfId="436" xr:uid="{4F6AAA5D-D66A-414E-ABB5-26E3AF9D34F1}"/>
    <cellStyle name="Vírgula 10 2 4 4 2 4" xfId="6430" xr:uid="{9C9C87F5-DAB2-4C0E-ADC9-691C73D2F456}"/>
    <cellStyle name="Vírgula 10 2 4 4 3" xfId="437" xr:uid="{3EEA0D67-4FFA-4BE5-9344-50E04A387386}"/>
    <cellStyle name="Vírgula 10 2 4 4 3 2" xfId="438" xr:uid="{6F9E9251-1519-4F58-9994-28931068AA21}"/>
    <cellStyle name="Vírgula 10 2 4 4 3 2 2" xfId="439" xr:uid="{0A2C272F-73F2-4A31-AF94-4CAA71145951}"/>
    <cellStyle name="Vírgula 10 2 4 4 3 2 3" xfId="6433" xr:uid="{6BD4FBCC-9DB5-4AD4-88B3-55F9CE8A97CB}"/>
    <cellStyle name="Vírgula 10 2 4 4 3 3" xfId="440" xr:uid="{4341A9BF-C63F-44D7-B732-C43252442EB0}"/>
    <cellStyle name="Vírgula 10 2 4 4 3 4" xfId="6432" xr:uid="{87B2416C-28B3-4934-B4DB-3739AD3E60DF}"/>
    <cellStyle name="Vírgula 10 2 4 4 4" xfId="441" xr:uid="{24C5066D-E169-4257-82E0-DB0DB02EC4DE}"/>
    <cellStyle name="Vírgula 10 2 4 4 4 2" xfId="442" xr:uid="{31BC381B-9A24-4EBB-9F80-FC59CF18A073}"/>
    <cellStyle name="Vírgula 10 2 4 4 4 3" xfId="6434" xr:uid="{61489580-171B-4573-BAE2-FF912604E662}"/>
    <cellStyle name="Vírgula 10 2 4 4 5" xfId="443" xr:uid="{1FF61081-F33F-427E-8343-822A926DFA87}"/>
    <cellStyle name="Vírgula 10 2 4 4 6" xfId="6429" xr:uid="{85041240-B8D3-4E80-A9CC-EDC279FF66C9}"/>
    <cellStyle name="Vírgula 10 2 4 5" xfId="444" xr:uid="{FE4ACEAF-38BC-4473-BDB5-8F7265DBC78C}"/>
    <cellStyle name="Vírgula 10 2 4 5 2" xfId="445" xr:uid="{2BCD189D-E7D6-423F-961A-C36107828764}"/>
    <cellStyle name="Vírgula 10 2 4 5 2 2" xfId="446" xr:uid="{BF0EDE0E-3BA3-4678-B240-B0F2FB40E616}"/>
    <cellStyle name="Vírgula 10 2 4 5 2 3" xfId="6436" xr:uid="{4862D024-8CF7-4FC4-8EA3-0D9A6F350D08}"/>
    <cellStyle name="Vírgula 10 2 4 5 3" xfId="447" xr:uid="{C16E2584-AADE-4135-B1F7-3E9E45B44020}"/>
    <cellStyle name="Vírgula 10 2 4 5 4" xfId="6435" xr:uid="{8B8E164D-5868-4F4F-8BD9-136227B5BEE5}"/>
    <cellStyle name="Vírgula 10 2 4 6" xfId="448" xr:uid="{1C36F887-0AB1-4340-9802-AA6E27F5FD25}"/>
    <cellStyle name="Vírgula 10 2 4 6 2" xfId="449" xr:uid="{C3A4DACE-4F0B-4176-8ACE-819B772E5D1D}"/>
    <cellStyle name="Vírgula 10 2 4 6 2 2" xfId="450" xr:uid="{B6290811-64CF-4F40-9021-B55A5F59B528}"/>
    <cellStyle name="Vírgula 10 2 4 6 2 3" xfId="6438" xr:uid="{0474902F-5087-4B35-8F92-B9E2EFC1CF79}"/>
    <cellStyle name="Vírgula 10 2 4 6 3" xfId="451" xr:uid="{32974205-6BD4-4C65-A9E3-8C92AAA6D188}"/>
    <cellStyle name="Vírgula 10 2 4 6 4" xfId="6437" xr:uid="{333EF22D-AD48-49D4-89C5-54AB2D22FA38}"/>
    <cellStyle name="Vírgula 10 2 4 7" xfId="452" xr:uid="{EEE5EE19-D225-41C0-A9E4-54CD36A98298}"/>
    <cellStyle name="Vírgula 10 2 4 7 2" xfId="453" xr:uid="{E4D1D2B2-2EA4-4075-959E-2AC77A38B621}"/>
    <cellStyle name="Vírgula 10 2 4 7 3" xfId="6439" xr:uid="{84C16370-53E0-457D-B381-53CC2B9C2584}"/>
    <cellStyle name="Vírgula 10 2 4 8" xfId="454" xr:uid="{6EED613F-9639-43CF-BF77-38C39D9C167E}"/>
    <cellStyle name="Vírgula 10 2 4 9" xfId="6404" xr:uid="{BEBB2B1E-F7C2-499A-8BE0-34D4EF950F63}"/>
    <cellStyle name="Vírgula 10 2 5" xfId="455" xr:uid="{1B72A71C-C263-47C4-B54F-16F775A18E2D}"/>
    <cellStyle name="Vírgula 10 2 5 2" xfId="456" xr:uid="{BA28C4AE-F587-4644-B39B-C9F97D26F5C7}"/>
    <cellStyle name="Vírgula 10 2 5 2 2" xfId="457" xr:uid="{D7971CB1-29DD-4B20-B919-64120A5D8F86}"/>
    <cellStyle name="Vírgula 10 2 5 2 2 2" xfId="458" xr:uid="{E0452B50-7439-48BB-B178-768DBFF693E9}"/>
    <cellStyle name="Vírgula 10 2 5 2 2 2 2" xfId="459" xr:uid="{263A7138-2049-4908-BFA0-79A8ADFC73DB}"/>
    <cellStyle name="Vírgula 10 2 5 2 2 2 2 2" xfId="460" xr:uid="{7DFD08B2-470D-40F2-8717-F51A6ADB0B0F}"/>
    <cellStyle name="Vírgula 10 2 5 2 2 2 2 3" xfId="6444" xr:uid="{DC74F090-52DD-4381-8B88-CF9BC458467F}"/>
    <cellStyle name="Vírgula 10 2 5 2 2 2 3" xfId="461" xr:uid="{5AAA91E2-ED7B-448A-9D29-E243D9ED2293}"/>
    <cellStyle name="Vírgula 10 2 5 2 2 2 4" xfId="6443" xr:uid="{B8955562-D77C-41DA-AD41-10F22300B1DD}"/>
    <cellStyle name="Vírgula 10 2 5 2 2 3" xfId="462" xr:uid="{ABBF333C-8ABD-459B-8A3E-A5A9D2809734}"/>
    <cellStyle name="Vírgula 10 2 5 2 2 3 2" xfId="463" xr:uid="{EB97033D-93C4-49F4-928B-97603547AC45}"/>
    <cellStyle name="Vírgula 10 2 5 2 2 3 2 2" xfId="464" xr:uid="{375132C4-6353-41D7-A888-00D5F62EA500}"/>
    <cellStyle name="Vírgula 10 2 5 2 2 3 2 3" xfId="6446" xr:uid="{EE209630-F479-4993-8D51-67828CC3613D}"/>
    <cellStyle name="Vírgula 10 2 5 2 2 3 3" xfId="465" xr:uid="{23B27C0B-7E7E-4880-B95F-59572E027E35}"/>
    <cellStyle name="Vírgula 10 2 5 2 2 3 4" xfId="6445" xr:uid="{BC17E51A-928F-4F59-9D51-646E43E84CBB}"/>
    <cellStyle name="Vírgula 10 2 5 2 2 4" xfId="466" xr:uid="{EF1D347B-574E-4F47-BD6E-32D8A756D974}"/>
    <cellStyle name="Vírgula 10 2 5 2 2 4 2" xfId="467" xr:uid="{2ECBDC20-FBFE-422F-AD0A-8BF0510BD0CC}"/>
    <cellStyle name="Vírgula 10 2 5 2 2 4 3" xfId="6447" xr:uid="{E208293E-8D7B-454C-839F-99918D087055}"/>
    <cellStyle name="Vírgula 10 2 5 2 2 5" xfId="468" xr:uid="{C8658B41-9DE5-4798-B272-17B3A8CDED27}"/>
    <cellStyle name="Vírgula 10 2 5 2 2 6" xfId="6442" xr:uid="{49DE57B8-A302-44EA-9694-9116EA500299}"/>
    <cellStyle name="Vírgula 10 2 5 2 3" xfId="469" xr:uid="{F5802F2A-08A4-4672-A41A-2D18AD5C9B21}"/>
    <cellStyle name="Vírgula 10 2 5 2 3 2" xfId="470" xr:uid="{DA6A3126-4DB3-4134-8A4A-AE6C58CD318E}"/>
    <cellStyle name="Vírgula 10 2 5 2 3 2 2" xfId="471" xr:uid="{C839CD8B-8430-4731-B64B-F1D134FCFDFB}"/>
    <cellStyle name="Vírgula 10 2 5 2 3 2 3" xfId="6449" xr:uid="{74E741D5-3A47-4336-94B6-FAAF6381F0A4}"/>
    <cellStyle name="Vírgula 10 2 5 2 3 3" xfId="472" xr:uid="{66EDC771-E8B5-4B55-9871-AA8620247CE1}"/>
    <cellStyle name="Vírgula 10 2 5 2 3 4" xfId="6448" xr:uid="{AD80C6BD-40D7-401E-8F1D-866D57913102}"/>
    <cellStyle name="Vírgula 10 2 5 2 4" xfId="473" xr:uid="{6B5C4F56-2B58-4062-ADD3-F3F6F8AE59AE}"/>
    <cellStyle name="Vírgula 10 2 5 2 4 2" xfId="474" xr:uid="{28719E0B-A27B-4857-B69B-88CC0149A602}"/>
    <cellStyle name="Vírgula 10 2 5 2 4 2 2" xfId="475" xr:uid="{DE270357-32AE-4954-B012-EC70D302E9F8}"/>
    <cellStyle name="Vírgula 10 2 5 2 4 2 3" xfId="6451" xr:uid="{407A1428-F50E-4F76-9F93-F3B1F2CA9B61}"/>
    <cellStyle name="Vírgula 10 2 5 2 4 3" xfId="476" xr:uid="{150C3685-3ED9-4935-A0EA-C65D44C0CD5D}"/>
    <cellStyle name="Vírgula 10 2 5 2 4 4" xfId="6450" xr:uid="{D6444926-5AE6-4282-A708-AAF2DF6C8300}"/>
    <cellStyle name="Vírgula 10 2 5 2 5" xfId="477" xr:uid="{AE176A56-24C9-49AD-973D-E6770F78581C}"/>
    <cellStyle name="Vírgula 10 2 5 2 5 2" xfId="478" xr:uid="{A963C1AB-11E4-4F0A-9881-E3E22BADFF9C}"/>
    <cellStyle name="Vírgula 10 2 5 2 5 3" xfId="6452" xr:uid="{F13DD258-87B0-45AC-B2A9-2EAE9E240B7C}"/>
    <cellStyle name="Vírgula 10 2 5 2 6" xfId="479" xr:uid="{01D13747-78F8-4F1F-9BB3-BF7F8B7A99F3}"/>
    <cellStyle name="Vírgula 10 2 5 2 7" xfId="6441" xr:uid="{2BA53EC8-0719-4E65-9B86-008EBD13BC98}"/>
    <cellStyle name="Vírgula 10 2 5 3" xfId="480" xr:uid="{D7FA8877-A4AD-4772-8FDF-EE2C06976374}"/>
    <cellStyle name="Vírgula 10 2 5 3 2" xfId="481" xr:uid="{D065D761-2230-4320-A02B-CAA98244EB3F}"/>
    <cellStyle name="Vírgula 10 2 5 3 2 2" xfId="482" xr:uid="{A2ABD200-FA09-4E56-994F-BF3DB3E59FAC}"/>
    <cellStyle name="Vírgula 10 2 5 3 2 2 2" xfId="483" xr:uid="{7D0E32AB-390C-44C6-AEA6-E1E0CECB6B60}"/>
    <cellStyle name="Vírgula 10 2 5 3 2 2 2 2" xfId="484" xr:uid="{59ADE3B1-0CD1-49B5-9A9C-9E9A17EF8594}"/>
    <cellStyle name="Vírgula 10 2 5 3 2 2 2 3" xfId="6456" xr:uid="{AE5E7A1D-AAF8-405E-A4BA-7B146533184A}"/>
    <cellStyle name="Vírgula 10 2 5 3 2 2 3" xfId="485" xr:uid="{C0B95B95-C980-4C8B-8E61-A3DA96B2B883}"/>
    <cellStyle name="Vírgula 10 2 5 3 2 2 4" xfId="6455" xr:uid="{A84BBA5A-3C27-4621-A4D9-D8F310F75363}"/>
    <cellStyle name="Vírgula 10 2 5 3 2 3" xfId="486" xr:uid="{6E0CFB54-FEF0-46C9-BAFA-B40D09C293B6}"/>
    <cellStyle name="Vírgula 10 2 5 3 2 3 2" xfId="487" xr:uid="{DD7F7CF2-C556-475F-9FDB-1F9A88402C83}"/>
    <cellStyle name="Vírgula 10 2 5 3 2 3 2 2" xfId="488" xr:uid="{9B3FCEAB-75DA-46FA-A9FF-89FC1895ACD0}"/>
    <cellStyle name="Vírgula 10 2 5 3 2 3 2 3" xfId="6458" xr:uid="{B000EEF2-FC90-4BE5-A0ED-EE00FCA6FADD}"/>
    <cellStyle name="Vírgula 10 2 5 3 2 3 3" xfId="489" xr:uid="{AE33FD12-4467-4761-BF6B-F585F944268D}"/>
    <cellStyle name="Vírgula 10 2 5 3 2 3 4" xfId="6457" xr:uid="{A031296C-8CDA-45D5-8A6A-704F22A976F1}"/>
    <cellStyle name="Vírgula 10 2 5 3 2 4" xfId="490" xr:uid="{5F7404FF-939B-4DE4-9051-FB5617877789}"/>
    <cellStyle name="Vírgula 10 2 5 3 2 4 2" xfId="491" xr:uid="{E4DD8666-D8C8-4024-9E60-140E69B1AFCC}"/>
    <cellStyle name="Vírgula 10 2 5 3 2 4 3" xfId="6459" xr:uid="{538286CE-F31F-45CE-844A-60394D674EE6}"/>
    <cellStyle name="Vírgula 10 2 5 3 2 5" xfId="492" xr:uid="{2FD154C9-44FF-424F-9E7C-66D4D0230151}"/>
    <cellStyle name="Vírgula 10 2 5 3 2 6" xfId="6454" xr:uid="{B0F5077B-F44A-43A6-824F-738602D7229E}"/>
    <cellStyle name="Vírgula 10 2 5 3 3" xfId="493" xr:uid="{502B877A-5A2F-41B6-9443-26756203DBB1}"/>
    <cellStyle name="Vírgula 10 2 5 3 3 2" xfId="494" xr:uid="{B7E91F55-E2A7-4AA5-813A-8AA5C02D6FF8}"/>
    <cellStyle name="Vírgula 10 2 5 3 3 2 2" xfId="495" xr:uid="{FA42D15C-D356-4B28-A5B7-35A15635B83E}"/>
    <cellStyle name="Vírgula 10 2 5 3 3 2 3" xfId="6461" xr:uid="{67BDE18E-07EF-492A-9845-412994ED2536}"/>
    <cellStyle name="Vírgula 10 2 5 3 3 3" xfId="496" xr:uid="{E8391F08-0694-4113-9A20-741CD945D653}"/>
    <cellStyle name="Vírgula 10 2 5 3 3 4" xfId="6460" xr:uid="{7D21CB63-0182-4A94-960D-744813D1AA1D}"/>
    <cellStyle name="Vírgula 10 2 5 3 4" xfId="497" xr:uid="{D1A47227-9019-4B3F-AB30-617DA163E790}"/>
    <cellStyle name="Vírgula 10 2 5 3 4 2" xfId="498" xr:uid="{F08BABC7-80CF-4574-B55C-5FCAD9C5E00B}"/>
    <cellStyle name="Vírgula 10 2 5 3 4 2 2" xfId="499" xr:uid="{8B0DAE23-13E8-43E4-8023-6ACC2774B87B}"/>
    <cellStyle name="Vírgula 10 2 5 3 4 2 3" xfId="6463" xr:uid="{934F3198-C3AB-4F6D-BBCD-B983058987D9}"/>
    <cellStyle name="Vírgula 10 2 5 3 4 3" xfId="500" xr:uid="{2E21D106-EF58-4266-A114-49B97114E7C2}"/>
    <cellStyle name="Vírgula 10 2 5 3 4 4" xfId="6462" xr:uid="{291D51AA-C258-4CAF-98D5-F80404D47ECF}"/>
    <cellStyle name="Vírgula 10 2 5 3 5" xfId="501" xr:uid="{1BEBA145-00B3-4FD1-A47C-813BFAB94302}"/>
    <cellStyle name="Vírgula 10 2 5 3 5 2" xfId="502" xr:uid="{69D1842D-2828-46AC-B924-2B911F773F60}"/>
    <cellStyle name="Vírgula 10 2 5 3 5 3" xfId="6464" xr:uid="{03667DCC-641D-4579-8E53-DD9E5003F322}"/>
    <cellStyle name="Vírgula 10 2 5 3 6" xfId="503" xr:uid="{71EC8F99-C746-4D97-B23F-236ED3EEE2EA}"/>
    <cellStyle name="Vírgula 10 2 5 3 7" xfId="6453" xr:uid="{561F35B8-AC27-4465-A4D0-19B873604695}"/>
    <cellStyle name="Vírgula 10 2 5 4" xfId="504" xr:uid="{2201DCB6-46CC-4C90-A32A-B07CDC4BADEF}"/>
    <cellStyle name="Vírgula 10 2 5 4 2" xfId="505" xr:uid="{B758936A-140F-4ABD-B23C-9F1ED201B590}"/>
    <cellStyle name="Vírgula 10 2 5 4 2 2" xfId="506" xr:uid="{D9527593-00B1-4DE1-9F3F-28812CDAC115}"/>
    <cellStyle name="Vírgula 10 2 5 4 2 2 2" xfId="507" xr:uid="{0C09FA10-8798-4B4A-92BF-5C48998E45F2}"/>
    <cellStyle name="Vírgula 10 2 5 4 2 2 3" xfId="6467" xr:uid="{FFCB77FA-FF2D-4F48-84CC-1230C77FC0EB}"/>
    <cellStyle name="Vírgula 10 2 5 4 2 3" xfId="508" xr:uid="{ACCFF256-145D-46F7-8A28-024CC43D4D05}"/>
    <cellStyle name="Vírgula 10 2 5 4 2 4" xfId="6466" xr:uid="{CFADABC8-E556-4E25-A4DC-0B46F47751FC}"/>
    <cellStyle name="Vírgula 10 2 5 4 3" xfId="509" xr:uid="{C37366A4-B2CC-4D67-B782-19C293F124AA}"/>
    <cellStyle name="Vírgula 10 2 5 4 3 2" xfId="510" xr:uid="{524BB064-A315-479A-AAD8-F5B7B3EC29FC}"/>
    <cellStyle name="Vírgula 10 2 5 4 3 2 2" xfId="511" xr:uid="{F29CF332-6865-4145-8D7C-48AA69B017F3}"/>
    <cellStyle name="Vírgula 10 2 5 4 3 2 3" xfId="6469" xr:uid="{FFE78D54-A075-45AF-9FC2-12D52EA9583B}"/>
    <cellStyle name="Vírgula 10 2 5 4 3 3" xfId="512" xr:uid="{3D0A9EEE-F816-4A70-8C8D-DA7EDF44ADDC}"/>
    <cellStyle name="Vírgula 10 2 5 4 3 4" xfId="6468" xr:uid="{F2BB9206-C790-4F9B-BA01-4B71620C3F76}"/>
    <cellStyle name="Vírgula 10 2 5 4 4" xfId="513" xr:uid="{20F4D63C-ED2A-437B-A4A3-81C388159C96}"/>
    <cellStyle name="Vírgula 10 2 5 4 4 2" xfId="514" xr:uid="{FA8FB924-C387-42EF-8A27-A42C748412B9}"/>
    <cellStyle name="Vírgula 10 2 5 4 4 3" xfId="6470" xr:uid="{99A22124-8DB9-464B-8ACF-838A3A1F6D2D}"/>
    <cellStyle name="Vírgula 10 2 5 4 5" xfId="515" xr:uid="{C022C9E3-378E-422A-A884-95B7C674BB5F}"/>
    <cellStyle name="Vírgula 10 2 5 4 6" xfId="6465" xr:uid="{17C0A2ED-614A-4C80-A4DD-10DCD431C7F3}"/>
    <cellStyle name="Vírgula 10 2 5 5" xfId="516" xr:uid="{D98987CE-B4FE-4964-9A34-B154C631F3DE}"/>
    <cellStyle name="Vírgula 10 2 5 5 2" xfId="517" xr:uid="{7111A983-98F9-49F7-8A31-5C59EBEA8913}"/>
    <cellStyle name="Vírgula 10 2 5 5 2 2" xfId="518" xr:uid="{7ADE0195-BC33-4833-8D92-5A05050C9646}"/>
    <cellStyle name="Vírgula 10 2 5 5 2 3" xfId="6472" xr:uid="{3FE1E641-3879-41BD-AF02-35E8A4085124}"/>
    <cellStyle name="Vírgula 10 2 5 5 3" xfId="519" xr:uid="{B0BCFEF1-DA38-486C-9E26-4B1CFE4F4D2F}"/>
    <cellStyle name="Vírgula 10 2 5 5 4" xfId="6471" xr:uid="{21290D5E-D706-4D16-B0FA-3C22A7DC17D2}"/>
    <cellStyle name="Vírgula 10 2 5 6" xfId="520" xr:uid="{E7AC8D93-853A-49C9-A48C-764BCAB8F5D5}"/>
    <cellStyle name="Vírgula 10 2 5 6 2" xfId="521" xr:uid="{E7DD599F-D571-4ADB-88D5-F8E5A8C0E630}"/>
    <cellStyle name="Vírgula 10 2 5 6 2 2" xfId="522" xr:uid="{0DB1F49D-71EA-4FF3-B5A7-D673DD859D6E}"/>
    <cellStyle name="Vírgula 10 2 5 6 2 3" xfId="6474" xr:uid="{0CD5538F-5824-4587-9B63-13C39390938B}"/>
    <cellStyle name="Vírgula 10 2 5 6 3" xfId="523" xr:uid="{840A314D-49FA-4E81-9DD3-8CCD9621B723}"/>
    <cellStyle name="Vírgula 10 2 5 6 4" xfId="6473" xr:uid="{939A838C-2852-4F5E-B46F-49653F414F64}"/>
    <cellStyle name="Vírgula 10 2 5 7" xfId="524" xr:uid="{1AB43CB7-D6A5-4126-A9B9-5AEE6E7509C5}"/>
    <cellStyle name="Vírgula 10 2 5 7 2" xfId="525" xr:uid="{8C66DC32-7395-4AFF-AABE-746144E9333C}"/>
    <cellStyle name="Vírgula 10 2 5 7 3" xfId="6475" xr:uid="{996D5EFE-135E-4588-870E-0DEEEC777462}"/>
    <cellStyle name="Vírgula 10 2 5 8" xfId="526" xr:uid="{8790A9E0-6E1A-4329-AA68-EE5EA28BDFAC}"/>
    <cellStyle name="Vírgula 10 2 5 9" xfId="6440" xr:uid="{8A80EB4C-A862-430A-8569-033D3D50B394}"/>
    <cellStyle name="Vírgula 10 2 6" xfId="527" xr:uid="{E5E93C85-97B9-4F3B-8E86-0A7CCCF6CF99}"/>
    <cellStyle name="Vírgula 10 2 6 2" xfId="528" xr:uid="{60171BCC-5929-4944-8392-960865881253}"/>
    <cellStyle name="Vírgula 10 2 6 2 2" xfId="529" xr:uid="{F52EBFE5-AF86-4DB3-8B74-EF30E979103F}"/>
    <cellStyle name="Vírgula 10 2 6 2 2 2" xfId="530" xr:uid="{D8CE2A39-3E0E-44A3-94C3-06F4EA19FEC9}"/>
    <cellStyle name="Vírgula 10 2 6 2 2 2 2" xfId="531" xr:uid="{CB98FF93-4CED-44B7-B0F4-954F7EA46B79}"/>
    <cellStyle name="Vírgula 10 2 6 2 2 2 3" xfId="6479" xr:uid="{0B9B342F-5B28-4AA0-B654-2B15695E0FA7}"/>
    <cellStyle name="Vírgula 10 2 6 2 2 3" xfId="532" xr:uid="{F51931DB-1E7F-4228-A73A-D783E890B59F}"/>
    <cellStyle name="Vírgula 10 2 6 2 2 4" xfId="6478" xr:uid="{A2708868-189D-40ED-A789-B7CD6325F136}"/>
    <cellStyle name="Vírgula 10 2 6 2 3" xfId="533" xr:uid="{040C1256-E9BD-40C6-9770-AE4FD05E6858}"/>
    <cellStyle name="Vírgula 10 2 6 2 3 2" xfId="534" xr:uid="{D6655334-CAFD-41B5-BD65-B2902A0AD5AE}"/>
    <cellStyle name="Vírgula 10 2 6 2 3 2 2" xfId="535" xr:uid="{2E20AA40-C5D7-48C6-87B9-21AAF7477F39}"/>
    <cellStyle name="Vírgula 10 2 6 2 3 2 3" xfId="6481" xr:uid="{9E8EF7E7-C64E-42BB-BF2E-3E572E32DF89}"/>
    <cellStyle name="Vírgula 10 2 6 2 3 3" xfId="536" xr:uid="{A0D5019F-57FE-4F64-BA51-2CD2D40B0B30}"/>
    <cellStyle name="Vírgula 10 2 6 2 3 4" xfId="6480" xr:uid="{BD7E66CC-AA78-45A7-B76F-823EC7749FC8}"/>
    <cellStyle name="Vírgula 10 2 6 2 4" xfId="537" xr:uid="{833FCBBA-CE61-4874-B093-D441905E2C1D}"/>
    <cellStyle name="Vírgula 10 2 6 2 4 2" xfId="538" xr:uid="{CDEF8AF4-B998-4D3C-96F6-20FC3ED54B5E}"/>
    <cellStyle name="Vírgula 10 2 6 2 4 3" xfId="6482" xr:uid="{6B01CBFA-0719-4DE0-BF2C-3EA02670134A}"/>
    <cellStyle name="Vírgula 10 2 6 2 5" xfId="539" xr:uid="{360B22C4-FA80-4515-B3EB-141D2C009839}"/>
    <cellStyle name="Vírgula 10 2 6 2 6" xfId="6477" xr:uid="{51CC8290-3EE6-4893-968A-3D465EB7846E}"/>
    <cellStyle name="Vírgula 10 2 6 3" xfId="540" xr:uid="{EEA4F155-AA41-470F-AF7D-A28DF6098C5F}"/>
    <cellStyle name="Vírgula 10 2 6 3 2" xfId="541" xr:uid="{F6CD2E24-DC9D-4F08-9DC2-4BFB47E1FA4A}"/>
    <cellStyle name="Vírgula 10 2 6 3 2 2" xfId="542" xr:uid="{CBFEE0A9-31EB-4BD0-A563-EC65CF7A74E2}"/>
    <cellStyle name="Vírgula 10 2 6 3 2 3" xfId="6484" xr:uid="{60C69E92-0433-40D7-A6F7-676DE7B95E25}"/>
    <cellStyle name="Vírgula 10 2 6 3 3" xfId="543" xr:uid="{EFDA39B6-02E0-4DC2-8DF3-AFE0371CD08D}"/>
    <cellStyle name="Vírgula 10 2 6 3 4" xfId="6483" xr:uid="{280FCD4C-6466-4937-AD4D-736BB15995BF}"/>
    <cellStyle name="Vírgula 10 2 6 4" xfId="544" xr:uid="{452FDEC9-49F5-4188-9A6F-52DA8C964AE1}"/>
    <cellStyle name="Vírgula 10 2 6 4 2" xfId="545" xr:uid="{761E6EFB-955E-4D6E-8261-F9C08BD82C2D}"/>
    <cellStyle name="Vírgula 10 2 6 4 2 2" xfId="546" xr:uid="{4678950D-58DF-44C2-8A51-42FB5C929298}"/>
    <cellStyle name="Vírgula 10 2 6 4 2 3" xfId="6486" xr:uid="{BDD29F5F-1607-41BE-B222-5BD431D5EBBB}"/>
    <cellStyle name="Vírgula 10 2 6 4 3" xfId="547" xr:uid="{06B0BA9A-B3FF-4008-B06D-72D8A92DD37D}"/>
    <cellStyle name="Vírgula 10 2 6 4 4" xfId="6485" xr:uid="{ED015969-700D-4669-92BA-B7736D2E41A3}"/>
    <cellStyle name="Vírgula 10 2 6 5" xfId="548" xr:uid="{07F8B8A6-013B-42BB-8721-DC1F3D2A127C}"/>
    <cellStyle name="Vírgula 10 2 6 5 2" xfId="549" xr:uid="{95743870-2BD5-40FF-A932-C2BC7E465B3A}"/>
    <cellStyle name="Vírgula 10 2 6 5 3" xfId="6487" xr:uid="{5BA9EC49-1A8F-417A-A8D6-58FEC6B1FB4A}"/>
    <cellStyle name="Vírgula 10 2 6 6" xfId="550" xr:uid="{E5A6DC19-E8B4-4808-88D0-E834CCE644CE}"/>
    <cellStyle name="Vírgula 10 2 6 7" xfId="6476" xr:uid="{C69D26BA-1A77-4769-9A0A-DB20B2C27E55}"/>
    <cellStyle name="Vírgula 10 2 7" xfId="551" xr:uid="{57231AE0-D2F7-480F-9A4B-4D4FCAC66CF8}"/>
    <cellStyle name="Vírgula 10 2 7 2" xfId="552" xr:uid="{EBC1549D-9114-4AAD-8C53-D64822A006C2}"/>
    <cellStyle name="Vírgula 10 2 7 2 2" xfId="553" xr:uid="{D1010759-3FD5-43DD-A8FD-D51FA2177957}"/>
    <cellStyle name="Vírgula 10 2 7 2 2 2" xfId="554" xr:uid="{C47EC6B1-A9EA-47DB-8E61-4980F3BD1577}"/>
    <cellStyle name="Vírgula 10 2 7 2 2 2 2" xfId="555" xr:uid="{E85184B1-56E0-4429-878F-09D585010B57}"/>
    <cellStyle name="Vírgula 10 2 7 2 2 2 3" xfId="6491" xr:uid="{2A3A44A3-8AC0-4010-BE88-A1520B12FE38}"/>
    <cellStyle name="Vírgula 10 2 7 2 2 3" xfId="556" xr:uid="{60A06F99-A106-4BA5-9E1E-B0A0EC3A3660}"/>
    <cellStyle name="Vírgula 10 2 7 2 2 4" xfId="6490" xr:uid="{FE285DE8-5B52-4B7A-A39F-D666D2693DF6}"/>
    <cellStyle name="Vírgula 10 2 7 2 3" xfId="557" xr:uid="{9531C554-0AF0-45C2-BE75-C36ACB1E0203}"/>
    <cellStyle name="Vírgula 10 2 7 2 3 2" xfId="558" xr:uid="{CD3A4B49-981A-4727-93A7-8646E639A7EB}"/>
    <cellStyle name="Vírgula 10 2 7 2 3 2 2" xfId="559" xr:uid="{9C5F9455-00FE-4D75-B16C-603123D98E5F}"/>
    <cellStyle name="Vírgula 10 2 7 2 3 2 3" xfId="6493" xr:uid="{BF5C1FCA-2267-45AB-A0E7-9B122E0F6C5E}"/>
    <cellStyle name="Vírgula 10 2 7 2 3 3" xfId="560" xr:uid="{9F7DA6D5-2A7F-4190-8E89-043944DA2D62}"/>
    <cellStyle name="Vírgula 10 2 7 2 3 4" xfId="6492" xr:uid="{CC27A086-C627-47B3-8FBB-FC3C7BF93EE4}"/>
    <cellStyle name="Vírgula 10 2 7 2 4" xfId="561" xr:uid="{D3556DF0-9D13-4FB0-88F2-991DE62E1E41}"/>
    <cellStyle name="Vírgula 10 2 7 2 4 2" xfId="562" xr:uid="{1C4C4A2A-AECC-4E8C-98C5-4189277F7749}"/>
    <cellStyle name="Vírgula 10 2 7 2 4 3" xfId="6494" xr:uid="{61D76C1A-8EA5-4263-A176-FC250B44AEA5}"/>
    <cellStyle name="Vírgula 10 2 7 2 5" xfId="563" xr:uid="{BB037234-CAD5-4B12-9337-D5CBE4588AF0}"/>
    <cellStyle name="Vírgula 10 2 7 2 6" xfId="6489" xr:uid="{1454074B-5D8D-47C0-864C-530B9EA88123}"/>
    <cellStyle name="Vírgula 10 2 7 3" xfId="564" xr:uid="{37FD4F08-5375-41E6-B3FC-11A085DADACE}"/>
    <cellStyle name="Vírgula 10 2 7 3 2" xfId="565" xr:uid="{79F73A08-F3C4-491F-9ED5-205D39CA5E06}"/>
    <cellStyle name="Vírgula 10 2 7 3 2 2" xfId="566" xr:uid="{3B513C25-4F42-4AF0-826F-8F1131779E81}"/>
    <cellStyle name="Vírgula 10 2 7 3 2 3" xfId="6496" xr:uid="{8383F123-42F9-41A8-8317-47AF9017A46C}"/>
    <cellStyle name="Vírgula 10 2 7 3 3" xfId="567" xr:uid="{BEF8C05A-E84B-45B0-A58A-57B264DA075F}"/>
    <cellStyle name="Vírgula 10 2 7 3 4" xfId="6495" xr:uid="{5FB59365-EC0C-4D4A-8846-B6975B81272C}"/>
    <cellStyle name="Vírgula 10 2 7 4" xfId="568" xr:uid="{6788C4F2-0E6A-4BC9-BE03-789ADE015C33}"/>
    <cellStyle name="Vírgula 10 2 7 4 2" xfId="569" xr:uid="{F743EEAB-E27C-4972-B2F4-35CA1848EA59}"/>
    <cellStyle name="Vírgula 10 2 7 4 2 2" xfId="570" xr:uid="{679F0731-E424-4B07-BF53-AFAA36D60F20}"/>
    <cellStyle name="Vírgula 10 2 7 4 2 3" xfId="6498" xr:uid="{514853E0-0562-44CE-917C-AEF5B147F087}"/>
    <cellStyle name="Vírgula 10 2 7 4 3" xfId="571" xr:uid="{599301D3-E459-4852-ACC0-20BBD7117BAB}"/>
    <cellStyle name="Vírgula 10 2 7 4 4" xfId="6497" xr:uid="{1BA74D04-793D-4374-A157-6B364235F8BB}"/>
    <cellStyle name="Vírgula 10 2 7 5" xfId="572" xr:uid="{08F52AD8-5899-412D-AF97-1025B749353E}"/>
    <cellStyle name="Vírgula 10 2 7 5 2" xfId="573" xr:uid="{3A7C0C3F-A14D-47AD-B573-A703485A4A01}"/>
    <cellStyle name="Vírgula 10 2 7 5 3" xfId="6499" xr:uid="{3E9BA631-4BB1-46D6-9D94-345C9B348417}"/>
    <cellStyle name="Vírgula 10 2 7 6" xfId="574" xr:uid="{DB182BB9-184A-496F-A1FD-4A0977579285}"/>
    <cellStyle name="Vírgula 10 2 7 7" xfId="6488" xr:uid="{1A3BBCA2-999A-400D-9FB9-A29F45CBBF34}"/>
    <cellStyle name="Vírgula 10 2 8" xfId="575" xr:uid="{2F322532-1A17-4339-8189-C8EAEAF08B4D}"/>
    <cellStyle name="Vírgula 10 2 8 2" xfId="576" xr:uid="{9F860D3B-0D7F-468E-8C15-4E65888E53A7}"/>
    <cellStyle name="Vírgula 10 2 8 2 2" xfId="577" xr:uid="{5B21ECF0-AC94-4C0F-8F7A-8CE61845BCED}"/>
    <cellStyle name="Vírgula 10 2 8 2 2 2" xfId="578" xr:uid="{52C9CDDD-A544-4943-948C-ACFFD8007371}"/>
    <cellStyle name="Vírgula 10 2 8 2 2 3" xfId="6502" xr:uid="{E6BC4BE4-16FA-4EE0-BF65-E2EBADF574DE}"/>
    <cellStyle name="Vírgula 10 2 8 2 3" xfId="579" xr:uid="{21539DE2-8242-489B-BF43-80A09AC3BC31}"/>
    <cellStyle name="Vírgula 10 2 8 2 4" xfId="6501" xr:uid="{922D1D1C-CBB1-46C6-B6F9-FD85698B28C3}"/>
    <cellStyle name="Vírgula 10 2 8 3" xfId="580" xr:uid="{17318E8C-7D09-4971-86FD-06189A3974A8}"/>
    <cellStyle name="Vírgula 10 2 8 3 2" xfId="581" xr:uid="{032A1204-4DAF-4E95-BD10-35C1A681C48A}"/>
    <cellStyle name="Vírgula 10 2 8 3 2 2" xfId="582" xr:uid="{CBA73FFA-2465-447E-81E7-18433DAB0945}"/>
    <cellStyle name="Vírgula 10 2 8 3 2 3" xfId="6504" xr:uid="{F88D51B4-AF8E-4453-A898-1137531EB2BD}"/>
    <cellStyle name="Vírgula 10 2 8 3 3" xfId="583" xr:uid="{B30AE6F3-8D27-47E8-8B9C-78377F836724}"/>
    <cellStyle name="Vírgula 10 2 8 3 4" xfId="6503" xr:uid="{78680443-67BC-4FD6-AAAA-412D0D6DEBD9}"/>
    <cellStyle name="Vírgula 10 2 8 4" xfId="584" xr:uid="{F6852233-A3CB-4D87-B816-81B1D1B67D4A}"/>
    <cellStyle name="Vírgula 10 2 8 4 2" xfId="585" xr:uid="{5FF6D8BA-D2D5-4D87-B5DC-845CB817164D}"/>
    <cellStyle name="Vírgula 10 2 8 4 3" xfId="6505" xr:uid="{DBCFB8E9-4BE4-470B-8EB0-ECBB5631442B}"/>
    <cellStyle name="Vírgula 10 2 8 5" xfId="586" xr:uid="{C753D1C0-891A-4808-B76B-8D7E295483F0}"/>
    <cellStyle name="Vírgula 10 2 8 6" xfId="6500" xr:uid="{C4836DB0-DEE3-4ED2-8BF4-F58D6EAA6E07}"/>
    <cellStyle name="Vírgula 10 2 9" xfId="587" xr:uid="{01FA0DC4-DAA8-4376-91EF-8C0581A1457A}"/>
    <cellStyle name="Vírgula 10 2 9 2" xfId="588" xr:uid="{6523CFAB-CC91-40BA-863A-A0C2AAC04DD8}"/>
    <cellStyle name="Vírgula 10 2 9 2 2" xfId="589" xr:uid="{E466DB4A-8141-4533-8475-44371ADEDAB1}"/>
    <cellStyle name="Vírgula 10 2 9 2 3" xfId="6507" xr:uid="{E68D8DBD-3545-4887-9D66-9C8B3FC25500}"/>
    <cellStyle name="Vírgula 10 2 9 3" xfId="590" xr:uid="{31368B54-CE06-41A7-8679-E19FDAA4D9AA}"/>
    <cellStyle name="Vírgula 10 2 9 4" xfId="6506" xr:uid="{FBA1CFD3-6998-4CCB-8DC3-91BF4C173E1F}"/>
    <cellStyle name="Vírgula 10 3" xfId="591" xr:uid="{B508CB05-7EEC-496D-96CB-CCDA488FBA74}"/>
    <cellStyle name="Vírgula 10 3 10" xfId="592" xr:uid="{41016F87-0515-4D4D-B073-88A87F68210C}"/>
    <cellStyle name="Vírgula 10 3 10 2" xfId="593" xr:uid="{43E0DE4F-63A5-4E72-9ECE-B9C73419A3F9}"/>
    <cellStyle name="Vírgula 10 3 10 3" xfId="6509" xr:uid="{40F7CD11-7670-494F-837B-C080CA42B776}"/>
    <cellStyle name="Vírgula 10 3 11" xfId="594" xr:uid="{02F08F41-CDD6-4BBB-9C9B-F7F993DE8B2B}"/>
    <cellStyle name="Vírgula 10 3 12" xfId="6508" xr:uid="{8732C536-E7A4-444E-B224-25E807CACA07}"/>
    <cellStyle name="Vírgula 10 3 2" xfId="595" xr:uid="{204A0BC0-9422-4D17-AD23-08A6EBCF4712}"/>
    <cellStyle name="Vírgula 10 3 2 2" xfId="596" xr:uid="{D0347CD2-DFC8-42BD-B2A2-E2556017E2BF}"/>
    <cellStyle name="Vírgula 10 3 2 2 2" xfId="597" xr:uid="{AD70B197-648A-4062-A88F-43E8ABBF811F}"/>
    <cellStyle name="Vírgula 10 3 2 2 2 2" xfId="598" xr:uid="{BE9EE741-6AB4-4C9B-A5E0-E2E9E506E049}"/>
    <cellStyle name="Vírgula 10 3 2 2 2 2 2" xfId="599" xr:uid="{7A6CD5A4-EA9F-4332-9287-8CD0863A5425}"/>
    <cellStyle name="Vírgula 10 3 2 2 2 2 2 2" xfId="600" xr:uid="{59C3C854-6006-448D-8489-5DDF6383759B}"/>
    <cellStyle name="Vírgula 10 3 2 2 2 2 2 3" xfId="6514" xr:uid="{EB73165A-83A8-4688-8004-01648BD68BAD}"/>
    <cellStyle name="Vírgula 10 3 2 2 2 2 3" xfId="601" xr:uid="{0D76C477-5A1D-4FB9-B4F8-D7C74E557E58}"/>
    <cellStyle name="Vírgula 10 3 2 2 2 2 4" xfId="6513" xr:uid="{563CB5A7-8995-4D8C-80FA-82234312DBC6}"/>
    <cellStyle name="Vírgula 10 3 2 2 2 3" xfId="602" xr:uid="{96ABE067-8760-493D-9127-40797F73DEA4}"/>
    <cellStyle name="Vírgula 10 3 2 2 2 3 2" xfId="603" xr:uid="{18F7FE95-EAA4-4F32-A24A-78F0DDEEC294}"/>
    <cellStyle name="Vírgula 10 3 2 2 2 3 2 2" xfId="604" xr:uid="{2D2E492B-93B0-40E8-837F-FFE7D306A44B}"/>
    <cellStyle name="Vírgula 10 3 2 2 2 3 2 3" xfId="6516" xr:uid="{EB296163-012B-4110-B73B-8063A9F970FE}"/>
    <cellStyle name="Vírgula 10 3 2 2 2 3 3" xfId="605" xr:uid="{9CEA5CA1-E1DA-42CE-9DB9-E918C164611F}"/>
    <cellStyle name="Vírgula 10 3 2 2 2 3 4" xfId="6515" xr:uid="{6555675F-DE16-4BE6-A4C5-B0EDBF47ABF1}"/>
    <cellStyle name="Vírgula 10 3 2 2 2 4" xfId="606" xr:uid="{8FE1CFED-EBEF-4881-933A-67DCE804B663}"/>
    <cellStyle name="Vírgula 10 3 2 2 2 4 2" xfId="607" xr:uid="{5286A665-A99B-488D-AB67-47D01F60BF62}"/>
    <cellStyle name="Vírgula 10 3 2 2 2 4 3" xfId="6517" xr:uid="{B8F30686-1A6E-4744-A57A-7C0C2264EB7B}"/>
    <cellStyle name="Vírgula 10 3 2 2 2 5" xfId="608" xr:uid="{570CFE6F-01F5-4E27-93B0-C268ADCA8A2D}"/>
    <cellStyle name="Vírgula 10 3 2 2 2 6" xfId="6512" xr:uid="{F4573E29-5A0D-4847-9AA9-7E61C088894C}"/>
    <cellStyle name="Vírgula 10 3 2 2 3" xfId="609" xr:uid="{7782826A-CF4A-48DF-9023-9D678C6D5931}"/>
    <cellStyle name="Vírgula 10 3 2 2 3 2" xfId="610" xr:uid="{49E3B7C9-BA31-4848-AB73-EAFE8CDE5724}"/>
    <cellStyle name="Vírgula 10 3 2 2 3 2 2" xfId="611" xr:uid="{15CC15C4-D83A-43AB-B4F5-F0C8EA951B4C}"/>
    <cellStyle name="Vírgula 10 3 2 2 3 2 3" xfId="6519" xr:uid="{52D2E28C-9202-4C28-8F17-8F7C1F8A5D35}"/>
    <cellStyle name="Vírgula 10 3 2 2 3 3" xfId="612" xr:uid="{D5264D4B-B223-43FF-8F51-7AD2EDBAD6B4}"/>
    <cellStyle name="Vírgula 10 3 2 2 3 4" xfId="6518" xr:uid="{3D60625F-ACE4-4643-BE03-629E97F1B899}"/>
    <cellStyle name="Vírgula 10 3 2 2 4" xfId="613" xr:uid="{E194A3E0-AC1C-45F8-91AF-3D3A1294864F}"/>
    <cellStyle name="Vírgula 10 3 2 2 4 2" xfId="614" xr:uid="{40B5B8EF-97A6-4A37-B10A-95A920FCC38F}"/>
    <cellStyle name="Vírgula 10 3 2 2 4 2 2" xfId="615" xr:uid="{5C751A9C-12B5-4A7D-827A-1CEB89EF7309}"/>
    <cellStyle name="Vírgula 10 3 2 2 4 2 3" xfId="6521" xr:uid="{05045637-F8EB-410F-964E-AC234CCBC055}"/>
    <cellStyle name="Vírgula 10 3 2 2 4 3" xfId="616" xr:uid="{6D0B751C-927A-45D9-8FBB-3EF2DF4A5904}"/>
    <cellStyle name="Vírgula 10 3 2 2 4 4" xfId="6520" xr:uid="{98157F10-3F59-4308-B8AC-F2838872D982}"/>
    <cellStyle name="Vírgula 10 3 2 2 5" xfId="617" xr:uid="{41CBD3C0-2EA7-41F3-98B5-1F9CFBA8413D}"/>
    <cellStyle name="Vírgula 10 3 2 2 5 2" xfId="618" xr:uid="{F443E083-CFD9-4707-8028-709B2254807C}"/>
    <cellStyle name="Vírgula 10 3 2 2 5 3" xfId="6522" xr:uid="{4C1E5336-87F4-4D83-8AA3-D8400DFDAF66}"/>
    <cellStyle name="Vírgula 10 3 2 2 6" xfId="619" xr:uid="{4C312721-65BC-4CDA-B1BD-3A9D7F555896}"/>
    <cellStyle name="Vírgula 10 3 2 2 7" xfId="6511" xr:uid="{4176A0EB-C3E5-4728-9DC3-9F39AFD1F78D}"/>
    <cellStyle name="Vírgula 10 3 2 3" xfId="620" xr:uid="{26FAA55A-C7B0-4678-8C9D-C0AF867B44C0}"/>
    <cellStyle name="Vírgula 10 3 2 3 2" xfId="621" xr:uid="{68ED9205-7B4F-4C41-9699-745C19214B05}"/>
    <cellStyle name="Vírgula 10 3 2 3 2 2" xfId="622" xr:uid="{D9BC1EB4-408F-4CF9-A1DB-1FFFC61913C2}"/>
    <cellStyle name="Vírgula 10 3 2 3 2 2 2" xfId="623" xr:uid="{05A68B43-2E0F-444E-A986-859C84546703}"/>
    <cellStyle name="Vírgula 10 3 2 3 2 2 2 2" xfId="624" xr:uid="{41ED7DF9-22E5-4FA1-A6D9-3BE35F7335B7}"/>
    <cellStyle name="Vírgula 10 3 2 3 2 2 2 3" xfId="6526" xr:uid="{0208466B-BEE6-4AF3-9F2C-77523DD48A05}"/>
    <cellStyle name="Vírgula 10 3 2 3 2 2 3" xfId="625" xr:uid="{7D2E915F-3CAF-454C-ADDF-396AB9AE27B3}"/>
    <cellStyle name="Vírgula 10 3 2 3 2 2 4" xfId="6525" xr:uid="{597B1800-11D9-4CA3-8097-94009E24B720}"/>
    <cellStyle name="Vírgula 10 3 2 3 2 3" xfId="626" xr:uid="{FD6DA1C5-B21A-4B01-95DE-5EBBB1C7A10E}"/>
    <cellStyle name="Vírgula 10 3 2 3 2 3 2" xfId="627" xr:uid="{B73AD2C5-4118-47B8-AC3C-07B933E0A421}"/>
    <cellStyle name="Vírgula 10 3 2 3 2 3 2 2" xfId="628" xr:uid="{D89205C5-E887-4EED-BAC5-521AD2A61425}"/>
    <cellStyle name="Vírgula 10 3 2 3 2 3 2 3" xfId="6528" xr:uid="{3D6D6257-8D34-48FE-9326-B42BC9E9CFCE}"/>
    <cellStyle name="Vírgula 10 3 2 3 2 3 3" xfId="629" xr:uid="{A689DB27-93E6-4F8B-8C26-E4CBDD87674D}"/>
    <cellStyle name="Vírgula 10 3 2 3 2 3 4" xfId="6527" xr:uid="{36DECAC0-75CA-4E0A-97D5-71711C3339D9}"/>
    <cellStyle name="Vírgula 10 3 2 3 2 4" xfId="630" xr:uid="{B8A80AE2-F82B-463A-A7A2-CB49EC2B2BFD}"/>
    <cellStyle name="Vírgula 10 3 2 3 2 4 2" xfId="631" xr:uid="{026729B6-FFB7-4CC9-B997-B8B5C9E31D1A}"/>
    <cellStyle name="Vírgula 10 3 2 3 2 4 3" xfId="6529" xr:uid="{97920C17-146C-48DB-8295-08E8A3960192}"/>
    <cellStyle name="Vírgula 10 3 2 3 2 5" xfId="632" xr:uid="{B5ACC254-4715-459D-BA20-EF580431771E}"/>
    <cellStyle name="Vírgula 10 3 2 3 2 6" xfId="6524" xr:uid="{329873BD-6F75-4FC1-9784-529936B92C41}"/>
    <cellStyle name="Vírgula 10 3 2 3 3" xfId="633" xr:uid="{A5BC65F8-C0F1-4AA2-80D4-1D2CDB6917E6}"/>
    <cellStyle name="Vírgula 10 3 2 3 3 2" xfId="634" xr:uid="{7CEA6FED-B662-4289-994E-92671749BFD9}"/>
    <cellStyle name="Vírgula 10 3 2 3 3 2 2" xfId="635" xr:uid="{DE7AFB73-578A-48EB-9D28-B2DC86494975}"/>
    <cellStyle name="Vírgula 10 3 2 3 3 2 3" xfId="6531" xr:uid="{876D442B-09AF-45F0-B4F0-853B0FE478A3}"/>
    <cellStyle name="Vírgula 10 3 2 3 3 3" xfId="636" xr:uid="{BCEDD29A-004B-4DA3-8067-556B776A1D02}"/>
    <cellStyle name="Vírgula 10 3 2 3 3 4" xfId="6530" xr:uid="{FB93863B-8727-4CA3-96EF-AC09399B3D59}"/>
    <cellStyle name="Vírgula 10 3 2 3 4" xfId="637" xr:uid="{BE91B0E4-3B16-44F0-83F1-A70E5265C6F1}"/>
    <cellStyle name="Vírgula 10 3 2 3 4 2" xfId="638" xr:uid="{64D3DAC0-6B2C-4A79-87DA-89B8FCB8FB8C}"/>
    <cellStyle name="Vírgula 10 3 2 3 4 2 2" xfId="639" xr:uid="{3FB47EA0-69BB-49F6-BE55-229F583ECE4B}"/>
    <cellStyle name="Vírgula 10 3 2 3 4 2 3" xfId="6533" xr:uid="{F118014D-E213-4B9D-97F2-EA5932F5F70C}"/>
    <cellStyle name="Vírgula 10 3 2 3 4 3" xfId="640" xr:uid="{17FB81BE-3350-49EC-B156-1A66931A1C36}"/>
    <cellStyle name="Vírgula 10 3 2 3 4 4" xfId="6532" xr:uid="{BD807E14-A683-4020-BB0E-6E72AD30EFE1}"/>
    <cellStyle name="Vírgula 10 3 2 3 5" xfId="641" xr:uid="{87E890BF-A347-4F5B-BB3A-7493EB46B797}"/>
    <cellStyle name="Vírgula 10 3 2 3 5 2" xfId="642" xr:uid="{CB0978E5-F57C-4775-BFE1-A606C6C2C32F}"/>
    <cellStyle name="Vírgula 10 3 2 3 5 3" xfId="6534" xr:uid="{4BB3DD0B-ABEE-4909-86CB-6E224417F022}"/>
    <cellStyle name="Vírgula 10 3 2 3 6" xfId="643" xr:uid="{6E98FF2A-A6D9-487A-B7A6-92A6E5DC466D}"/>
    <cellStyle name="Vírgula 10 3 2 3 7" xfId="6523" xr:uid="{6F534722-08F4-4FA5-BCA9-6B935785E62B}"/>
    <cellStyle name="Vírgula 10 3 2 4" xfId="644" xr:uid="{974D9FDE-F013-4AB2-A123-B46AF3BB503E}"/>
    <cellStyle name="Vírgula 10 3 2 4 2" xfId="645" xr:uid="{40683B90-F5B5-457A-B02E-FC8E46B93391}"/>
    <cellStyle name="Vírgula 10 3 2 4 2 2" xfId="646" xr:uid="{8EEBEC3A-F3DD-49BD-BBB7-E77241F51BB8}"/>
    <cellStyle name="Vírgula 10 3 2 4 2 2 2" xfId="647" xr:uid="{2E50C500-B332-4AEB-86ED-5D40D9504B09}"/>
    <cellStyle name="Vírgula 10 3 2 4 2 2 3" xfId="6537" xr:uid="{79BF40D1-5AD2-46F2-8B9C-8781C7F416AF}"/>
    <cellStyle name="Vírgula 10 3 2 4 2 3" xfId="648" xr:uid="{9DD1D38B-EAEA-416B-871F-96BCF7C8BF12}"/>
    <cellStyle name="Vírgula 10 3 2 4 2 4" xfId="6536" xr:uid="{2D59C5AA-ABA1-4A29-B0DF-FCE4990206EA}"/>
    <cellStyle name="Vírgula 10 3 2 4 3" xfId="649" xr:uid="{5E8C4A99-8A6B-4DD5-B54F-442C32DF355F}"/>
    <cellStyle name="Vírgula 10 3 2 4 3 2" xfId="650" xr:uid="{B8637593-A6DB-4442-BA30-9DE0415704B4}"/>
    <cellStyle name="Vírgula 10 3 2 4 3 2 2" xfId="651" xr:uid="{DDF62232-E537-4B82-9413-58FD9B58794D}"/>
    <cellStyle name="Vírgula 10 3 2 4 3 2 3" xfId="6539" xr:uid="{C42C9CEF-49DD-4B42-A47F-000001E9B52D}"/>
    <cellStyle name="Vírgula 10 3 2 4 3 3" xfId="652" xr:uid="{CD255A41-A7F2-4970-9BC7-A216026509C2}"/>
    <cellStyle name="Vírgula 10 3 2 4 3 4" xfId="6538" xr:uid="{EA725EC6-1475-4B02-B075-6A8BC42F2E08}"/>
    <cellStyle name="Vírgula 10 3 2 4 4" xfId="653" xr:uid="{4E207F5A-58F2-4B38-AB9F-8DFD6425B97B}"/>
    <cellStyle name="Vírgula 10 3 2 4 4 2" xfId="654" xr:uid="{F23E66D6-8401-4C64-84F5-E0B529A940A3}"/>
    <cellStyle name="Vírgula 10 3 2 4 4 3" xfId="6540" xr:uid="{7D0F9EAF-EE60-47E4-8B9A-E820DE030F48}"/>
    <cellStyle name="Vírgula 10 3 2 4 5" xfId="655" xr:uid="{06B084D3-1EDB-4D76-998C-E238EC349247}"/>
    <cellStyle name="Vírgula 10 3 2 4 6" xfId="6535" xr:uid="{F06DF4E3-EAB9-4F5A-92AB-4C69BB9AC789}"/>
    <cellStyle name="Vírgula 10 3 2 5" xfId="656" xr:uid="{FE5A0BC1-A22D-451F-A95E-1E1C4653F03E}"/>
    <cellStyle name="Vírgula 10 3 2 5 2" xfId="657" xr:uid="{6CFB3DBE-E1E1-4E72-B710-4B0FB2B7603A}"/>
    <cellStyle name="Vírgula 10 3 2 5 2 2" xfId="658" xr:uid="{0F4EE7D9-5E17-4351-965A-7DB313BD7218}"/>
    <cellStyle name="Vírgula 10 3 2 5 2 3" xfId="6542" xr:uid="{406149C0-E63D-4039-946A-434F6E660866}"/>
    <cellStyle name="Vírgula 10 3 2 5 3" xfId="659" xr:uid="{58D76F0A-A7A7-41AA-BC80-2D9BB625798E}"/>
    <cellStyle name="Vírgula 10 3 2 5 4" xfId="6541" xr:uid="{1FC74FE7-753A-4B43-A77D-5E3C3C2CB287}"/>
    <cellStyle name="Vírgula 10 3 2 6" xfId="660" xr:uid="{564A546A-72F3-4269-AD73-61AC0755E198}"/>
    <cellStyle name="Vírgula 10 3 2 6 2" xfId="661" xr:uid="{577A7DEC-57F4-4C27-B76B-4C6CAFFF7CC0}"/>
    <cellStyle name="Vírgula 10 3 2 6 2 2" xfId="662" xr:uid="{0D685CEA-2EFB-442B-BE92-0CB144A12C6F}"/>
    <cellStyle name="Vírgula 10 3 2 6 2 3" xfId="6544" xr:uid="{9E8AB3F4-ACD5-4273-A42A-7E7ABF220900}"/>
    <cellStyle name="Vírgula 10 3 2 6 3" xfId="663" xr:uid="{90B16CD1-7CAB-4097-B8AA-486D674DE68A}"/>
    <cellStyle name="Vírgula 10 3 2 6 4" xfId="6543" xr:uid="{2F49630F-4D2D-4B82-B2EE-098D5E423F2D}"/>
    <cellStyle name="Vírgula 10 3 2 7" xfId="664" xr:uid="{48D61DC2-8932-4A4E-8DC8-A5530C26A68D}"/>
    <cellStyle name="Vírgula 10 3 2 7 2" xfId="665" xr:uid="{36B8CEF4-07CA-42FF-8347-CC6CF391FEAF}"/>
    <cellStyle name="Vírgula 10 3 2 7 3" xfId="6545" xr:uid="{AA6C8BCF-89E7-4CD7-8CE8-DE277B6A46AA}"/>
    <cellStyle name="Vírgula 10 3 2 8" xfId="666" xr:uid="{53A7E15E-DA17-459B-85CF-B64BF9E09E03}"/>
    <cellStyle name="Vírgula 10 3 2 9" xfId="6510" xr:uid="{95543DEA-B3AA-4DF4-9DFC-DB8848B6D61D}"/>
    <cellStyle name="Vírgula 10 3 3" xfId="667" xr:uid="{6C9AC312-4123-4195-A6CF-24E48D487981}"/>
    <cellStyle name="Vírgula 10 3 3 2" xfId="668" xr:uid="{D298713F-2D9A-4381-AF97-6F6D8F26852F}"/>
    <cellStyle name="Vírgula 10 3 3 2 2" xfId="669" xr:uid="{13217C12-76A5-4191-B24C-8459591E0327}"/>
    <cellStyle name="Vírgula 10 3 3 2 2 2" xfId="670" xr:uid="{FB530B4F-40EB-47C4-A285-152CE0684F86}"/>
    <cellStyle name="Vírgula 10 3 3 2 2 2 2" xfId="671" xr:uid="{B6650959-1D79-4F23-8531-65EAFB1BE173}"/>
    <cellStyle name="Vírgula 10 3 3 2 2 2 2 2" xfId="672" xr:uid="{C400A8E4-FDCA-436D-A048-792C3ABF85C0}"/>
    <cellStyle name="Vírgula 10 3 3 2 2 2 2 3" xfId="6550" xr:uid="{B1279433-7262-4BDB-AECB-203F10618E30}"/>
    <cellStyle name="Vírgula 10 3 3 2 2 2 3" xfId="673" xr:uid="{185FF518-DB06-41ED-94F3-919B98B67BEA}"/>
    <cellStyle name="Vírgula 10 3 3 2 2 2 4" xfId="6549" xr:uid="{39594115-81B5-4F81-ACB5-BB7BDF76C7F2}"/>
    <cellStyle name="Vírgula 10 3 3 2 2 3" xfId="674" xr:uid="{376AD25D-01A3-4815-872E-AE0FAAAFC317}"/>
    <cellStyle name="Vírgula 10 3 3 2 2 3 2" xfId="675" xr:uid="{184ECB1B-57D5-48D8-A9AC-10D03F207E81}"/>
    <cellStyle name="Vírgula 10 3 3 2 2 3 2 2" xfId="676" xr:uid="{B1652887-538C-43E4-9980-3D9D3EE82D54}"/>
    <cellStyle name="Vírgula 10 3 3 2 2 3 2 3" xfId="6552" xr:uid="{E0D90824-A429-4C4F-8CCE-D7C79F319AE8}"/>
    <cellStyle name="Vírgula 10 3 3 2 2 3 3" xfId="677" xr:uid="{40566B23-FD87-4922-AF4F-A1E3E9A4DDF4}"/>
    <cellStyle name="Vírgula 10 3 3 2 2 3 4" xfId="6551" xr:uid="{23961DFA-9D49-4B2D-AD2E-8134F2AA4F60}"/>
    <cellStyle name="Vírgula 10 3 3 2 2 4" xfId="678" xr:uid="{A027EA0E-05D9-4A85-973C-9101AA06A245}"/>
    <cellStyle name="Vírgula 10 3 3 2 2 4 2" xfId="679" xr:uid="{718F0E08-D790-4648-BB07-1BC17B0ABC98}"/>
    <cellStyle name="Vírgula 10 3 3 2 2 4 3" xfId="6553" xr:uid="{8B315CF7-A0DF-481A-89AB-7878019B51DA}"/>
    <cellStyle name="Vírgula 10 3 3 2 2 5" xfId="680" xr:uid="{5FEE33D9-7ED1-412B-AD9B-285E79ED28E3}"/>
    <cellStyle name="Vírgula 10 3 3 2 2 6" xfId="6548" xr:uid="{60B4A8AE-840F-4D41-89BB-4E2AEA3B7251}"/>
    <cellStyle name="Vírgula 10 3 3 2 3" xfId="681" xr:uid="{CEA9156C-69E0-4960-BB95-7ECAFB5841E3}"/>
    <cellStyle name="Vírgula 10 3 3 2 3 2" xfId="682" xr:uid="{E49859B8-D8A6-4AF7-B4B9-DCBDB2BE1EFC}"/>
    <cellStyle name="Vírgula 10 3 3 2 3 2 2" xfId="683" xr:uid="{078B252E-535C-43F2-BEC0-A0A3F4CD8D75}"/>
    <cellStyle name="Vírgula 10 3 3 2 3 2 3" xfId="6555" xr:uid="{852AD852-BEF2-476B-9B7A-2CBE2DFF08D4}"/>
    <cellStyle name="Vírgula 10 3 3 2 3 3" xfId="684" xr:uid="{A6675231-2951-404B-B258-E8D3F5DBF662}"/>
    <cellStyle name="Vírgula 10 3 3 2 3 4" xfId="6554" xr:uid="{24083EF4-8438-432B-A76F-3B01739D17B0}"/>
    <cellStyle name="Vírgula 10 3 3 2 4" xfId="685" xr:uid="{3B913196-5F3F-4BD1-A709-2AED4D33C160}"/>
    <cellStyle name="Vírgula 10 3 3 2 4 2" xfId="686" xr:uid="{CF9F02E5-8E12-4E51-8AFA-9AC273396977}"/>
    <cellStyle name="Vírgula 10 3 3 2 4 2 2" xfId="687" xr:uid="{D22698A1-3EE6-4688-AC68-9708D9630DB5}"/>
    <cellStyle name="Vírgula 10 3 3 2 4 2 3" xfId="6557" xr:uid="{A3B58136-AFA0-474D-AA18-4AF13EB5C6CB}"/>
    <cellStyle name="Vírgula 10 3 3 2 4 3" xfId="688" xr:uid="{683BE0CC-3464-4E32-90A5-CECE66E1F652}"/>
    <cellStyle name="Vírgula 10 3 3 2 4 4" xfId="6556" xr:uid="{E060AC21-401A-4FD3-BCE0-D278025E84A0}"/>
    <cellStyle name="Vírgula 10 3 3 2 5" xfId="689" xr:uid="{F581350B-0010-463C-AD85-3B0D0553D3A1}"/>
    <cellStyle name="Vírgula 10 3 3 2 5 2" xfId="690" xr:uid="{F85F332B-F5DA-46F3-884F-60854756E132}"/>
    <cellStyle name="Vírgula 10 3 3 2 5 3" xfId="6558" xr:uid="{33A8C8B9-09CE-405C-A674-640A37EE1A16}"/>
    <cellStyle name="Vírgula 10 3 3 2 6" xfId="691" xr:uid="{9DDC8A21-0F1F-47F5-A606-D24D55A6FA46}"/>
    <cellStyle name="Vírgula 10 3 3 2 7" xfId="6547" xr:uid="{2F944055-2D60-4942-B763-831AD637F5C2}"/>
    <cellStyle name="Vírgula 10 3 3 3" xfId="692" xr:uid="{2251FE07-5BAE-4193-913E-1E8CD84CB3EC}"/>
    <cellStyle name="Vírgula 10 3 3 3 2" xfId="693" xr:uid="{1B519EFB-DF31-41A4-B5E1-2E5557086453}"/>
    <cellStyle name="Vírgula 10 3 3 3 2 2" xfId="694" xr:uid="{438A1212-563D-4F3C-BFE7-0061C933072A}"/>
    <cellStyle name="Vírgula 10 3 3 3 2 2 2" xfId="695" xr:uid="{7B6C327F-68CA-4B6B-9D1D-C15E5A0061E3}"/>
    <cellStyle name="Vírgula 10 3 3 3 2 2 2 2" xfId="696" xr:uid="{8F78247B-EAF1-4EA0-B6D1-A229945B06D6}"/>
    <cellStyle name="Vírgula 10 3 3 3 2 2 2 3" xfId="6562" xr:uid="{A8E91CA0-0E23-45A4-9F2C-25672E9F8F96}"/>
    <cellStyle name="Vírgula 10 3 3 3 2 2 3" xfId="697" xr:uid="{FB9B8E79-A72A-49FA-AECB-321FE133A2B7}"/>
    <cellStyle name="Vírgula 10 3 3 3 2 2 4" xfId="6561" xr:uid="{D40757FD-7CD5-4E78-A1B8-D6EDCCB98F0A}"/>
    <cellStyle name="Vírgula 10 3 3 3 2 3" xfId="698" xr:uid="{AFC4C4DF-1569-41F5-A91A-FBC8BC5F27FF}"/>
    <cellStyle name="Vírgula 10 3 3 3 2 3 2" xfId="699" xr:uid="{E5D5E422-C1CF-49F8-A77C-72CD49337A4B}"/>
    <cellStyle name="Vírgula 10 3 3 3 2 3 2 2" xfId="700" xr:uid="{65386AB1-BF7D-447E-A801-878137A53D41}"/>
    <cellStyle name="Vírgula 10 3 3 3 2 3 2 3" xfId="6564" xr:uid="{543FBB83-5A5C-485E-8B0B-63566A0220E2}"/>
    <cellStyle name="Vírgula 10 3 3 3 2 3 3" xfId="701" xr:uid="{5A92C5E6-D102-4889-BA5F-31125E6CE59F}"/>
    <cellStyle name="Vírgula 10 3 3 3 2 3 4" xfId="6563" xr:uid="{C77E3CFC-17A9-44BB-9B09-C99D361D10B9}"/>
    <cellStyle name="Vírgula 10 3 3 3 2 4" xfId="702" xr:uid="{33DEC192-CB5F-4D3B-B6E2-1DBC5ACF950A}"/>
    <cellStyle name="Vírgula 10 3 3 3 2 4 2" xfId="703" xr:uid="{627FFBEE-3656-4BEB-888C-0B80827EBC1C}"/>
    <cellStyle name="Vírgula 10 3 3 3 2 4 3" xfId="6565" xr:uid="{4954DC81-A560-40FB-80C2-D5CC263FCD46}"/>
    <cellStyle name="Vírgula 10 3 3 3 2 5" xfId="704" xr:uid="{3C71FDDD-3357-4741-A493-32F9CED88A7B}"/>
    <cellStyle name="Vírgula 10 3 3 3 2 6" xfId="6560" xr:uid="{19BB7F60-7C00-448E-A6E5-BD8FB572FF70}"/>
    <cellStyle name="Vírgula 10 3 3 3 3" xfId="705" xr:uid="{CC785963-50AB-414E-93D2-17104876BD29}"/>
    <cellStyle name="Vírgula 10 3 3 3 3 2" xfId="706" xr:uid="{A8D88390-A193-4842-BF33-6AA580B9947E}"/>
    <cellStyle name="Vírgula 10 3 3 3 3 2 2" xfId="707" xr:uid="{283F49F8-C3FC-4536-9512-A1F2B60E278D}"/>
    <cellStyle name="Vírgula 10 3 3 3 3 2 3" xfId="6567" xr:uid="{631E9F01-4B18-44C3-A8B2-7DB7AE60F6C7}"/>
    <cellStyle name="Vírgula 10 3 3 3 3 3" xfId="708" xr:uid="{FF0FE5A3-03A9-49AF-B697-B8F26AA20D92}"/>
    <cellStyle name="Vírgula 10 3 3 3 3 4" xfId="6566" xr:uid="{00EBD6F0-B71E-4FDA-91AD-086236A751A5}"/>
    <cellStyle name="Vírgula 10 3 3 3 4" xfId="709" xr:uid="{CEEC588A-A155-4E50-A823-F97350D6215D}"/>
    <cellStyle name="Vírgula 10 3 3 3 4 2" xfId="710" xr:uid="{8111960D-BB31-4DAB-AC1D-649C150CCC24}"/>
    <cellStyle name="Vírgula 10 3 3 3 4 2 2" xfId="711" xr:uid="{CB5C0B79-2FD9-4B09-9736-61F09BB49C98}"/>
    <cellStyle name="Vírgula 10 3 3 3 4 2 3" xfId="6569" xr:uid="{B54D83C4-D0AB-436C-888F-59C016DB7EDE}"/>
    <cellStyle name="Vírgula 10 3 3 3 4 3" xfId="712" xr:uid="{CCCA47F2-8A33-40DA-993B-6BBF6EB065AF}"/>
    <cellStyle name="Vírgula 10 3 3 3 4 4" xfId="6568" xr:uid="{D1EA700B-ACDD-4ABC-B98D-F786B286E54A}"/>
    <cellStyle name="Vírgula 10 3 3 3 5" xfId="713" xr:uid="{A249C054-7DA9-4FBA-AB4E-FD36A753D643}"/>
    <cellStyle name="Vírgula 10 3 3 3 5 2" xfId="714" xr:uid="{FE4D7D28-5007-41A9-96E9-66547D32BEC1}"/>
    <cellStyle name="Vírgula 10 3 3 3 5 3" xfId="6570" xr:uid="{40235053-88C6-4C69-AE75-F78118249510}"/>
    <cellStyle name="Vírgula 10 3 3 3 6" xfId="715" xr:uid="{87CA5D0A-05BC-4812-86AC-AD86522D638C}"/>
    <cellStyle name="Vírgula 10 3 3 3 7" xfId="6559" xr:uid="{E694BAB8-C97F-483A-A364-69463CE4509C}"/>
    <cellStyle name="Vírgula 10 3 3 4" xfId="716" xr:uid="{0C31229C-8E7B-4D69-A9BC-7CFF3541B4FA}"/>
    <cellStyle name="Vírgula 10 3 3 4 2" xfId="717" xr:uid="{0A383437-CC79-4F0E-833C-3F5AC45A8437}"/>
    <cellStyle name="Vírgula 10 3 3 4 2 2" xfId="718" xr:uid="{DF99D887-E243-45AF-98D6-70558F09FAF9}"/>
    <cellStyle name="Vírgula 10 3 3 4 2 2 2" xfId="719" xr:uid="{545B2EF5-DA86-4848-99B5-84166B00EA56}"/>
    <cellStyle name="Vírgula 10 3 3 4 2 2 3" xfId="6573" xr:uid="{748740A2-BFEC-4F34-B547-5E152448D9F5}"/>
    <cellStyle name="Vírgula 10 3 3 4 2 3" xfId="720" xr:uid="{EA55B5F2-38B5-4F1F-86B7-6DAD49826C40}"/>
    <cellStyle name="Vírgula 10 3 3 4 2 4" xfId="6572" xr:uid="{B16B5C92-1ED0-4CFB-8EE9-F54E72A0EE83}"/>
    <cellStyle name="Vírgula 10 3 3 4 3" xfId="721" xr:uid="{A6B0D2E4-C9DB-48F3-BE7C-5846853646D4}"/>
    <cellStyle name="Vírgula 10 3 3 4 3 2" xfId="722" xr:uid="{270E2E74-ABBD-421F-87C6-05CA7C92D83D}"/>
    <cellStyle name="Vírgula 10 3 3 4 3 2 2" xfId="723" xr:uid="{7142923B-CFA5-4AC8-9D51-FA5B92522AD2}"/>
    <cellStyle name="Vírgula 10 3 3 4 3 2 3" xfId="6575" xr:uid="{F25DDDE9-7C6D-42B1-9AA2-6818DEFE2FD2}"/>
    <cellStyle name="Vírgula 10 3 3 4 3 3" xfId="724" xr:uid="{1D6BF30D-B3F1-43F4-A872-C7C5194FC857}"/>
    <cellStyle name="Vírgula 10 3 3 4 3 4" xfId="6574" xr:uid="{3FC30303-227F-4E5B-8BF3-366ECF608FD4}"/>
    <cellStyle name="Vírgula 10 3 3 4 4" xfId="725" xr:uid="{A20F5DDD-5715-48CD-B45D-6E5848DC0AC7}"/>
    <cellStyle name="Vírgula 10 3 3 4 4 2" xfId="726" xr:uid="{C726A926-54F7-40FB-B682-BFC328C092B1}"/>
    <cellStyle name="Vírgula 10 3 3 4 4 3" xfId="6576" xr:uid="{4866B17B-D241-4D3D-9E11-F2129F812BCD}"/>
    <cellStyle name="Vírgula 10 3 3 4 5" xfId="727" xr:uid="{4EC771F3-5E21-4B64-8929-5EBD82CBE802}"/>
    <cellStyle name="Vírgula 10 3 3 4 6" xfId="6571" xr:uid="{9EA30ADA-423A-4696-A03F-7B0E2EFF844E}"/>
    <cellStyle name="Vírgula 10 3 3 5" xfId="728" xr:uid="{1033EF1B-79EE-40E5-860A-B1A6A7F55AB5}"/>
    <cellStyle name="Vírgula 10 3 3 5 2" xfId="729" xr:uid="{FC899EDF-8970-4CE3-AB7C-20ABA8D76931}"/>
    <cellStyle name="Vírgula 10 3 3 5 2 2" xfId="730" xr:uid="{0C7FA31B-87B7-4625-AF67-6437B2276EA3}"/>
    <cellStyle name="Vírgula 10 3 3 5 2 3" xfId="6578" xr:uid="{A3AF12A8-7CF6-407F-89B8-0438BB111B22}"/>
    <cellStyle name="Vírgula 10 3 3 5 3" xfId="731" xr:uid="{F368F25C-C643-4F44-A896-C496E77014B0}"/>
    <cellStyle name="Vírgula 10 3 3 5 4" xfId="6577" xr:uid="{4770DE4B-E0DB-410A-A733-847E7C7CE5D0}"/>
    <cellStyle name="Vírgula 10 3 3 6" xfId="732" xr:uid="{C1832B81-9A01-440D-A287-1A877C977FF2}"/>
    <cellStyle name="Vírgula 10 3 3 6 2" xfId="733" xr:uid="{A8A78CA8-2221-4287-A26C-3245A8C99B15}"/>
    <cellStyle name="Vírgula 10 3 3 6 2 2" xfId="734" xr:uid="{7DC0FF9B-6AD8-48AF-957E-88DD1D767FEE}"/>
    <cellStyle name="Vírgula 10 3 3 6 2 3" xfId="6580" xr:uid="{20494789-5607-4267-AA00-AD756371572D}"/>
    <cellStyle name="Vírgula 10 3 3 6 3" xfId="735" xr:uid="{130AD0FC-5131-490C-9E51-F26E5F60718E}"/>
    <cellStyle name="Vírgula 10 3 3 6 4" xfId="6579" xr:uid="{D6481058-ABCC-4022-91D1-E6368789D728}"/>
    <cellStyle name="Vírgula 10 3 3 7" xfId="736" xr:uid="{AB9F2208-A814-4E9D-A297-7A12D3118F0A}"/>
    <cellStyle name="Vírgula 10 3 3 7 2" xfId="737" xr:uid="{18F2F8C5-4084-4E2E-8DCB-71BD847E3693}"/>
    <cellStyle name="Vírgula 10 3 3 7 3" xfId="6581" xr:uid="{5AD9EDAE-E916-4849-9569-B170D24F677D}"/>
    <cellStyle name="Vírgula 10 3 3 8" xfId="738" xr:uid="{936F530E-F7E5-4B49-BF58-6BC44740AF77}"/>
    <cellStyle name="Vírgula 10 3 3 9" xfId="6546" xr:uid="{5F5185D4-CDF9-48F7-8669-87BC75FE4FED}"/>
    <cellStyle name="Vírgula 10 3 4" xfId="739" xr:uid="{73D98FBC-A427-4324-B2AF-8B9C53A6496C}"/>
    <cellStyle name="Vírgula 10 3 4 2" xfId="740" xr:uid="{E863B3AB-4E83-4034-AA9A-DCD7A73DE5CC}"/>
    <cellStyle name="Vírgula 10 3 4 2 2" xfId="741" xr:uid="{060B6BBF-9D8C-46DC-B345-1023D5148297}"/>
    <cellStyle name="Vírgula 10 3 4 2 2 2" xfId="742" xr:uid="{3FCC321E-3F00-4658-85F0-99E0C6E6B544}"/>
    <cellStyle name="Vírgula 10 3 4 2 2 2 2" xfId="743" xr:uid="{EFE03C37-F9CB-46BE-9A41-43A1D2F758AF}"/>
    <cellStyle name="Vírgula 10 3 4 2 2 2 2 2" xfId="744" xr:uid="{C3FCB4EA-CD4C-4D83-BBAB-41745AB935A0}"/>
    <cellStyle name="Vírgula 10 3 4 2 2 2 2 3" xfId="6586" xr:uid="{7A0F6E05-C967-42A8-9543-B60D77890D25}"/>
    <cellStyle name="Vírgula 10 3 4 2 2 2 3" xfId="745" xr:uid="{836EA94F-2F23-4C65-B908-FD8FB556F7CE}"/>
    <cellStyle name="Vírgula 10 3 4 2 2 2 4" xfId="6585" xr:uid="{1FF9E9EA-E5A7-4E03-BD5D-EF51029CADF7}"/>
    <cellStyle name="Vírgula 10 3 4 2 2 3" xfId="746" xr:uid="{E445792F-0F98-45E5-85ED-5379103FA454}"/>
    <cellStyle name="Vírgula 10 3 4 2 2 3 2" xfId="747" xr:uid="{FD5E1227-ACB2-4A37-A14B-B38BE9B9EADA}"/>
    <cellStyle name="Vírgula 10 3 4 2 2 3 2 2" xfId="748" xr:uid="{E2B23A3D-1EFB-456F-BF07-255973C64DCE}"/>
    <cellStyle name="Vírgula 10 3 4 2 2 3 2 3" xfId="6588" xr:uid="{332B6D24-DF91-429A-9E40-43FD5F33ACED}"/>
    <cellStyle name="Vírgula 10 3 4 2 2 3 3" xfId="749" xr:uid="{179AB945-9484-4409-9B5A-3979CADEA5E3}"/>
    <cellStyle name="Vírgula 10 3 4 2 2 3 4" xfId="6587" xr:uid="{4D083CF6-17AC-4444-85B1-6AB6A08BE703}"/>
    <cellStyle name="Vírgula 10 3 4 2 2 4" xfId="750" xr:uid="{886D7499-73C1-44B8-A70E-4237AF0C3459}"/>
    <cellStyle name="Vírgula 10 3 4 2 2 4 2" xfId="751" xr:uid="{EF52B238-A17F-45E9-8BA1-23B5A7EDA81A}"/>
    <cellStyle name="Vírgula 10 3 4 2 2 4 3" xfId="6589" xr:uid="{D42BE0D5-F289-45CC-8404-76C9BC5B43DA}"/>
    <cellStyle name="Vírgula 10 3 4 2 2 5" xfId="752" xr:uid="{EA64B303-DB47-41FC-8B1D-FA2C97B54A44}"/>
    <cellStyle name="Vírgula 10 3 4 2 2 6" xfId="6584" xr:uid="{E4806EF1-6B20-4B3E-83DA-45FFB327CE4E}"/>
    <cellStyle name="Vírgula 10 3 4 2 3" xfId="753" xr:uid="{7DAEA31C-4B10-42A7-A916-220FB99C751E}"/>
    <cellStyle name="Vírgula 10 3 4 2 3 2" xfId="754" xr:uid="{EAC41E93-95D5-4B1D-BF89-86728BDBEDBF}"/>
    <cellStyle name="Vírgula 10 3 4 2 3 2 2" xfId="755" xr:uid="{5F42FF93-CB61-4C51-8A18-FA89791501DD}"/>
    <cellStyle name="Vírgula 10 3 4 2 3 2 3" xfId="6591" xr:uid="{0C707082-E3F6-4502-9D4F-3E1D90FC72B1}"/>
    <cellStyle name="Vírgula 10 3 4 2 3 3" xfId="756" xr:uid="{A18DE0E1-905C-4BEB-AFFE-48D9A3E8F560}"/>
    <cellStyle name="Vírgula 10 3 4 2 3 4" xfId="6590" xr:uid="{EF102F1F-6A06-4195-B817-9E62BB074A95}"/>
    <cellStyle name="Vírgula 10 3 4 2 4" xfId="757" xr:uid="{F2DC8504-C2E5-4AEE-B3D7-D003B9F72BEF}"/>
    <cellStyle name="Vírgula 10 3 4 2 4 2" xfId="758" xr:uid="{A9DEFC74-1FF3-4B96-BA9B-14A765FBF732}"/>
    <cellStyle name="Vírgula 10 3 4 2 4 2 2" xfId="759" xr:uid="{6A577245-3BD0-4C69-AB02-F463CCF93968}"/>
    <cellStyle name="Vírgula 10 3 4 2 4 2 3" xfId="6593" xr:uid="{991942C6-3D63-4A2F-B515-F0D93FA4D258}"/>
    <cellStyle name="Vírgula 10 3 4 2 4 3" xfId="760" xr:uid="{368A9EB3-2E5E-4642-BEAF-40B9CB4C3615}"/>
    <cellStyle name="Vírgula 10 3 4 2 4 4" xfId="6592" xr:uid="{A07E75DB-45F8-4249-A275-CC9B9884413E}"/>
    <cellStyle name="Vírgula 10 3 4 2 5" xfId="761" xr:uid="{76553ABB-D0AF-489D-972A-C58DA651D959}"/>
    <cellStyle name="Vírgula 10 3 4 2 5 2" xfId="762" xr:uid="{872C7C5C-8F74-474A-BC52-70CF7A668BD9}"/>
    <cellStyle name="Vírgula 10 3 4 2 5 3" xfId="6594" xr:uid="{620E2731-38EC-4458-8738-128AD7525FC2}"/>
    <cellStyle name="Vírgula 10 3 4 2 6" xfId="763" xr:uid="{DF0B243A-4B31-44AA-9814-02A3C47E54AB}"/>
    <cellStyle name="Vírgula 10 3 4 2 7" xfId="6583" xr:uid="{C5C29765-3A23-4E9B-8E93-87291A80450D}"/>
    <cellStyle name="Vírgula 10 3 4 3" xfId="764" xr:uid="{A40F35A5-D6A5-4E60-855F-BD7011C39324}"/>
    <cellStyle name="Vírgula 10 3 4 3 2" xfId="765" xr:uid="{CEC277F8-F5A8-4C3F-9D17-A17CDB626F16}"/>
    <cellStyle name="Vírgula 10 3 4 3 2 2" xfId="766" xr:uid="{7FEDDB1B-22FC-4D69-BAA6-7D335BCC0C74}"/>
    <cellStyle name="Vírgula 10 3 4 3 2 2 2" xfId="767" xr:uid="{F6DDEAD0-EF4B-45B2-B05E-DC8AD7C697DB}"/>
    <cellStyle name="Vírgula 10 3 4 3 2 2 2 2" xfId="768" xr:uid="{D5F8D3AF-EE8C-4089-83D7-3516A70448B2}"/>
    <cellStyle name="Vírgula 10 3 4 3 2 2 2 3" xfId="6598" xr:uid="{FB8A69AB-7DC7-4C9F-A2C3-086C4B5E8164}"/>
    <cellStyle name="Vírgula 10 3 4 3 2 2 3" xfId="769" xr:uid="{91916B81-4C69-4B6E-BFCF-4DC35E44ACCE}"/>
    <cellStyle name="Vírgula 10 3 4 3 2 2 4" xfId="6597" xr:uid="{139F155A-2F54-4D31-89E4-45BF7CB0C8D6}"/>
    <cellStyle name="Vírgula 10 3 4 3 2 3" xfId="770" xr:uid="{7402A882-7005-4FBB-8472-D888EC812E6B}"/>
    <cellStyle name="Vírgula 10 3 4 3 2 3 2" xfId="771" xr:uid="{74DE61C3-02C9-4BE3-971C-C34430708A51}"/>
    <cellStyle name="Vírgula 10 3 4 3 2 3 2 2" xfId="772" xr:uid="{97762158-4DBB-408E-BB2C-7AFB2488ED3D}"/>
    <cellStyle name="Vírgula 10 3 4 3 2 3 2 3" xfId="6600" xr:uid="{CBAF38C7-BF81-4803-9475-B663C0D8C0FA}"/>
    <cellStyle name="Vírgula 10 3 4 3 2 3 3" xfId="773" xr:uid="{94A6D7DC-39D5-4F65-8AA7-47FD5421DC91}"/>
    <cellStyle name="Vírgula 10 3 4 3 2 3 4" xfId="6599" xr:uid="{7E535E2B-54B6-4C42-AC28-3D0143D031DF}"/>
    <cellStyle name="Vírgula 10 3 4 3 2 4" xfId="774" xr:uid="{D52A5CEF-A7B7-4FAA-8BF7-274E15730282}"/>
    <cellStyle name="Vírgula 10 3 4 3 2 4 2" xfId="775" xr:uid="{8FF5C2BA-4D88-4C24-BFA2-B59FA4D429DE}"/>
    <cellStyle name="Vírgula 10 3 4 3 2 4 3" xfId="6601" xr:uid="{DCD75B10-DA28-4391-AA74-51F5E395BF28}"/>
    <cellStyle name="Vírgula 10 3 4 3 2 5" xfId="776" xr:uid="{83FA9287-6962-4866-8247-CE3205D81A17}"/>
    <cellStyle name="Vírgula 10 3 4 3 2 6" xfId="6596" xr:uid="{B54041BD-C5B8-4316-BBA4-3D519822BFBF}"/>
    <cellStyle name="Vírgula 10 3 4 3 3" xfId="777" xr:uid="{2CB55F8B-5695-4973-AE31-14E8A61BD293}"/>
    <cellStyle name="Vírgula 10 3 4 3 3 2" xfId="778" xr:uid="{CBACF574-326D-4506-8929-83DD52A74B9B}"/>
    <cellStyle name="Vírgula 10 3 4 3 3 2 2" xfId="779" xr:uid="{86E32A12-98DC-4F77-AD21-791A31D0D7FE}"/>
    <cellStyle name="Vírgula 10 3 4 3 3 2 3" xfId="6603" xr:uid="{5738B52E-074D-46A4-889D-A15B01D3C022}"/>
    <cellStyle name="Vírgula 10 3 4 3 3 3" xfId="780" xr:uid="{08643E3A-20D7-4EB5-A2A1-B50391AAD63C}"/>
    <cellStyle name="Vírgula 10 3 4 3 3 4" xfId="6602" xr:uid="{B0E2C991-1C7E-461F-A735-635ABC6A5E09}"/>
    <cellStyle name="Vírgula 10 3 4 3 4" xfId="781" xr:uid="{AA67B328-193A-460F-A1E7-2F816ED4B76B}"/>
    <cellStyle name="Vírgula 10 3 4 3 4 2" xfId="782" xr:uid="{6C03FE14-6746-4AD6-A405-0AB027CD50FD}"/>
    <cellStyle name="Vírgula 10 3 4 3 4 2 2" xfId="783" xr:uid="{574CA6EA-0068-4471-ACAD-43D511DF4F32}"/>
    <cellStyle name="Vírgula 10 3 4 3 4 2 3" xfId="6605" xr:uid="{14EDBD70-C11A-4158-AE61-64EC46B9D803}"/>
    <cellStyle name="Vírgula 10 3 4 3 4 3" xfId="784" xr:uid="{A6FC04C4-340F-45D8-959D-C2CD304E9E2E}"/>
    <cellStyle name="Vírgula 10 3 4 3 4 4" xfId="6604" xr:uid="{6556BB60-C609-4FC6-B778-68515E727A3D}"/>
    <cellStyle name="Vírgula 10 3 4 3 5" xfId="785" xr:uid="{5B7BB229-AA1E-4A86-A2FB-F1ECD8ACC325}"/>
    <cellStyle name="Vírgula 10 3 4 3 5 2" xfId="786" xr:uid="{BBA4C219-E41E-4159-BAB7-FC93D86FC49E}"/>
    <cellStyle name="Vírgula 10 3 4 3 5 3" xfId="6606" xr:uid="{EA43B6C4-05FC-4798-B0DE-FB349B5BCC3C}"/>
    <cellStyle name="Vírgula 10 3 4 3 6" xfId="787" xr:uid="{0388B3B7-3DD3-4283-A019-DE0C08BE7138}"/>
    <cellStyle name="Vírgula 10 3 4 3 7" xfId="6595" xr:uid="{AC81A7ED-066D-428B-B6B4-C322955C4A3F}"/>
    <cellStyle name="Vírgula 10 3 4 4" xfId="788" xr:uid="{2968D0E1-6114-4785-8FEB-4406CB0D42EE}"/>
    <cellStyle name="Vírgula 10 3 4 4 2" xfId="789" xr:uid="{304378C7-848A-4839-842D-3B3C6B9E7F46}"/>
    <cellStyle name="Vírgula 10 3 4 4 2 2" xfId="790" xr:uid="{B01FFEAA-FF64-4CA4-A74C-64664DA85008}"/>
    <cellStyle name="Vírgula 10 3 4 4 2 2 2" xfId="791" xr:uid="{AEF20BB6-20EE-4DCC-A17B-23A51546A1B4}"/>
    <cellStyle name="Vírgula 10 3 4 4 2 2 3" xfId="6609" xr:uid="{871A7F9C-AB88-4DF0-8CDB-7497546921D2}"/>
    <cellStyle name="Vírgula 10 3 4 4 2 3" xfId="792" xr:uid="{F18C4FA7-E6A6-4134-B989-D9603A4CB95A}"/>
    <cellStyle name="Vírgula 10 3 4 4 2 4" xfId="6608" xr:uid="{5D77916C-17E8-44AE-BDCC-94827575C051}"/>
    <cellStyle name="Vírgula 10 3 4 4 3" xfId="793" xr:uid="{332A9BFA-7C28-4F63-B3E4-C11ACAC85389}"/>
    <cellStyle name="Vírgula 10 3 4 4 3 2" xfId="794" xr:uid="{2CE8FAB7-F18B-419C-BB06-F99C1BCEF2FC}"/>
    <cellStyle name="Vírgula 10 3 4 4 3 2 2" xfId="795" xr:uid="{EB31B226-F762-4CF4-98ED-93FDA70178D5}"/>
    <cellStyle name="Vírgula 10 3 4 4 3 2 3" xfId="6611" xr:uid="{27EBA48A-615A-4D5B-B50D-21060EBA1EE2}"/>
    <cellStyle name="Vírgula 10 3 4 4 3 3" xfId="796" xr:uid="{63B61DFA-F74F-44FE-A4AF-C16062B6657C}"/>
    <cellStyle name="Vírgula 10 3 4 4 3 4" xfId="6610" xr:uid="{6D3D2C1E-DB3E-4DC8-BD01-B2E4042D5F89}"/>
    <cellStyle name="Vírgula 10 3 4 4 4" xfId="797" xr:uid="{C5A14CF9-8121-4EFE-9B6C-C3D1EAA8472C}"/>
    <cellStyle name="Vírgula 10 3 4 4 4 2" xfId="798" xr:uid="{7EF97462-AD6D-4BC9-A0FC-C7959033B996}"/>
    <cellStyle name="Vírgula 10 3 4 4 4 3" xfId="6612" xr:uid="{5003939A-8140-4029-AA35-C25F34A9A291}"/>
    <cellStyle name="Vírgula 10 3 4 4 5" xfId="799" xr:uid="{270882DE-264B-4DF7-BCB0-BCE776B5A622}"/>
    <cellStyle name="Vírgula 10 3 4 4 6" xfId="6607" xr:uid="{71437919-DD15-4826-B5AE-86FB1C3FBEDC}"/>
    <cellStyle name="Vírgula 10 3 4 5" xfId="800" xr:uid="{B6465A04-BB30-4E3A-B61B-90340BD75768}"/>
    <cellStyle name="Vírgula 10 3 4 5 2" xfId="801" xr:uid="{819D6793-697D-4213-AAE0-101D89B47E85}"/>
    <cellStyle name="Vírgula 10 3 4 5 2 2" xfId="802" xr:uid="{916E87A4-B9F6-41F7-BE58-00210874D02C}"/>
    <cellStyle name="Vírgula 10 3 4 5 2 3" xfId="6614" xr:uid="{BB47462E-A05F-4453-8EBA-6A69D92E7BBE}"/>
    <cellStyle name="Vírgula 10 3 4 5 3" xfId="803" xr:uid="{4876B07C-70AF-4CA4-A108-E70A44EE3DAA}"/>
    <cellStyle name="Vírgula 10 3 4 5 4" xfId="6613" xr:uid="{EF97F1EA-F431-44D5-A84A-915130771154}"/>
    <cellStyle name="Vírgula 10 3 4 6" xfId="804" xr:uid="{BDA6B1CC-E2C1-4BB9-BB1B-C83EE09BA1C2}"/>
    <cellStyle name="Vírgula 10 3 4 6 2" xfId="805" xr:uid="{DDDC7DF8-0B5F-48B4-80D8-D5D0B9DAC23D}"/>
    <cellStyle name="Vírgula 10 3 4 6 2 2" xfId="806" xr:uid="{C788E30B-07F6-43FE-A4D8-2BBAE133D119}"/>
    <cellStyle name="Vírgula 10 3 4 6 2 3" xfId="6616" xr:uid="{DC8EC770-B6B6-4E24-B01B-FCEA622DB0A8}"/>
    <cellStyle name="Vírgula 10 3 4 6 3" xfId="807" xr:uid="{DBC3C749-79FC-42F5-AEC7-41D874937539}"/>
    <cellStyle name="Vírgula 10 3 4 6 4" xfId="6615" xr:uid="{ED09C22F-6E14-4331-8520-61E58E2DDC0F}"/>
    <cellStyle name="Vírgula 10 3 4 7" xfId="808" xr:uid="{9F630EE9-F007-4BB7-B237-3ABD5584BDE9}"/>
    <cellStyle name="Vírgula 10 3 4 7 2" xfId="809" xr:uid="{74FBA8F0-94AF-4E24-92C7-7E941595BD9D}"/>
    <cellStyle name="Vírgula 10 3 4 7 3" xfId="6617" xr:uid="{A8658425-0AE3-4B62-8783-A14F9017BFC4}"/>
    <cellStyle name="Vírgula 10 3 4 8" xfId="810" xr:uid="{16CD134E-56BA-46CD-AFAE-E671043A694D}"/>
    <cellStyle name="Vírgula 10 3 4 9" xfId="6582" xr:uid="{B1355FA2-84A6-4D81-9D3B-FD6323F4C70E}"/>
    <cellStyle name="Vírgula 10 3 5" xfId="811" xr:uid="{2504D088-2A6E-4E5A-9F0D-22BEE7CC8BCD}"/>
    <cellStyle name="Vírgula 10 3 5 2" xfId="812" xr:uid="{53419E6E-F474-4CC9-8389-6EE443141802}"/>
    <cellStyle name="Vírgula 10 3 5 2 2" xfId="813" xr:uid="{978163E3-DAA7-4297-8295-539E58702EC7}"/>
    <cellStyle name="Vírgula 10 3 5 2 2 2" xfId="814" xr:uid="{58227188-32D4-440B-8259-F63F84FFE6C2}"/>
    <cellStyle name="Vírgula 10 3 5 2 2 2 2" xfId="815" xr:uid="{512A7A3B-1777-4AD6-95AD-22A097BCECEB}"/>
    <cellStyle name="Vírgula 10 3 5 2 2 2 3" xfId="6621" xr:uid="{E42C7830-39B5-4994-9B47-B80C532DEDA4}"/>
    <cellStyle name="Vírgula 10 3 5 2 2 3" xfId="816" xr:uid="{CC084E65-B778-4FAF-9E15-027C98B98F7B}"/>
    <cellStyle name="Vírgula 10 3 5 2 2 4" xfId="6620" xr:uid="{83FE2177-B25E-4B80-97C7-37B8C117AEDC}"/>
    <cellStyle name="Vírgula 10 3 5 2 3" xfId="817" xr:uid="{AB229818-0421-4796-B377-E4D340BAFE14}"/>
    <cellStyle name="Vírgula 10 3 5 2 3 2" xfId="818" xr:uid="{FCA30FDF-7F7A-4522-AE33-9591C1028446}"/>
    <cellStyle name="Vírgula 10 3 5 2 3 2 2" xfId="819" xr:uid="{7D034D84-CD70-4BCA-B929-1C78F8C5B850}"/>
    <cellStyle name="Vírgula 10 3 5 2 3 2 3" xfId="6623" xr:uid="{0E28F1BB-ABB8-4358-BEB3-CDD81ECD56FA}"/>
    <cellStyle name="Vírgula 10 3 5 2 3 3" xfId="820" xr:uid="{3000E89E-BE66-4DE1-95D3-EF6BA58BBDDD}"/>
    <cellStyle name="Vírgula 10 3 5 2 3 4" xfId="6622" xr:uid="{2518048D-21F9-43B3-B705-A24A0A6E93CE}"/>
    <cellStyle name="Vírgula 10 3 5 2 4" xfId="821" xr:uid="{6663AF2D-0709-4AD0-A2BE-38EA58787276}"/>
    <cellStyle name="Vírgula 10 3 5 2 4 2" xfId="822" xr:uid="{D5FFD347-718B-48DA-B517-02E772827FDB}"/>
    <cellStyle name="Vírgula 10 3 5 2 4 3" xfId="6624" xr:uid="{766BC378-A281-4CDF-B153-8BFEC1E29351}"/>
    <cellStyle name="Vírgula 10 3 5 2 5" xfId="823" xr:uid="{37917690-C50B-49E7-A0E0-A0388F1FF2BB}"/>
    <cellStyle name="Vírgula 10 3 5 2 6" xfId="6619" xr:uid="{863A73A3-0B37-4222-B386-4769923BDAE0}"/>
    <cellStyle name="Vírgula 10 3 5 3" xfId="824" xr:uid="{BA659A8D-BCB4-4325-972E-D9890A49D8D2}"/>
    <cellStyle name="Vírgula 10 3 5 3 2" xfId="825" xr:uid="{5EAEFCE2-AE98-4523-89B0-3918395BAB0F}"/>
    <cellStyle name="Vírgula 10 3 5 3 2 2" xfId="826" xr:uid="{7299ED16-1B7C-42DC-A248-5AB0FBFFCCC0}"/>
    <cellStyle name="Vírgula 10 3 5 3 2 3" xfId="6626" xr:uid="{649C2DA7-45A4-4874-8EAF-A3871E0E61EF}"/>
    <cellStyle name="Vírgula 10 3 5 3 3" xfId="827" xr:uid="{D5C88A8C-044E-41F3-8FF2-749AA0F97B2E}"/>
    <cellStyle name="Vírgula 10 3 5 3 4" xfId="6625" xr:uid="{D1E2C66D-6F3B-45DA-960A-329829D39D16}"/>
    <cellStyle name="Vírgula 10 3 5 4" xfId="828" xr:uid="{9D3975EB-AB35-49B7-8BAC-D95FAAFBE26F}"/>
    <cellStyle name="Vírgula 10 3 5 4 2" xfId="829" xr:uid="{EA6BFD9C-ADBD-46B2-9D06-ECFE24270AFC}"/>
    <cellStyle name="Vírgula 10 3 5 4 2 2" xfId="830" xr:uid="{8388EA8E-0375-4604-9800-964A22A60850}"/>
    <cellStyle name="Vírgula 10 3 5 4 2 3" xfId="6628" xr:uid="{1127E981-6316-4A8E-8CAF-B3DEDA397050}"/>
    <cellStyle name="Vírgula 10 3 5 4 3" xfId="831" xr:uid="{632DC80E-3F58-4777-9F16-09195F652ADF}"/>
    <cellStyle name="Vírgula 10 3 5 4 4" xfId="6627" xr:uid="{D35CC9A9-487D-4B3D-B42A-B85F523F91EA}"/>
    <cellStyle name="Vírgula 10 3 5 5" xfId="832" xr:uid="{06955243-6FA2-4001-9495-FA61A0AEE897}"/>
    <cellStyle name="Vírgula 10 3 5 5 2" xfId="833" xr:uid="{E26E1EEE-8425-4A2F-AD94-E86D99ACB62E}"/>
    <cellStyle name="Vírgula 10 3 5 5 3" xfId="6629" xr:uid="{C0FC7278-44D5-4B5E-B115-F6CCA5242C23}"/>
    <cellStyle name="Vírgula 10 3 5 6" xfId="834" xr:uid="{8D7910A5-BB8F-46F3-8225-9B5BC70A7949}"/>
    <cellStyle name="Vírgula 10 3 5 7" xfId="6618" xr:uid="{3139D542-99AD-445F-8A5B-75B86035DA8D}"/>
    <cellStyle name="Vírgula 10 3 6" xfId="835" xr:uid="{63F6DA0D-B749-4584-AE67-2261B0C204AB}"/>
    <cellStyle name="Vírgula 10 3 6 2" xfId="836" xr:uid="{868C442B-94CF-4F9A-9824-55BB2718991E}"/>
    <cellStyle name="Vírgula 10 3 6 2 2" xfId="837" xr:uid="{819A884F-3E52-41AA-9914-896AA5A47135}"/>
    <cellStyle name="Vírgula 10 3 6 2 2 2" xfId="838" xr:uid="{44D239DB-4F4F-4E21-9474-05C4D4103787}"/>
    <cellStyle name="Vírgula 10 3 6 2 2 2 2" xfId="839" xr:uid="{91DEC75A-5482-446E-965B-6C60B1B2730A}"/>
    <cellStyle name="Vírgula 10 3 6 2 2 2 3" xfId="6633" xr:uid="{1A1811B8-25BD-49CA-8CDB-DA77E8E095B2}"/>
    <cellStyle name="Vírgula 10 3 6 2 2 3" xfId="840" xr:uid="{1F29F1D9-5D2E-4B05-98B7-D8E59AFA0296}"/>
    <cellStyle name="Vírgula 10 3 6 2 2 4" xfId="6632" xr:uid="{A3E8EF09-AFAF-49D1-A8D0-04BC2BB0C90A}"/>
    <cellStyle name="Vírgula 10 3 6 2 3" xfId="841" xr:uid="{D5FE63F8-10AC-49CE-9DB4-299CA589E5A3}"/>
    <cellStyle name="Vírgula 10 3 6 2 3 2" xfId="842" xr:uid="{03460F99-924B-48F6-9C45-9DE3745FBE69}"/>
    <cellStyle name="Vírgula 10 3 6 2 3 2 2" xfId="843" xr:uid="{F6600C25-FD07-415F-B8F6-75E50C677227}"/>
    <cellStyle name="Vírgula 10 3 6 2 3 2 3" xfId="6635" xr:uid="{218D95A8-DE57-480B-9248-7035B2D7DCBE}"/>
    <cellStyle name="Vírgula 10 3 6 2 3 3" xfId="844" xr:uid="{95AC6F9B-3812-40C6-A395-3F8E36ED9E52}"/>
    <cellStyle name="Vírgula 10 3 6 2 3 4" xfId="6634" xr:uid="{C4CDF561-F0FC-4A8D-9413-AB4792AE81FD}"/>
    <cellStyle name="Vírgula 10 3 6 2 4" xfId="845" xr:uid="{01B4B5ED-064D-4476-896C-9932C443CD47}"/>
    <cellStyle name="Vírgula 10 3 6 2 4 2" xfId="846" xr:uid="{46DA357B-9DB2-4E4B-827D-CDE4061F49FC}"/>
    <cellStyle name="Vírgula 10 3 6 2 4 3" xfId="6636" xr:uid="{75BC43CE-01EC-4C61-B0FC-FB59ABB317B6}"/>
    <cellStyle name="Vírgula 10 3 6 2 5" xfId="847" xr:uid="{41FB5F13-5C4A-427A-81BE-32B21832183B}"/>
    <cellStyle name="Vírgula 10 3 6 2 6" xfId="6631" xr:uid="{92D5EB64-7241-4991-B073-BFE3142856C3}"/>
    <cellStyle name="Vírgula 10 3 6 3" xfId="848" xr:uid="{35F464E6-DD3D-4F75-8012-9CA44971536D}"/>
    <cellStyle name="Vírgula 10 3 6 3 2" xfId="849" xr:uid="{98702AD2-A2AB-4C9C-957D-CDFCFDC3FF53}"/>
    <cellStyle name="Vírgula 10 3 6 3 2 2" xfId="850" xr:uid="{E17055B7-722D-4601-905C-9473B8DD3A44}"/>
    <cellStyle name="Vírgula 10 3 6 3 2 3" xfId="6638" xr:uid="{B6D93448-DE5D-41A4-8459-B8AB4F3AC596}"/>
    <cellStyle name="Vírgula 10 3 6 3 3" xfId="851" xr:uid="{978B89F8-9A0D-4B36-9F82-BCB1E8D67D16}"/>
    <cellStyle name="Vírgula 10 3 6 3 4" xfId="6637" xr:uid="{ED185C48-2CB4-4678-ACDF-726D5EF45D4D}"/>
    <cellStyle name="Vírgula 10 3 6 4" xfId="852" xr:uid="{D506ED4F-BC7E-499D-B250-8CC4ADD9A048}"/>
    <cellStyle name="Vírgula 10 3 6 4 2" xfId="853" xr:uid="{09C96803-24B8-463C-B2E5-767F496C31F6}"/>
    <cellStyle name="Vírgula 10 3 6 4 2 2" xfId="854" xr:uid="{4375B0AC-A8EE-442D-B878-C4C9BD453327}"/>
    <cellStyle name="Vírgula 10 3 6 4 2 3" xfId="6640" xr:uid="{2396ADD0-E49A-4605-A4B1-502AEDA8CF41}"/>
    <cellStyle name="Vírgula 10 3 6 4 3" xfId="855" xr:uid="{5A7A5F2F-CBD4-489C-BE74-1D52E64E1CA2}"/>
    <cellStyle name="Vírgula 10 3 6 4 4" xfId="6639" xr:uid="{4B9BF80B-17DF-49D5-8095-F15E4B6521BF}"/>
    <cellStyle name="Vírgula 10 3 6 5" xfId="856" xr:uid="{C9C9B3DF-C357-4347-B520-B838DB00DBC1}"/>
    <cellStyle name="Vírgula 10 3 6 5 2" xfId="857" xr:uid="{D1A84A56-10E3-4CBC-97AD-67DA9219C773}"/>
    <cellStyle name="Vírgula 10 3 6 5 3" xfId="6641" xr:uid="{5C1A13BA-E5A5-493C-B2D2-3FD52F700BFD}"/>
    <cellStyle name="Vírgula 10 3 6 6" xfId="858" xr:uid="{5400B6AA-389A-49CB-94EC-FF557A36A41F}"/>
    <cellStyle name="Vírgula 10 3 6 7" xfId="6630" xr:uid="{8889F36B-CDA7-40FD-A2DA-9AF0AF75D356}"/>
    <cellStyle name="Vírgula 10 3 7" xfId="859" xr:uid="{DE8627E5-209F-4E01-B798-9D4DE40528AC}"/>
    <cellStyle name="Vírgula 10 3 7 2" xfId="860" xr:uid="{BEB62F9D-7379-4873-83D6-3E2124D73A8A}"/>
    <cellStyle name="Vírgula 10 3 7 2 2" xfId="861" xr:uid="{8B5D856B-5856-4944-9A3E-C6AE7546C147}"/>
    <cellStyle name="Vírgula 10 3 7 2 2 2" xfId="862" xr:uid="{B2016832-B254-421F-AA44-E084A7FAB168}"/>
    <cellStyle name="Vírgula 10 3 7 2 2 3" xfId="6644" xr:uid="{3FC99B61-00D3-4215-928B-4D420BAD3F27}"/>
    <cellStyle name="Vírgula 10 3 7 2 3" xfId="863" xr:uid="{156EA4BA-506E-4AFC-8F8F-095C3B48AFD7}"/>
    <cellStyle name="Vírgula 10 3 7 2 4" xfId="6643" xr:uid="{A6FC5DA7-F6D0-449A-95A8-763C80360D20}"/>
    <cellStyle name="Vírgula 10 3 7 3" xfId="864" xr:uid="{BF47CA39-67A0-41FF-AB5D-74ADA4D2820C}"/>
    <cellStyle name="Vírgula 10 3 7 3 2" xfId="865" xr:uid="{4D36E032-226B-4D30-9381-A8DA30C9BF9E}"/>
    <cellStyle name="Vírgula 10 3 7 3 2 2" xfId="866" xr:uid="{3D677AF0-7B8B-4FAE-9873-D97EF338ADB8}"/>
    <cellStyle name="Vírgula 10 3 7 3 2 3" xfId="6646" xr:uid="{B0D83767-B11E-4101-934E-45776089C3FD}"/>
    <cellStyle name="Vírgula 10 3 7 3 3" xfId="867" xr:uid="{98B80250-AF7C-48AF-A927-19BB9C8C9786}"/>
    <cellStyle name="Vírgula 10 3 7 3 4" xfId="6645" xr:uid="{3F3B2F9B-C751-46AD-8950-82B823FF33A8}"/>
    <cellStyle name="Vírgula 10 3 7 4" xfId="868" xr:uid="{08C4171D-3F00-4FA9-8E95-BEC2F7B5FFBB}"/>
    <cellStyle name="Vírgula 10 3 7 4 2" xfId="869" xr:uid="{B06C2E33-7352-4778-8451-BEEFF0B8F4D7}"/>
    <cellStyle name="Vírgula 10 3 7 4 3" xfId="6647" xr:uid="{D200B569-4560-40AF-B1C1-29F56BC20F04}"/>
    <cellStyle name="Vírgula 10 3 7 5" xfId="870" xr:uid="{86494148-C264-4BD8-88BC-29889B0B967B}"/>
    <cellStyle name="Vírgula 10 3 7 6" xfId="6642" xr:uid="{7C72BE50-21B8-4925-844F-13773108BD29}"/>
    <cellStyle name="Vírgula 10 3 8" xfId="871" xr:uid="{6F58C4A0-2B1F-4D5D-AE04-81846615D2FD}"/>
    <cellStyle name="Vírgula 10 3 8 2" xfId="872" xr:uid="{CA535400-5D5E-47A8-9220-28481C837699}"/>
    <cellStyle name="Vírgula 10 3 8 2 2" xfId="873" xr:uid="{C5AAF7D5-A3ED-4188-AE00-7619D0150587}"/>
    <cellStyle name="Vírgula 10 3 8 2 3" xfId="6649" xr:uid="{E5CD23E8-F37E-449E-A8A5-3667D6F881D4}"/>
    <cellStyle name="Vírgula 10 3 8 3" xfId="874" xr:uid="{AF9487C2-2180-4F8D-9D54-FD17DDB7DE8F}"/>
    <cellStyle name="Vírgula 10 3 8 4" xfId="6648" xr:uid="{158F4579-48A0-437E-981E-12D601C3FF83}"/>
    <cellStyle name="Vírgula 10 3 9" xfId="875" xr:uid="{6BECDBA7-5D29-48EE-8FF2-ADEAE09FA13F}"/>
    <cellStyle name="Vírgula 10 3 9 2" xfId="876" xr:uid="{CEFF6F47-D96B-4814-91CB-0CF2C13D10F9}"/>
    <cellStyle name="Vírgula 10 3 9 2 2" xfId="877" xr:uid="{DAB9960A-D6FB-4088-8D89-8DA490D8B72D}"/>
    <cellStyle name="Vírgula 10 3 9 2 3" xfId="6651" xr:uid="{C6870109-F1B8-41E6-882F-3AD9AEBE2C7F}"/>
    <cellStyle name="Vírgula 10 3 9 3" xfId="878" xr:uid="{02A20A41-34FD-4FFF-843A-11EB93727564}"/>
    <cellStyle name="Vírgula 10 3 9 4" xfId="6650" xr:uid="{34EA5ED8-1C83-4035-89B3-7076917B5AFB}"/>
    <cellStyle name="Vírgula 11" xfId="879" xr:uid="{E9570A34-CD40-456A-B912-5E7924AEE88D}"/>
    <cellStyle name="Vírgula 11 10" xfId="880" xr:uid="{7ACF1EF3-0371-4868-9402-C8F32E450539}"/>
    <cellStyle name="Vírgula 11 10 2" xfId="881" xr:uid="{DBC537C1-C3B8-4828-9D6C-BA977FB7F779}"/>
    <cellStyle name="Vírgula 11 10 2 2" xfId="882" xr:uid="{D6718968-114E-4A63-AA12-91315742E965}"/>
    <cellStyle name="Vírgula 11 10 2 3" xfId="6654" xr:uid="{17B3FFB6-105D-44BA-A4B4-25502147E32D}"/>
    <cellStyle name="Vírgula 11 10 3" xfId="883" xr:uid="{9BA4B40C-0EE3-4F4C-A13A-6A0D7B7FC048}"/>
    <cellStyle name="Vírgula 11 10 4" xfId="6653" xr:uid="{85B777CF-CAC0-4EDB-AF1F-5AAEB59DEAD4}"/>
    <cellStyle name="Vírgula 11 11" xfId="884" xr:uid="{C0A44694-61A6-4E52-B939-F39BE95FC8C9}"/>
    <cellStyle name="Vírgula 11 11 2" xfId="885" xr:uid="{2F249457-F472-493C-9DCB-969130C410C1}"/>
    <cellStyle name="Vírgula 11 11 3" xfId="6655" xr:uid="{AE8BEC15-14CB-446F-8175-933B973D19FC}"/>
    <cellStyle name="Vírgula 11 12" xfId="886" xr:uid="{94A57EE9-3382-461B-85BD-3D4B1DFC6232}"/>
    <cellStyle name="Vírgula 11 13" xfId="6652" xr:uid="{18BEF686-AD3C-4B6D-90A4-D36D7FCB5A20}"/>
    <cellStyle name="Vírgula 11 2" xfId="887" xr:uid="{8073D492-AE95-4EE4-8C67-A7B6F9350A98}"/>
    <cellStyle name="Vírgula 11 2 10" xfId="888" xr:uid="{E7186A87-BB9C-4053-8280-F32B658E75C1}"/>
    <cellStyle name="Vírgula 11 2 10 2" xfId="889" xr:uid="{3D907F41-9AC2-4BA7-BBED-699E252A6E67}"/>
    <cellStyle name="Vírgula 11 2 10 3" xfId="6657" xr:uid="{742A0266-13B0-4218-9161-E54E9E8B2D18}"/>
    <cellStyle name="Vírgula 11 2 11" xfId="890" xr:uid="{1D025367-CB29-45BC-BF5D-C23E2D329499}"/>
    <cellStyle name="Vírgula 11 2 12" xfId="6656" xr:uid="{8B5B1490-E0A8-495D-8762-5D2FAD176A17}"/>
    <cellStyle name="Vírgula 11 2 2" xfId="891" xr:uid="{40B70869-C6F3-4F2C-A701-CA826EE5DE72}"/>
    <cellStyle name="Vírgula 11 2 2 2" xfId="892" xr:uid="{E2774BB3-E7BF-4988-A69D-079E2FDF5291}"/>
    <cellStyle name="Vírgula 11 2 2 2 2" xfId="893" xr:uid="{446CBE2F-7C23-49BB-B51F-89FB6393A39A}"/>
    <cellStyle name="Vírgula 11 2 2 2 2 2" xfId="894" xr:uid="{3A935193-6923-4EFD-8DD5-8614181E83AE}"/>
    <cellStyle name="Vírgula 11 2 2 2 2 2 2" xfId="895" xr:uid="{15C745A8-F7D6-496C-B2EF-2A5E93C7E6D2}"/>
    <cellStyle name="Vírgula 11 2 2 2 2 2 2 2" xfId="896" xr:uid="{9667CFC3-322F-4798-8A77-A1C69E62EC08}"/>
    <cellStyle name="Vírgula 11 2 2 2 2 2 2 3" xfId="6662" xr:uid="{230FC7C0-0B13-4455-9205-12BB2B948AAC}"/>
    <cellStyle name="Vírgula 11 2 2 2 2 2 3" xfId="897" xr:uid="{BD65B3E5-CDEE-4C18-ACD8-2E21CF216ECD}"/>
    <cellStyle name="Vírgula 11 2 2 2 2 2 4" xfId="6661" xr:uid="{FA55DA66-58AC-468D-9D51-9B85BBD24B7B}"/>
    <cellStyle name="Vírgula 11 2 2 2 2 3" xfId="898" xr:uid="{07AD3CF9-828E-4300-A88B-63F886438912}"/>
    <cellStyle name="Vírgula 11 2 2 2 2 3 2" xfId="899" xr:uid="{8AFDBB1B-E0EE-42E8-858B-CCBE90C66794}"/>
    <cellStyle name="Vírgula 11 2 2 2 2 3 2 2" xfId="900" xr:uid="{2F7940BA-9E0F-4D21-B3E5-6AF92E428AF1}"/>
    <cellStyle name="Vírgula 11 2 2 2 2 3 2 3" xfId="6664" xr:uid="{33A15AB6-AC08-4678-BC71-9E8C55C24561}"/>
    <cellStyle name="Vírgula 11 2 2 2 2 3 3" xfId="901" xr:uid="{5438C974-0F29-4FF9-94BE-118A039909B6}"/>
    <cellStyle name="Vírgula 11 2 2 2 2 3 4" xfId="6663" xr:uid="{42225823-9D87-4B83-BE71-BA801AC91AA1}"/>
    <cellStyle name="Vírgula 11 2 2 2 2 4" xfId="902" xr:uid="{35BD8CFD-50CA-4CF1-B1BE-100F98CFF6E0}"/>
    <cellStyle name="Vírgula 11 2 2 2 2 4 2" xfId="903" xr:uid="{7C4910D6-3D88-4CFC-AB31-C1C66CA5A593}"/>
    <cellStyle name="Vírgula 11 2 2 2 2 4 3" xfId="6665" xr:uid="{784B3043-BACC-41B0-B984-8F2810E759DD}"/>
    <cellStyle name="Vírgula 11 2 2 2 2 5" xfId="904" xr:uid="{AD34B474-FE31-4BB8-AECD-413CEE74611B}"/>
    <cellStyle name="Vírgula 11 2 2 2 2 6" xfId="6660" xr:uid="{016BF3FA-6DA8-4C14-A131-1BE22424ED7A}"/>
    <cellStyle name="Vírgula 11 2 2 2 3" xfId="905" xr:uid="{87559F9A-FA95-41BC-A468-69FEED3794E4}"/>
    <cellStyle name="Vírgula 11 2 2 2 3 2" xfId="906" xr:uid="{2F52AAB0-47DF-4F01-A116-1ED180E62DCB}"/>
    <cellStyle name="Vírgula 11 2 2 2 3 2 2" xfId="907" xr:uid="{26D29FFC-9ED2-4F26-ACD8-DA07294AB6AC}"/>
    <cellStyle name="Vírgula 11 2 2 2 3 2 3" xfId="6667" xr:uid="{D16B38B8-B33C-44D1-8683-3223D79A5591}"/>
    <cellStyle name="Vírgula 11 2 2 2 3 3" xfId="908" xr:uid="{7865635B-0C41-453F-9ABB-7B6E02A3137F}"/>
    <cellStyle name="Vírgula 11 2 2 2 3 4" xfId="6666" xr:uid="{4FFA01A0-2C2B-48EC-823A-EF4D4FCB837D}"/>
    <cellStyle name="Vírgula 11 2 2 2 4" xfId="909" xr:uid="{FD4627AC-9FE7-4BB2-B418-A89DE3269E5E}"/>
    <cellStyle name="Vírgula 11 2 2 2 4 2" xfId="910" xr:uid="{4D5E29D7-6445-4CB9-91A2-DD5DFA8A71B1}"/>
    <cellStyle name="Vírgula 11 2 2 2 4 2 2" xfId="911" xr:uid="{32E9BE53-29FA-403F-912D-F3522223C485}"/>
    <cellStyle name="Vírgula 11 2 2 2 4 2 3" xfId="6669" xr:uid="{23BDAF3B-7682-4209-92D1-46CFC3B5DF8A}"/>
    <cellStyle name="Vírgula 11 2 2 2 4 3" xfId="912" xr:uid="{3BC3D16B-657F-49DB-8167-030905894648}"/>
    <cellStyle name="Vírgula 11 2 2 2 4 4" xfId="6668" xr:uid="{714791CC-AB20-4FCD-B27E-D549AABC55B6}"/>
    <cellStyle name="Vírgula 11 2 2 2 5" xfId="913" xr:uid="{FC0EC2F7-0250-4636-AEDA-8204A15BF00C}"/>
    <cellStyle name="Vírgula 11 2 2 2 5 2" xfId="914" xr:uid="{53504DF4-0062-4E49-B648-77FA2B0C58F6}"/>
    <cellStyle name="Vírgula 11 2 2 2 5 3" xfId="6670" xr:uid="{142E66C4-E326-44F8-A91B-F2F580B81247}"/>
    <cellStyle name="Vírgula 11 2 2 2 6" xfId="915" xr:uid="{DC58980D-66E5-498D-828C-DC52C995C839}"/>
    <cellStyle name="Vírgula 11 2 2 2 7" xfId="6659" xr:uid="{3E333825-ADD4-432F-AEE3-262C9BA30B02}"/>
    <cellStyle name="Vírgula 11 2 2 3" xfId="916" xr:uid="{615C92DD-7CF2-4478-8270-A19286B0DE77}"/>
    <cellStyle name="Vírgula 11 2 2 3 2" xfId="917" xr:uid="{6F8CB228-0026-4E32-9D75-C6C1C9D129E8}"/>
    <cellStyle name="Vírgula 11 2 2 3 2 2" xfId="918" xr:uid="{088F3B10-D487-434E-8B17-ECDF45FC5D74}"/>
    <cellStyle name="Vírgula 11 2 2 3 2 2 2" xfId="919" xr:uid="{470496AD-CEAB-43C1-A859-3D2835BC2964}"/>
    <cellStyle name="Vírgula 11 2 2 3 2 2 2 2" xfId="920" xr:uid="{830C81DA-89CD-4CC8-9935-B18C2DBFA168}"/>
    <cellStyle name="Vírgula 11 2 2 3 2 2 2 3" xfId="6674" xr:uid="{F737CDD2-3333-473F-AAEE-F8689487A732}"/>
    <cellStyle name="Vírgula 11 2 2 3 2 2 3" xfId="921" xr:uid="{EC989F0C-81AB-4B0D-9AA0-D2F5D98728C0}"/>
    <cellStyle name="Vírgula 11 2 2 3 2 2 4" xfId="6673" xr:uid="{67E86A1A-E9FB-4CE9-9F24-E51967CBD2D7}"/>
    <cellStyle name="Vírgula 11 2 2 3 2 3" xfId="922" xr:uid="{5BBEDD0C-73A3-450B-85A7-BA7FFA46BDDB}"/>
    <cellStyle name="Vírgula 11 2 2 3 2 3 2" xfId="923" xr:uid="{B32B50D9-42EE-489D-A91B-D74172377B66}"/>
    <cellStyle name="Vírgula 11 2 2 3 2 3 2 2" xfId="924" xr:uid="{F2D14470-8248-474B-8681-05E19FCE1E52}"/>
    <cellStyle name="Vírgula 11 2 2 3 2 3 2 3" xfId="6676" xr:uid="{87BB4114-1A3D-4D1B-89D5-D8BEB7F47CBE}"/>
    <cellStyle name="Vírgula 11 2 2 3 2 3 3" xfId="925" xr:uid="{C79C7D22-291E-42ED-B03B-4623AF8E9084}"/>
    <cellStyle name="Vírgula 11 2 2 3 2 3 4" xfId="6675" xr:uid="{31A47551-89A7-4022-AC16-9312DC3168A2}"/>
    <cellStyle name="Vírgula 11 2 2 3 2 4" xfId="926" xr:uid="{79ACEBD7-A806-4DE6-8589-178B08B10753}"/>
    <cellStyle name="Vírgula 11 2 2 3 2 4 2" xfId="927" xr:uid="{1742ADC8-2938-47BD-B8C3-14E8D178F61F}"/>
    <cellStyle name="Vírgula 11 2 2 3 2 4 3" xfId="6677" xr:uid="{01BD3778-211D-460D-B699-001535CAF196}"/>
    <cellStyle name="Vírgula 11 2 2 3 2 5" xfId="928" xr:uid="{A5CB7350-3302-460B-838F-38DFB75263DB}"/>
    <cellStyle name="Vírgula 11 2 2 3 2 6" xfId="6672" xr:uid="{8ED4DA8C-4D88-4C06-BD47-4E51BFFC9553}"/>
    <cellStyle name="Vírgula 11 2 2 3 3" xfId="929" xr:uid="{A49A31D9-34A3-42C0-9289-C15A60245DB0}"/>
    <cellStyle name="Vírgula 11 2 2 3 3 2" xfId="930" xr:uid="{96C43804-1182-4B3B-973E-19D4A9F68667}"/>
    <cellStyle name="Vírgula 11 2 2 3 3 2 2" xfId="931" xr:uid="{E45284E0-CA67-4A35-8B9D-680AEC3B446C}"/>
    <cellStyle name="Vírgula 11 2 2 3 3 2 3" xfId="6679" xr:uid="{5BD27DA4-5FA3-436F-8EEA-F322241834DD}"/>
    <cellStyle name="Vírgula 11 2 2 3 3 3" xfId="932" xr:uid="{799888EB-3BA9-42EF-A60E-CBCB78C4B2F9}"/>
    <cellStyle name="Vírgula 11 2 2 3 3 4" xfId="6678" xr:uid="{D70ECC6F-3FAE-4E34-A3B1-F922AF691411}"/>
    <cellStyle name="Vírgula 11 2 2 3 4" xfId="933" xr:uid="{96FCE5E3-0D18-43F5-8F74-E58BFB19816C}"/>
    <cellStyle name="Vírgula 11 2 2 3 4 2" xfId="934" xr:uid="{D3F1E08A-D514-4D01-9FE5-AE9B47C5AB88}"/>
    <cellStyle name="Vírgula 11 2 2 3 4 2 2" xfId="935" xr:uid="{0A796537-CF32-4EC2-8EF7-970065D7B169}"/>
    <cellStyle name="Vírgula 11 2 2 3 4 2 3" xfId="6681" xr:uid="{4925E995-8443-4C03-98A9-5225383B7DC2}"/>
    <cellStyle name="Vírgula 11 2 2 3 4 3" xfId="936" xr:uid="{24F2937B-637E-4501-97B1-C357405A5A62}"/>
    <cellStyle name="Vírgula 11 2 2 3 4 4" xfId="6680" xr:uid="{67EA59EE-C1C6-4512-9FCE-04D0BF41BB75}"/>
    <cellStyle name="Vírgula 11 2 2 3 5" xfId="937" xr:uid="{61E104B2-4107-4F89-AA3D-BAC729D80685}"/>
    <cellStyle name="Vírgula 11 2 2 3 5 2" xfId="938" xr:uid="{7E3219F1-EE7C-490F-92B9-717F4786BB0F}"/>
    <cellStyle name="Vírgula 11 2 2 3 5 3" xfId="6682" xr:uid="{B567AC13-44AB-4049-A193-442FB1C6386D}"/>
    <cellStyle name="Vírgula 11 2 2 3 6" xfId="939" xr:uid="{646CC6B2-732C-476F-B6FA-198D4ADD0332}"/>
    <cellStyle name="Vírgula 11 2 2 3 7" xfId="6671" xr:uid="{3AFD3063-0B96-4F0D-B02A-B2014928083B}"/>
    <cellStyle name="Vírgula 11 2 2 4" xfId="940" xr:uid="{DE5CA113-F676-434E-B4BB-1DC9164224E2}"/>
    <cellStyle name="Vírgula 11 2 2 4 2" xfId="941" xr:uid="{A582C814-D0FE-4D5E-A4C6-79459A2432CA}"/>
    <cellStyle name="Vírgula 11 2 2 4 2 2" xfId="942" xr:uid="{156C6188-7407-491A-869A-1B06550A1B99}"/>
    <cellStyle name="Vírgula 11 2 2 4 2 2 2" xfId="943" xr:uid="{60F46AA8-715B-4F29-986A-19FE4E6AFD93}"/>
    <cellStyle name="Vírgula 11 2 2 4 2 2 3" xfId="6685" xr:uid="{A7B3F165-700A-4E56-AA9C-80CE229626FA}"/>
    <cellStyle name="Vírgula 11 2 2 4 2 3" xfId="944" xr:uid="{0BD56E15-BA38-4DB4-9FFA-6E4719F404F3}"/>
    <cellStyle name="Vírgula 11 2 2 4 2 4" xfId="6684" xr:uid="{6C67577F-2254-4133-947A-475B40FE4FF3}"/>
    <cellStyle name="Vírgula 11 2 2 4 3" xfId="945" xr:uid="{EEC62204-498C-4029-B951-E094ED4AFE96}"/>
    <cellStyle name="Vírgula 11 2 2 4 3 2" xfId="946" xr:uid="{D4ADACFF-FEB2-4263-A730-2703F2396D03}"/>
    <cellStyle name="Vírgula 11 2 2 4 3 2 2" xfId="947" xr:uid="{EE8F9584-C292-462D-B097-E1AB6192F9B1}"/>
    <cellStyle name="Vírgula 11 2 2 4 3 2 3" xfId="6687" xr:uid="{01B109A8-D599-44CF-B287-E9C7267071B4}"/>
    <cellStyle name="Vírgula 11 2 2 4 3 3" xfId="948" xr:uid="{1B9B56EA-3ED2-4107-9595-3BB3398A26EC}"/>
    <cellStyle name="Vírgula 11 2 2 4 3 4" xfId="6686" xr:uid="{7E4D031E-627C-4A06-957A-3782DB1D2CB3}"/>
    <cellStyle name="Vírgula 11 2 2 4 4" xfId="949" xr:uid="{BD2A5412-D941-4E71-8BC4-2D5ED2B5866D}"/>
    <cellStyle name="Vírgula 11 2 2 4 4 2" xfId="950" xr:uid="{A26A6343-D386-4C4E-99C3-77661860B2C3}"/>
    <cellStyle name="Vírgula 11 2 2 4 4 3" xfId="6688" xr:uid="{E0F0E626-3167-43BC-8E35-E4F3BC6363E6}"/>
    <cellStyle name="Vírgula 11 2 2 4 5" xfId="951" xr:uid="{0D1FE22A-8E9E-434B-B1F4-3616A6649664}"/>
    <cellStyle name="Vírgula 11 2 2 4 6" xfId="6683" xr:uid="{B6E39068-9006-439F-9941-46E5978ED9BB}"/>
    <cellStyle name="Vírgula 11 2 2 5" xfId="952" xr:uid="{AB46C75B-D39F-41EA-BEB9-972659EFBBBA}"/>
    <cellStyle name="Vírgula 11 2 2 5 2" xfId="953" xr:uid="{6442F948-09FC-4197-90AA-2C615A3FC995}"/>
    <cellStyle name="Vírgula 11 2 2 5 2 2" xfId="954" xr:uid="{BE3EE7C3-6D5C-4F8C-8468-702555AC52F0}"/>
    <cellStyle name="Vírgula 11 2 2 5 2 3" xfId="6690" xr:uid="{741C2FB3-9EC1-4E5F-8DCF-E7DF8E55A5D7}"/>
    <cellStyle name="Vírgula 11 2 2 5 3" xfId="955" xr:uid="{6E2BD7E4-384C-4924-AE05-4FB4B10DF9D8}"/>
    <cellStyle name="Vírgula 11 2 2 5 4" xfId="6689" xr:uid="{E22C6369-1AB1-4B70-B1F4-4FAFB208F2EF}"/>
    <cellStyle name="Vírgula 11 2 2 6" xfId="956" xr:uid="{724E2E44-E445-40B7-BABD-BB89D02875E8}"/>
    <cellStyle name="Vírgula 11 2 2 6 2" xfId="957" xr:uid="{0CFD4F8D-29D7-4E87-A41D-2AC50E0F9B9A}"/>
    <cellStyle name="Vírgula 11 2 2 6 2 2" xfId="958" xr:uid="{E50E3466-6522-41AE-B63A-4ED076CCDFBD}"/>
    <cellStyle name="Vírgula 11 2 2 6 2 3" xfId="6692" xr:uid="{93F64D92-8A04-43BA-9E0A-EDACD708ED18}"/>
    <cellStyle name="Vírgula 11 2 2 6 3" xfId="959" xr:uid="{6DA181C3-7D18-424D-8CE9-39D7DCAC413F}"/>
    <cellStyle name="Vírgula 11 2 2 6 4" xfId="6691" xr:uid="{C9CCA17B-72A1-4B43-949E-308C911CADCE}"/>
    <cellStyle name="Vírgula 11 2 2 7" xfId="960" xr:uid="{D81E2150-EF06-4375-91F6-706FB65597AA}"/>
    <cellStyle name="Vírgula 11 2 2 7 2" xfId="961" xr:uid="{80C00555-A719-4B5B-8869-C309227E694E}"/>
    <cellStyle name="Vírgula 11 2 2 7 3" xfId="6693" xr:uid="{3131F807-D12F-4F61-97B0-FF79193EE71C}"/>
    <cellStyle name="Vírgula 11 2 2 8" xfId="962" xr:uid="{D1D730A9-1C09-44EA-A302-6C01900903CF}"/>
    <cellStyle name="Vírgula 11 2 2 9" xfId="6658" xr:uid="{85A79172-9985-4092-AF41-7EA7DA0C89BF}"/>
    <cellStyle name="Vírgula 11 2 3" xfId="963" xr:uid="{F5A9338A-FFDD-4B29-8D27-87F684C1DCDC}"/>
    <cellStyle name="Vírgula 11 2 3 2" xfId="964" xr:uid="{1EDFEE38-2CBA-44C9-86C5-F41859AD06D6}"/>
    <cellStyle name="Vírgula 11 2 3 2 2" xfId="965" xr:uid="{1526A08A-E5E1-4D42-89CA-EFF19639184B}"/>
    <cellStyle name="Vírgula 11 2 3 2 2 2" xfId="966" xr:uid="{7CC94561-9683-4D2F-A22F-CE4723BB8FE9}"/>
    <cellStyle name="Vírgula 11 2 3 2 2 2 2" xfId="967" xr:uid="{E03F3785-D5A0-4930-9C2C-3E03785C03CC}"/>
    <cellStyle name="Vírgula 11 2 3 2 2 2 2 2" xfId="968" xr:uid="{A2E3E00F-2BAD-4711-8CDE-53217496986D}"/>
    <cellStyle name="Vírgula 11 2 3 2 2 2 2 3" xfId="6698" xr:uid="{C6169015-493A-4E2F-AE18-AA91CC04C5BB}"/>
    <cellStyle name="Vírgula 11 2 3 2 2 2 3" xfId="969" xr:uid="{6175C459-5AF9-48AB-A6B8-E3E36D04299F}"/>
    <cellStyle name="Vírgula 11 2 3 2 2 2 4" xfId="6697" xr:uid="{5FE5399E-8473-45C4-A7F4-7EB4222BE1BD}"/>
    <cellStyle name="Vírgula 11 2 3 2 2 3" xfId="970" xr:uid="{1B1D52D0-C00B-4EBE-8444-BD98FCD3931E}"/>
    <cellStyle name="Vírgula 11 2 3 2 2 3 2" xfId="971" xr:uid="{AFD37004-203C-4189-A284-690771C5F9C0}"/>
    <cellStyle name="Vírgula 11 2 3 2 2 3 2 2" xfId="972" xr:uid="{5B7F1E85-E5B2-4C45-A087-C7C467B01077}"/>
    <cellStyle name="Vírgula 11 2 3 2 2 3 2 3" xfId="6700" xr:uid="{18AD41BE-78D2-47A3-88E3-10EC67AE07C8}"/>
    <cellStyle name="Vírgula 11 2 3 2 2 3 3" xfId="973" xr:uid="{4BC82467-8A9C-46B4-88B1-9FF5D2BFFC67}"/>
    <cellStyle name="Vírgula 11 2 3 2 2 3 4" xfId="6699" xr:uid="{F9BB02E7-54A5-48AA-91CF-17ECE18C9ADF}"/>
    <cellStyle name="Vírgula 11 2 3 2 2 4" xfId="974" xr:uid="{BD04CAD7-E3EF-49DF-949F-63B9CF17FE32}"/>
    <cellStyle name="Vírgula 11 2 3 2 2 4 2" xfId="975" xr:uid="{179B7FB6-407E-41D8-9B83-F56B1D301AD3}"/>
    <cellStyle name="Vírgula 11 2 3 2 2 4 3" xfId="6701" xr:uid="{E30F4133-5CA0-44AB-8A23-E7DF551FC432}"/>
    <cellStyle name="Vírgula 11 2 3 2 2 5" xfId="976" xr:uid="{7B8D6C91-7C65-4E63-BD4F-E0F4343AE1FA}"/>
    <cellStyle name="Vírgula 11 2 3 2 2 6" xfId="6696" xr:uid="{2F291974-06D9-4070-A9C2-6041EC5CC9D9}"/>
    <cellStyle name="Vírgula 11 2 3 2 3" xfId="977" xr:uid="{B5A7CCB0-9AB7-4FE8-B012-6957602CB10A}"/>
    <cellStyle name="Vírgula 11 2 3 2 3 2" xfId="978" xr:uid="{5A3FA1FA-24CC-48FC-A3CF-DB2539DD5AC3}"/>
    <cellStyle name="Vírgula 11 2 3 2 3 2 2" xfId="979" xr:uid="{16F81ACB-AAE0-49E8-B6FD-B4749DFCB105}"/>
    <cellStyle name="Vírgula 11 2 3 2 3 2 3" xfId="6703" xr:uid="{565C6772-AA7F-439B-845C-78F61562DDDE}"/>
    <cellStyle name="Vírgula 11 2 3 2 3 3" xfId="980" xr:uid="{951D8A20-5B08-4537-AB3D-7D579A3D0CBB}"/>
    <cellStyle name="Vírgula 11 2 3 2 3 4" xfId="6702" xr:uid="{C25DA058-61BA-4083-9524-2DE24B11FF03}"/>
    <cellStyle name="Vírgula 11 2 3 2 4" xfId="981" xr:uid="{4538CD86-DA16-42E1-900E-D1C7FF4E2D89}"/>
    <cellStyle name="Vírgula 11 2 3 2 4 2" xfId="982" xr:uid="{22AA997E-B0A5-49CA-8EC5-91D0A78710D5}"/>
    <cellStyle name="Vírgula 11 2 3 2 4 2 2" xfId="983" xr:uid="{36D54BB4-1D1A-48BE-9C8B-8EBFEEE0033C}"/>
    <cellStyle name="Vírgula 11 2 3 2 4 2 3" xfId="6705" xr:uid="{D61D3A34-AF81-4389-8405-0F090CEFBCAD}"/>
    <cellStyle name="Vírgula 11 2 3 2 4 3" xfId="984" xr:uid="{3AB5EE23-1C8B-456B-BF20-388E69E54478}"/>
    <cellStyle name="Vírgula 11 2 3 2 4 4" xfId="6704" xr:uid="{AEC7C069-CC08-4E1E-A646-5BBD4DA66FB6}"/>
    <cellStyle name="Vírgula 11 2 3 2 5" xfId="985" xr:uid="{B0B3A028-568C-4EC0-89C6-AC7F07AFAE46}"/>
    <cellStyle name="Vírgula 11 2 3 2 5 2" xfId="986" xr:uid="{3393BC8E-08CD-4FB3-81A8-19CB511B047C}"/>
    <cellStyle name="Vírgula 11 2 3 2 5 3" xfId="6706" xr:uid="{8723A5C8-43AC-4736-8FBC-BF147730EDD5}"/>
    <cellStyle name="Vírgula 11 2 3 2 6" xfId="987" xr:uid="{166DC8BB-40CD-485D-88E6-E08136DB8702}"/>
    <cellStyle name="Vírgula 11 2 3 2 7" xfId="6695" xr:uid="{26B5500B-C4DC-4E7E-B218-B0D71B1C1430}"/>
    <cellStyle name="Vírgula 11 2 3 3" xfId="988" xr:uid="{4BCC2EAB-163D-408F-9247-714CE4593B08}"/>
    <cellStyle name="Vírgula 11 2 3 3 2" xfId="989" xr:uid="{43C039AE-4DA0-4BB0-839A-3EDC263DF993}"/>
    <cellStyle name="Vírgula 11 2 3 3 2 2" xfId="990" xr:uid="{6DA49FFD-D5A1-4934-8715-E11098A006BF}"/>
    <cellStyle name="Vírgula 11 2 3 3 2 2 2" xfId="991" xr:uid="{57FF84F8-11B9-4A12-88EA-1261ACDB407D}"/>
    <cellStyle name="Vírgula 11 2 3 3 2 2 2 2" xfId="992" xr:uid="{C108F53E-AB6C-40E2-A1C4-A427E1BF0EEE}"/>
    <cellStyle name="Vírgula 11 2 3 3 2 2 2 3" xfId="6710" xr:uid="{3FD3435A-9F6F-4FC2-BF6B-AC68C0246B45}"/>
    <cellStyle name="Vírgula 11 2 3 3 2 2 3" xfId="993" xr:uid="{CE0EE4B8-4C70-4FD6-8D60-664FD712D3F5}"/>
    <cellStyle name="Vírgula 11 2 3 3 2 2 4" xfId="6709" xr:uid="{F0E1038D-8333-45DE-A198-38F0D50F9E20}"/>
    <cellStyle name="Vírgula 11 2 3 3 2 3" xfId="994" xr:uid="{35279838-2CEB-4468-B488-B98637636CE8}"/>
    <cellStyle name="Vírgula 11 2 3 3 2 3 2" xfId="995" xr:uid="{50520C5A-38E2-4D1F-BB65-36B4B0C72F70}"/>
    <cellStyle name="Vírgula 11 2 3 3 2 3 2 2" xfId="996" xr:uid="{14AF073D-86A7-40A6-B440-087F8BE89FA7}"/>
    <cellStyle name="Vírgula 11 2 3 3 2 3 2 3" xfId="6712" xr:uid="{823A0859-FCAC-4739-8E64-D5D12BB5CD6A}"/>
    <cellStyle name="Vírgula 11 2 3 3 2 3 3" xfId="997" xr:uid="{D9B4126F-64B7-47BD-A177-FEF6818F5571}"/>
    <cellStyle name="Vírgula 11 2 3 3 2 3 4" xfId="6711" xr:uid="{B73470A8-03ED-415E-8291-077394867FC4}"/>
    <cellStyle name="Vírgula 11 2 3 3 2 4" xfId="998" xr:uid="{260B190C-7D6D-4F17-9436-AEC0FD639D55}"/>
    <cellStyle name="Vírgula 11 2 3 3 2 4 2" xfId="999" xr:uid="{1050BBD3-FBEA-4C60-9757-A23AD28F12C6}"/>
    <cellStyle name="Vírgula 11 2 3 3 2 4 3" xfId="6713" xr:uid="{1F1AF510-65AE-449C-97DB-CCBA906F2312}"/>
    <cellStyle name="Vírgula 11 2 3 3 2 5" xfId="1000" xr:uid="{09210C11-EFBE-4B44-B4CA-9A752FE7085E}"/>
    <cellStyle name="Vírgula 11 2 3 3 2 6" xfId="6708" xr:uid="{EAB33511-55CD-4F01-ABBE-C539773B938F}"/>
    <cellStyle name="Vírgula 11 2 3 3 3" xfId="1001" xr:uid="{87F3A7E6-5A26-4B17-8DC1-C8BA69B64BB7}"/>
    <cellStyle name="Vírgula 11 2 3 3 3 2" xfId="1002" xr:uid="{74621B97-4591-42F7-A35C-3442D6790AB7}"/>
    <cellStyle name="Vírgula 11 2 3 3 3 2 2" xfId="1003" xr:uid="{1C40FEBA-D554-4551-9433-DC05804FECA6}"/>
    <cellStyle name="Vírgula 11 2 3 3 3 2 3" xfId="6715" xr:uid="{BFB9F306-D90E-4509-940D-B68B1924171A}"/>
    <cellStyle name="Vírgula 11 2 3 3 3 3" xfId="1004" xr:uid="{A3892755-48CC-44C8-B3D8-D9763619A1B1}"/>
    <cellStyle name="Vírgula 11 2 3 3 3 4" xfId="6714" xr:uid="{00F59CCC-7FF0-4797-9AAD-ADDAB4393131}"/>
    <cellStyle name="Vírgula 11 2 3 3 4" xfId="1005" xr:uid="{68913200-8CF7-4B6A-B002-FD99705C9E83}"/>
    <cellStyle name="Vírgula 11 2 3 3 4 2" xfId="1006" xr:uid="{2BA9CCD5-868D-4756-B983-9CA59A8EF200}"/>
    <cellStyle name="Vírgula 11 2 3 3 4 2 2" xfId="1007" xr:uid="{C9F27D54-A0B2-4E5F-A885-0F6BA11B383A}"/>
    <cellStyle name="Vírgula 11 2 3 3 4 2 3" xfId="6717" xr:uid="{4FF59A82-D8BC-4D5C-9D72-D1C158BB10C9}"/>
    <cellStyle name="Vírgula 11 2 3 3 4 3" xfId="1008" xr:uid="{EDE68A8B-2B93-45FE-8BF8-ECF46DFB8F8B}"/>
    <cellStyle name="Vírgula 11 2 3 3 4 4" xfId="6716" xr:uid="{B014008D-433F-4B23-9E29-F498281EB251}"/>
    <cellStyle name="Vírgula 11 2 3 3 5" xfId="1009" xr:uid="{E579C8FF-937D-4E57-AB02-B08A5AA4160C}"/>
    <cellStyle name="Vírgula 11 2 3 3 5 2" xfId="1010" xr:uid="{8345D28F-5979-4FBF-A71B-4ECE4567DA17}"/>
    <cellStyle name="Vírgula 11 2 3 3 5 3" xfId="6718" xr:uid="{B8635535-6484-4AF1-9212-6BD4C0BA803D}"/>
    <cellStyle name="Vírgula 11 2 3 3 6" xfId="1011" xr:uid="{4A77A907-D51C-47DA-8F4C-F4266F679F76}"/>
    <cellStyle name="Vírgula 11 2 3 3 7" xfId="6707" xr:uid="{CB7C3E3C-A5DE-4134-86DB-1B15CD58110A}"/>
    <cellStyle name="Vírgula 11 2 3 4" xfId="1012" xr:uid="{AD6BF9B4-A662-4885-9E68-7F72E7363AF9}"/>
    <cellStyle name="Vírgula 11 2 3 4 2" xfId="1013" xr:uid="{5C76CDDA-C395-412F-ABDF-7BD17DEE93C4}"/>
    <cellStyle name="Vírgula 11 2 3 4 2 2" xfId="1014" xr:uid="{8563E0A8-B205-41AD-B543-DDCFFC960DC2}"/>
    <cellStyle name="Vírgula 11 2 3 4 2 2 2" xfId="1015" xr:uid="{D2AD3555-C6F7-49D2-B939-045C293BEB94}"/>
    <cellStyle name="Vírgula 11 2 3 4 2 2 3" xfId="6721" xr:uid="{ADF5A705-4E5A-4140-A36B-20F572A226AC}"/>
    <cellStyle name="Vírgula 11 2 3 4 2 3" xfId="1016" xr:uid="{2BE8D14E-3AE5-4306-BD11-50E62699D691}"/>
    <cellStyle name="Vírgula 11 2 3 4 2 4" xfId="6720" xr:uid="{EBFB1FDB-929A-486C-92C0-5A49CDE1EC36}"/>
    <cellStyle name="Vírgula 11 2 3 4 3" xfId="1017" xr:uid="{E2510830-072E-4E11-8D7F-166F99BB8E26}"/>
    <cellStyle name="Vírgula 11 2 3 4 3 2" xfId="1018" xr:uid="{84745BEE-0429-4884-B212-F93A564BF179}"/>
    <cellStyle name="Vírgula 11 2 3 4 3 2 2" xfId="1019" xr:uid="{3AFE541A-9EE3-4A4A-9C77-108B1511D34B}"/>
    <cellStyle name="Vírgula 11 2 3 4 3 2 3" xfId="6723" xr:uid="{D58C2D2A-AF0B-4C64-A900-5DD26FF45B12}"/>
    <cellStyle name="Vírgula 11 2 3 4 3 3" xfId="1020" xr:uid="{8DD824F5-BFE9-4A3F-A90E-BDB57CF4745E}"/>
    <cellStyle name="Vírgula 11 2 3 4 3 4" xfId="6722" xr:uid="{2D7900E8-04A0-44E5-81A3-1A5180A38D40}"/>
    <cellStyle name="Vírgula 11 2 3 4 4" xfId="1021" xr:uid="{C8E9AA6B-F4AD-4CAB-86C3-D2A5407F13AD}"/>
    <cellStyle name="Vírgula 11 2 3 4 4 2" xfId="1022" xr:uid="{90216C02-0D73-4563-8B1C-7423DE5D1514}"/>
    <cellStyle name="Vírgula 11 2 3 4 4 3" xfId="6724" xr:uid="{2AAC683F-44AB-4E9D-9664-CD33C79D0787}"/>
    <cellStyle name="Vírgula 11 2 3 4 5" xfId="1023" xr:uid="{EB1EAA56-B6B2-402B-9FE0-19A95E0ED99E}"/>
    <cellStyle name="Vírgula 11 2 3 4 6" xfId="6719" xr:uid="{E95E7821-B9E9-461E-872A-153CF7AA77AB}"/>
    <cellStyle name="Vírgula 11 2 3 5" xfId="1024" xr:uid="{8FFE1E59-4C3C-413F-A1B9-06A05F60D198}"/>
    <cellStyle name="Vírgula 11 2 3 5 2" xfId="1025" xr:uid="{53680FD7-5BBB-4FE4-9280-ECC508253F0C}"/>
    <cellStyle name="Vírgula 11 2 3 5 2 2" xfId="1026" xr:uid="{C00DE629-F191-4887-8935-DF2D7C047887}"/>
    <cellStyle name="Vírgula 11 2 3 5 2 3" xfId="6726" xr:uid="{BAF4D075-ECBE-46A5-BEEE-CBE508343E4D}"/>
    <cellStyle name="Vírgula 11 2 3 5 3" xfId="1027" xr:uid="{8C3CBAD9-778C-4BE7-82A9-3B6FDF82362C}"/>
    <cellStyle name="Vírgula 11 2 3 5 4" xfId="6725" xr:uid="{939243A7-6368-488D-BD66-B29AE4CF46A5}"/>
    <cellStyle name="Vírgula 11 2 3 6" xfId="1028" xr:uid="{3D5640A4-09E5-4894-AA79-4D99703EE3B0}"/>
    <cellStyle name="Vírgula 11 2 3 6 2" xfId="1029" xr:uid="{08D9C5C6-BA85-49FE-A82E-7199238294CA}"/>
    <cellStyle name="Vírgula 11 2 3 6 2 2" xfId="1030" xr:uid="{715B730B-C4E0-4DC8-805E-C58E21FDD2DB}"/>
    <cellStyle name="Vírgula 11 2 3 6 2 3" xfId="6728" xr:uid="{80BC2F4F-1EEB-48CD-8F5B-8F871F7AD072}"/>
    <cellStyle name="Vírgula 11 2 3 6 3" xfId="1031" xr:uid="{EC3472A2-EBB9-41D9-A72E-11535373CB68}"/>
    <cellStyle name="Vírgula 11 2 3 6 4" xfId="6727" xr:uid="{0793F3CA-6308-4ADD-9D18-AE504A26468A}"/>
    <cellStyle name="Vírgula 11 2 3 7" xfId="1032" xr:uid="{58EBE2A4-481A-4F75-9D53-545C6C0F67E7}"/>
    <cellStyle name="Vírgula 11 2 3 7 2" xfId="1033" xr:uid="{72838BF3-8A3A-489B-B6D7-9EB8959CC489}"/>
    <cellStyle name="Vírgula 11 2 3 7 3" xfId="6729" xr:uid="{305A8130-0AE4-4F58-8DCC-CC82E374DB42}"/>
    <cellStyle name="Vírgula 11 2 3 8" xfId="1034" xr:uid="{248037C6-3186-4A16-9C09-E7CD37BD154A}"/>
    <cellStyle name="Vírgula 11 2 3 9" xfId="6694" xr:uid="{4F105B4B-4653-48AD-A514-E9D6D2B8EF5C}"/>
    <cellStyle name="Vírgula 11 2 4" xfId="1035" xr:uid="{FBC344D8-13B9-49B5-A73D-CD48D4E8173A}"/>
    <cellStyle name="Vírgula 11 2 4 2" xfId="1036" xr:uid="{B1722C60-462C-41B8-929D-FFC5D83FAD35}"/>
    <cellStyle name="Vírgula 11 2 4 2 2" xfId="1037" xr:uid="{61CD51C1-C64E-4BE6-9F29-2E67ACF998EA}"/>
    <cellStyle name="Vírgula 11 2 4 2 2 2" xfId="1038" xr:uid="{C71DC471-338F-4A4C-80C9-1A4DA18CA900}"/>
    <cellStyle name="Vírgula 11 2 4 2 2 2 2" xfId="1039" xr:uid="{A13D3517-6518-45F0-BCA6-027D29E3B5DB}"/>
    <cellStyle name="Vírgula 11 2 4 2 2 2 2 2" xfId="1040" xr:uid="{7AF85E42-3345-4D2A-9486-305B522F89B3}"/>
    <cellStyle name="Vírgula 11 2 4 2 2 2 2 3" xfId="6734" xr:uid="{A4A0375D-4480-42D1-BC59-9EB865DAF3DC}"/>
    <cellStyle name="Vírgula 11 2 4 2 2 2 3" xfId="1041" xr:uid="{1C941287-04AA-4C8D-895F-C6D883BBA81A}"/>
    <cellStyle name="Vírgula 11 2 4 2 2 2 4" xfId="6733" xr:uid="{C7652564-E98B-457C-875E-C10A5481536C}"/>
    <cellStyle name="Vírgula 11 2 4 2 2 3" xfId="1042" xr:uid="{D1BBF0E2-8618-4C36-8B85-EC35E7032E66}"/>
    <cellStyle name="Vírgula 11 2 4 2 2 3 2" xfId="1043" xr:uid="{971DC151-29C3-4804-9B32-2DBFC7C20C05}"/>
    <cellStyle name="Vírgula 11 2 4 2 2 3 2 2" xfId="1044" xr:uid="{3254ED7D-7A7F-4BCD-8526-89C857462855}"/>
    <cellStyle name="Vírgula 11 2 4 2 2 3 2 3" xfId="6736" xr:uid="{43F48EC9-84CA-486A-9A6D-DBEF754AE2BB}"/>
    <cellStyle name="Vírgula 11 2 4 2 2 3 3" xfId="1045" xr:uid="{55C78376-924E-4E9F-9008-ABE851BF6B6F}"/>
    <cellStyle name="Vírgula 11 2 4 2 2 3 4" xfId="6735" xr:uid="{FA76809C-A868-4B57-B3CA-8353F6FF91CE}"/>
    <cellStyle name="Vírgula 11 2 4 2 2 4" xfId="1046" xr:uid="{B1B10824-DECB-4B3C-BA19-DAE8444ABA8F}"/>
    <cellStyle name="Vírgula 11 2 4 2 2 4 2" xfId="1047" xr:uid="{8818BE2B-23A0-416D-B543-A4DFE86AC931}"/>
    <cellStyle name="Vírgula 11 2 4 2 2 4 3" xfId="6737" xr:uid="{0BE6EF27-EA5E-407E-BA10-09E975C72CB6}"/>
    <cellStyle name="Vírgula 11 2 4 2 2 5" xfId="1048" xr:uid="{34323F6C-0342-4EE3-AA06-C7B510881D2D}"/>
    <cellStyle name="Vírgula 11 2 4 2 2 6" xfId="6732" xr:uid="{C3FF6E06-AEC1-4E32-A8B0-037E8EAEFA56}"/>
    <cellStyle name="Vírgula 11 2 4 2 3" xfId="1049" xr:uid="{88872953-8368-4C05-A658-4605FE536EAB}"/>
    <cellStyle name="Vírgula 11 2 4 2 3 2" xfId="1050" xr:uid="{6CEB3EDC-24F5-4FAC-A423-08C8A524E7CD}"/>
    <cellStyle name="Vírgula 11 2 4 2 3 2 2" xfId="1051" xr:uid="{0AFF89B7-A200-4829-9D23-D15FFDDE83A2}"/>
    <cellStyle name="Vírgula 11 2 4 2 3 2 3" xfId="6739" xr:uid="{F4847994-E062-4CDA-BEFE-4F1556546A93}"/>
    <cellStyle name="Vírgula 11 2 4 2 3 3" xfId="1052" xr:uid="{EF87ABEF-761A-4B82-B61B-DA1AF2A2528E}"/>
    <cellStyle name="Vírgula 11 2 4 2 3 4" xfId="6738" xr:uid="{B451AE4B-6C8C-4B05-959E-E6E472050989}"/>
    <cellStyle name="Vírgula 11 2 4 2 4" xfId="1053" xr:uid="{735878B7-6C53-4CA0-A54B-79EE9F64B25F}"/>
    <cellStyle name="Vírgula 11 2 4 2 4 2" xfId="1054" xr:uid="{7E11A08D-CCEA-4262-8850-6E6D7BCA5CB3}"/>
    <cellStyle name="Vírgula 11 2 4 2 4 2 2" xfId="1055" xr:uid="{BAB3E336-EF35-4644-9FCE-1FD5642A8819}"/>
    <cellStyle name="Vírgula 11 2 4 2 4 2 3" xfId="6741" xr:uid="{1C1FD6F5-2645-4063-9A04-078F98FAB0B2}"/>
    <cellStyle name="Vírgula 11 2 4 2 4 3" xfId="1056" xr:uid="{80449F90-F745-4728-8D33-425AC69BC832}"/>
    <cellStyle name="Vírgula 11 2 4 2 4 4" xfId="6740" xr:uid="{3C6529B9-CA37-49CE-B2DE-A670559D5EAC}"/>
    <cellStyle name="Vírgula 11 2 4 2 5" xfId="1057" xr:uid="{85DB382A-0385-4C15-B801-A35CA4BFDF9B}"/>
    <cellStyle name="Vírgula 11 2 4 2 5 2" xfId="1058" xr:uid="{A229C27A-FEC8-41AF-9446-6868540FB015}"/>
    <cellStyle name="Vírgula 11 2 4 2 5 3" xfId="6742" xr:uid="{27E65C51-F895-4118-9DEC-8DEE5C876526}"/>
    <cellStyle name="Vírgula 11 2 4 2 6" xfId="1059" xr:uid="{427CACA0-8227-45C4-AE07-0C80EE6DCAF3}"/>
    <cellStyle name="Vírgula 11 2 4 2 7" xfId="6731" xr:uid="{11B65C98-326F-4D76-95CE-45E381D19897}"/>
    <cellStyle name="Vírgula 11 2 4 3" xfId="1060" xr:uid="{64054398-8743-4A6A-9E47-B6D58ECB5539}"/>
    <cellStyle name="Vírgula 11 2 4 3 2" xfId="1061" xr:uid="{6308F17F-B253-42D8-A2D5-CEA74A5270FE}"/>
    <cellStyle name="Vírgula 11 2 4 3 2 2" xfId="1062" xr:uid="{6D5A2717-24E5-4D60-A485-F5C0515B25E3}"/>
    <cellStyle name="Vírgula 11 2 4 3 2 2 2" xfId="1063" xr:uid="{146964D7-EF07-4F40-8418-3B7C189A7791}"/>
    <cellStyle name="Vírgula 11 2 4 3 2 2 2 2" xfId="1064" xr:uid="{5D3023B6-32CD-4C9C-86B0-6F9B9837F5D9}"/>
    <cellStyle name="Vírgula 11 2 4 3 2 2 2 3" xfId="6746" xr:uid="{B6CF12E7-A0D4-42FF-839B-0EDE778C0FE8}"/>
    <cellStyle name="Vírgula 11 2 4 3 2 2 3" xfId="1065" xr:uid="{D22D0641-4651-4282-8936-AF457AB43943}"/>
    <cellStyle name="Vírgula 11 2 4 3 2 2 4" xfId="6745" xr:uid="{AE81677B-D24F-491C-A3F5-D9D78B104EB3}"/>
    <cellStyle name="Vírgula 11 2 4 3 2 3" xfId="1066" xr:uid="{1ACA839F-8F7C-400C-B28B-75959C513AC0}"/>
    <cellStyle name="Vírgula 11 2 4 3 2 3 2" xfId="1067" xr:uid="{2B46D80F-A529-4CA5-BAF6-7D2D2CE3868E}"/>
    <cellStyle name="Vírgula 11 2 4 3 2 3 2 2" xfId="1068" xr:uid="{8BAB5F1E-DE3B-4AB8-928A-5E2D778C91FC}"/>
    <cellStyle name="Vírgula 11 2 4 3 2 3 2 3" xfId="6748" xr:uid="{B61E0C7B-0CC4-478D-8B92-DB693C5C47C9}"/>
    <cellStyle name="Vírgula 11 2 4 3 2 3 3" xfId="1069" xr:uid="{5B895282-C144-4043-A8BD-2507C188CB2C}"/>
    <cellStyle name="Vírgula 11 2 4 3 2 3 4" xfId="6747" xr:uid="{C025B1C5-ADF7-4910-BAD7-A3E3FABC94E1}"/>
    <cellStyle name="Vírgula 11 2 4 3 2 4" xfId="1070" xr:uid="{ABBFB3AB-2E81-4D95-B68F-838984BF0AC7}"/>
    <cellStyle name="Vírgula 11 2 4 3 2 4 2" xfId="1071" xr:uid="{87A6ADB3-580E-4831-8107-77CCD1388650}"/>
    <cellStyle name="Vírgula 11 2 4 3 2 4 3" xfId="6749" xr:uid="{93F623B5-BA7B-4BD0-A742-438D53DDC656}"/>
    <cellStyle name="Vírgula 11 2 4 3 2 5" xfId="1072" xr:uid="{9AF20272-4E14-4AAB-AD5B-1A2893496847}"/>
    <cellStyle name="Vírgula 11 2 4 3 2 6" xfId="6744" xr:uid="{985D6BF6-1757-4582-A023-CC37E1899F3D}"/>
    <cellStyle name="Vírgula 11 2 4 3 3" xfId="1073" xr:uid="{2703B7FB-1444-4F60-9E8A-EB57D145E487}"/>
    <cellStyle name="Vírgula 11 2 4 3 3 2" xfId="1074" xr:uid="{587522B6-F025-4CB3-91EA-7593B88A64FE}"/>
    <cellStyle name="Vírgula 11 2 4 3 3 2 2" xfId="1075" xr:uid="{14A23650-F216-41A9-A581-A30E74BA4F3F}"/>
    <cellStyle name="Vírgula 11 2 4 3 3 2 3" xfId="6751" xr:uid="{BEF80A71-04CB-4850-A677-BB8D5E42D8DC}"/>
    <cellStyle name="Vírgula 11 2 4 3 3 3" xfId="1076" xr:uid="{10E9EC17-98FF-49F0-B698-EB037D3F85B1}"/>
    <cellStyle name="Vírgula 11 2 4 3 3 4" xfId="6750" xr:uid="{0BAB4DB2-B804-44E2-89E9-221D8D637EAE}"/>
    <cellStyle name="Vírgula 11 2 4 3 4" xfId="1077" xr:uid="{9C5457CB-8A54-4C47-95F1-1D657B6ACF61}"/>
    <cellStyle name="Vírgula 11 2 4 3 4 2" xfId="1078" xr:uid="{8F728DFA-F5D8-4D08-B0BC-2727791D84D7}"/>
    <cellStyle name="Vírgula 11 2 4 3 4 2 2" xfId="1079" xr:uid="{3D8089F6-CC8B-4FF4-A94C-549FC06BE2B6}"/>
    <cellStyle name="Vírgula 11 2 4 3 4 2 3" xfId="6753" xr:uid="{90BCDCBF-BD36-4175-B864-0EDB52D13D24}"/>
    <cellStyle name="Vírgula 11 2 4 3 4 3" xfId="1080" xr:uid="{7237F910-AC2B-4D6F-8341-D52B42F598F6}"/>
    <cellStyle name="Vírgula 11 2 4 3 4 4" xfId="6752" xr:uid="{F0A7A7DE-9580-418A-B652-72873BB56C67}"/>
    <cellStyle name="Vírgula 11 2 4 3 5" xfId="1081" xr:uid="{2885FA5E-0AA4-421D-9588-763720182CDB}"/>
    <cellStyle name="Vírgula 11 2 4 3 5 2" xfId="1082" xr:uid="{56665FD9-7467-4F19-B7E6-C72594950624}"/>
    <cellStyle name="Vírgula 11 2 4 3 5 3" xfId="6754" xr:uid="{5CCE8DB1-A4BA-4C8D-BAE7-ADF94775E0F0}"/>
    <cellStyle name="Vírgula 11 2 4 3 6" xfId="1083" xr:uid="{2BC67E65-A628-4983-B90F-D90B2439846B}"/>
    <cellStyle name="Vírgula 11 2 4 3 7" xfId="6743" xr:uid="{EC0CDD27-4861-40D2-97E5-A5DBC6AC45B3}"/>
    <cellStyle name="Vírgula 11 2 4 4" xfId="1084" xr:uid="{9525E423-CB65-4AE2-9F54-2943FFB3577C}"/>
    <cellStyle name="Vírgula 11 2 4 4 2" xfId="1085" xr:uid="{F91F12FB-7B29-4AE3-9EFA-652C7F12696A}"/>
    <cellStyle name="Vírgula 11 2 4 4 2 2" xfId="1086" xr:uid="{A2114AC8-1CFE-4E5E-BFD5-7669A572BF52}"/>
    <cellStyle name="Vírgula 11 2 4 4 2 2 2" xfId="1087" xr:uid="{58C132D9-C78A-450D-AB31-D957064A1E3C}"/>
    <cellStyle name="Vírgula 11 2 4 4 2 2 3" xfId="6757" xr:uid="{7364E2C0-2999-4F0D-BC94-7641E491E297}"/>
    <cellStyle name="Vírgula 11 2 4 4 2 3" xfId="1088" xr:uid="{D4589C45-84FD-4C6F-A20F-DF365708B566}"/>
    <cellStyle name="Vírgula 11 2 4 4 2 4" xfId="6756" xr:uid="{EAD00FA8-4161-4B64-8161-226C7CCE3ABA}"/>
    <cellStyle name="Vírgula 11 2 4 4 3" xfId="1089" xr:uid="{FD8C85D2-7503-4136-95BA-3CE1860010E2}"/>
    <cellStyle name="Vírgula 11 2 4 4 3 2" xfId="1090" xr:uid="{601BA586-9BE5-472E-90F9-394CF20ABDB2}"/>
    <cellStyle name="Vírgula 11 2 4 4 3 2 2" xfId="1091" xr:uid="{2C3B5836-51B9-4EA2-BB41-86CD226589F6}"/>
    <cellStyle name="Vírgula 11 2 4 4 3 2 3" xfId="6759" xr:uid="{205FAF04-7474-4F4C-AD83-3BFD3BEE923C}"/>
    <cellStyle name="Vírgula 11 2 4 4 3 3" xfId="1092" xr:uid="{949123C5-8AE6-4B2E-A1A7-90720F534428}"/>
    <cellStyle name="Vírgula 11 2 4 4 3 4" xfId="6758" xr:uid="{EE60962A-EA66-4EE7-81D8-B27E36CB228F}"/>
    <cellStyle name="Vírgula 11 2 4 4 4" xfId="1093" xr:uid="{B14C5B05-688E-40F3-A22E-A1F190B7E685}"/>
    <cellStyle name="Vírgula 11 2 4 4 4 2" xfId="1094" xr:uid="{3334C021-34D9-4288-A62C-65EFFAE146E9}"/>
    <cellStyle name="Vírgula 11 2 4 4 4 3" xfId="6760" xr:uid="{359D4021-6D8D-4D1E-A053-A35256831E25}"/>
    <cellStyle name="Vírgula 11 2 4 4 5" xfId="1095" xr:uid="{D224723E-C2AD-47AD-9A82-A7F6B3D04DDE}"/>
    <cellStyle name="Vírgula 11 2 4 4 6" xfId="6755" xr:uid="{0986498B-5069-4794-8768-850DA6C5A146}"/>
    <cellStyle name="Vírgula 11 2 4 5" xfId="1096" xr:uid="{5F2D8293-D402-47E2-A69E-0F8AC34EFCCA}"/>
    <cellStyle name="Vírgula 11 2 4 5 2" xfId="1097" xr:uid="{8D3093F1-3C7D-441A-8C79-B770AA3E12F4}"/>
    <cellStyle name="Vírgula 11 2 4 5 2 2" xfId="1098" xr:uid="{E4FF74AA-6D01-4A35-814E-8E30D2BB97D1}"/>
    <cellStyle name="Vírgula 11 2 4 5 2 3" xfId="6762" xr:uid="{AD7ABB8F-4A2D-437E-9B79-80119EF65245}"/>
    <cellStyle name="Vírgula 11 2 4 5 3" xfId="1099" xr:uid="{1582E503-6663-411C-868A-0A344571B016}"/>
    <cellStyle name="Vírgula 11 2 4 5 4" xfId="6761" xr:uid="{62EE43B1-DFD0-45AE-8FF8-7A916642E521}"/>
    <cellStyle name="Vírgula 11 2 4 6" xfId="1100" xr:uid="{BFB31125-0163-4C1C-A5D1-ACB08683B2BC}"/>
    <cellStyle name="Vírgula 11 2 4 6 2" xfId="1101" xr:uid="{6D9DA087-1B81-4C89-812C-5CF5DC841E90}"/>
    <cellStyle name="Vírgula 11 2 4 6 2 2" xfId="1102" xr:uid="{5A32EF25-7C1E-4CAE-8DE7-C54770FAD3F0}"/>
    <cellStyle name="Vírgula 11 2 4 6 2 3" xfId="6764" xr:uid="{E64CB5E8-9BDD-4E61-BEBA-6B204409B6B2}"/>
    <cellStyle name="Vírgula 11 2 4 6 3" xfId="1103" xr:uid="{A0FED8AF-240E-4CE3-9743-ACFB83C0494C}"/>
    <cellStyle name="Vírgula 11 2 4 6 4" xfId="6763" xr:uid="{8B01B0F0-9070-4EAC-B965-CB1A73CEF9A4}"/>
    <cellStyle name="Vírgula 11 2 4 7" xfId="1104" xr:uid="{9E074E54-E41E-479B-9EB7-9A3DDB8556FF}"/>
    <cellStyle name="Vírgula 11 2 4 7 2" xfId="1105" xr:uid="{A7F1F571-7F27-4B45-9E7F-7E1F22417317}"/>
    <cellStyle name="Vírgula 11 2 4 7 3" xfId="6765" xr:uid="{00AD3792-5568-46E4-A9E2-F40F7D9AEABB}"/>
    <cellStyle name="Vírgula 11 2 4 8" xfId="1106" xr:uid="{8AAEB6C1-66B8-4BD1-B0C7-33D871690B45}"/>
    <cellStyle name="Vírgula 11 2 4 9" xfId="6730" xr:uid="{4D93E1F9-638D-42ED-B5B9-2697733CDD36}"/>
    <cellStyle name="Vírgula 11 2 5" xfId="1107" xr:uid="{ECC5BF5B-AA05-4A82-8526-6E4D2011F141}"/>
    <cellStyle name="Vírgula 11 2 5 2" xfId="1108" xr:uid="{DAB90DDD-A89C-47F4-BA49-F03DF97FBF09}"/>
    <cellStyle name="Vírgula 11 2 5 2 2" xfId="1109" xr:uid="{A4A0F9FE-256D-4B50-9457-8B791C6A9C4C}"/>
    <cellStyle name="Vírgula 11 2 5 2 2 2" xfId="1110" xr:uid="{0F19496E-A712-4FB0-BF56-724C3E667F63}"/>
    <cellStyle name="Vírgula 11 2 5 2 2 2 2" xfId="1111" xr:uid="{EE7123D9-2EA9-4403-A43E-E035222D3256}"/>
    <cellStyle name="Vírgula 11 2 5 2 2 2 3" xfId="6769" xr:uid="{2AA02D49-ED13-4EA1-9B25-D36AB5FC7412}"/>
    <cellStyle name="Vírgula 11 2 5 2 2 3" xfId="1112" xr:uid="{37C59AF9-77DC-4BB0-B0E1-265C31AF65A3}"/>
    <cellStyle name="Vírgula 11 2 5 2 2 4" xfId="6768" xr:uid="{37F1A81E-39CC-42FB-953D-0D3BB7AA754C}"/>
    <cellStyle name="Vírgula 11 2 5 2 3" xfId="1113" xr:uid="{B6798FCB-BDFF-4E1D-9D1E-EC3DF14D1D5B}"/>
    <cellStyle name="Vírgula 11 2 5 2 3 2" xfId="1114" xr:uid="{BFAC6EB4-D8FF-405D-9090-8E681C590181}"/>
    <cellStyle name="Vírgula 11 2 5 2 3 2 2" xfId="1115" xr:uid="{DC9CAFF8-603F-43BD-9DFF-6C4E1E04FD71}"/>
    <cellStyle name="Vírgula 11 2 5 2 3 2 3" xfId="6771" xr:uid="{BC93334A-1DD8-4D07-BF7F-4852B49E4616}"/>
    <cellStyle name="Vírgula 11 2 5 2 3 3" xfId="1116" xr:uid="{D64CB5F6-BB6F-4DAF-90AF-B8C07741124C}"/>
    <cellStyle name="Vírgula 11 2 5 2 3 4" xfId="6770" xr:uid="{A83C7971-6F0B-4248-9ECB-E1686A3BA686}"/>
    <cellStyle name="Vírgula 11 2 5 2 4" xfId="1117" xr:uid="{FCDEF2C2-B0D9-4DFD-8567-83CD87F2F3C9}"/>
    <cellStyle name="Vírgula 11 2 5 2 4 2" xfId="1118" xr:uid="{F558262E-B107-4698-80C4-7BBCEE489435}"/>
    <cellStyle name="Vírgula 11 2 5 2 4 3" xfId="6772" xr:uid="{AA219EF8-7680-4C97-BADB-BAD29DA41186}"/>
    <cellStyle name="Vírgula 11 2 5 2 5" xfId="1119" xr:uid="{B0D7C801-7BA0-49B8-BB59-A7DD1F7F20B7}"/>
    <cellStyle name="Vírgula 11 2 5 2 6" xfId="6767" xr:uid="{455F01D1-7543-45AF-B201-909F74548037}"/>
    <cellStyle name="Vírgula 11 2 5 3" xfId="1120" xr:uid="{104AD803-9AC0-465D-8D17-701036912B37}"/>
    <cellStyle name="Vírgula 11 2 5 3 2" xfId="1121" xr:uid="{A567D9A7-C368-44FA-B054-3781AFD1741E}"/>
    <cellStyle name="Vírgula 11 2 5 3 2 2" xfId="1122" xr:uid="{CE365F0B-8D69-4606-A74F-BD923C616B9C}"/>
    <cellStyle name="Vírgula 11 2 5 3 2 3" xfId="6774" xr:uid="{A1AE1453-C612-452F-9764-0C6759652D1D}"/>
    <cellStyle name="Vírgula 11 2 5 3 3" xfId="1123" xr:uid="{A9185EBD-BCA2-4FB7-A1FC-8CDE9381D21E}"/>
    <cellStyle name="Vírgula 11 2 5 3 4" xfId="6773" xr:uid="{4A0E0B46-3737-4BC6-9C73-4569FD1A806B}"/>
    <cellStyle name="Vírgula 11 2 5 4" xfId="1124" xr:uid="{3104F506-1C03-480B-89D4-68A335148EB5}"/>
    <cellStyle name="Vírgula 11 2 5 4 2" xfId="1125" xr:uid="{C6407E50-612C-4FDF-98B3-32755A01C2EF}"/>
    <cellStyle name="Vírgula 11 2 5 4 2 2" xfId="1126" xr:uid="{A451781D-8AEB-482A-A19C-7E8C1D35B194}"/>
    <cellStyle name="Vírgula 11 2 5 4 2 3" xfId="6776" xr:uid="{75B46522-863E-4061-B197-0702984F6D47}"/>
    <cellStyle name="Vírgula 11 2 5 4 3" xfId="1127" xr:uid="{0A8EB2D9-D7CA-4F22-ABC1-11B80137308A}"/>
    <cellStyle name="Vírgula 11 2 5 4 4" xfId="6775" xr:uid="{E1FC46E7-698A-4B0C-912F-9B6A23DC280F}"/>
    <cellStyle name="Vírgula 11 2 5 5" xfId="1128" xr:uid="{6BC7B7B4-A1A7-4C0C-BB63-955E018F7737}"/>
    <cellStyle name="Vírgula 11 2 5 5 2" xfId="1129" xr:uid="{8FA62318-3D88-4B4D-88DC-2A5AAF184BDE}"/>
    <cellStyle name="Vírgula 11 2 5 5 3" xfId="6777" xr:uid="{C5B9B98D-9449-4266-ACDD-DEBC318BA033}"/>
    <cellStyle name="Vírgula 11 2 5 6" xfId="1130" xr:uid="{0D1F6D75-EB27-4E7B-B5BC-15B3043B4DCE}"/>
    <cellStyle name="Vírgula 11 2 5 7" xfId="6766" xr:uid="{4A81D488-4727-45C0-B6EB-DCA93613D7A1}"/>
    <cellStyle name="Vírgula 11 2 6" xfId="1131" xr:uid="{DB3BA95F-5771-493E-87BF-F17C7C083BB7}"/>
    <cellStyle name="Vírgula 11 2 6 2" xfId="1132" xr:uid="{16E45AC2-9922-4B02-80D8-15CDBA5A9096}"/>
    <cellStyle name="Vírgula 11 2 6 2 2" xfId="1133" xr:uid="{18BBE0AB-87A2-4BE8-BC7F-927426BE1F0E}"/>
    <cellStyle name="Vírgula 11 2 6 2 2 2" xfId="1134" xr:uid="{19D49BF3-143B-47E0-85B0-D0AC044E3381}"/>
    <cellStyle name="Vírgula 11 2 6 2 2 2 2" xfId="1135" xr:uid="{B2B5F806-04F2-4345-8274-B6387F989797}"/>
    <cellStyle name="Vírgula 11 2 6 2 2 2 3" xfId="6781" xr:uid="{BA0BF78E-F2F4-4FE3-9566-C2C8FAE2011D}"/>
    <cellStyle name="Vírgula 11 2 6 2 2 3" xfId="1136" xr:uid="{5929E9DE-8454-4F3F-B57C-CA87C23D3009}"/>
    <cellStyle name="Vírgula 11 2 6 2 2 4" xfId="6780" xr:uid="{6A9F4EDB-70A6-4222-BE9A-1C2A160BEB4E}"/>
    <cellStyle name="Vírgula 11 2 6 2 3" xfId="1137" xr:uid="{D31D4CA1-E934-4E28-9474-12386208993A}"/>
    <cellStyle name="Vírgula 11 2 6 2 3 2" xfId="1138" xr:uid="{184236D8-CCA3-4DB1-A435-DA2DD999D2E3}"/>
    <cellStyle name="Vírgula 11 2 6 2 3 2 2" xfId="1139" xr:uid="{AD966902-CE08-4E62-B1B8-4D13F20A9F37}"/>
    <cellStyle name="Vírgula 11 2 6 2 3 2 3" xfId="6783" xr:uid="{BBCF026A-D752-4AA4-874B-10DCD1FB6D59}"/>
    <cellStyle name="Vírgula 11 2 6 2 3 3" xfId="1140" xr:uid="{FAE02FD9-F221-421D-A674-E1C46A30F045}"/>
    <cellStyle name="Vírgula 11 2 6 2 3 4" xfId="6782" xr:uid="{2BCD2C6C-B5F1-4F1C-BF8F-5610F5816B57}"/>
    <cellStyle name="Vírgula 11 2 6 2 4" xfId="1141" xr:uid="{12171530-860A-404D-A729-1D71161CC2A9}"/>
    <cellStyle name="Vírgula 11 2 6 2 4 2" xfId="1142" xr:uid="{E087ED41-D7DE-4B37-82AB-33060ED57079}"/>
    <cellStyle name="Vírgula 11 2 6 2 4 3" xfId="6784" xr:uid="{B750F862-91D4-4C7D-ADDB-64AAB50FFA08}"/>
    <cellStyle name="Vírgula 11 2 6 2 5" xfId="1143" xr:uid="{27537212-9B99-43FF-B48B-F3DF03AE873B}"/>
    <cellStyle name="Vírgula 11 2 6 2 6" xfId="6779" xr:uid="{6863B53C-B544-47BC-BD92-D30E730E3F2E}"/>
    <cellStyle name="Vírgula 11 2 6 3" xfId="1144" xr:uid="{D684FAAD-E6A4-4BE6-86C8-1402B997A465}"/>
    <cellStyle name="Vírgula 11 2 6 3 2" xfId="1145" xr:uid="{A33BF811-6387-4233-B0A6-44C050289560}"/>
    <cellStyle name="Vírgula 11 2 6 3 2 2" xfId="1146" xr:uid="{E30769E2-0DE7-4104-8BE7-0CBF6250C744}"/>
    <cellStyle name="Vírgula 11 2 6 3 2 3" xfId="6786" xr:uid="{3C40944C-1A1B-4FB7-911D-7626277A1ED5}"/>
    <cellStyle name="Vírgula 11 2 6 3 3" xfId="1147" xr:uid="{AD363F40-76EF-4394-9E58-187FF3FB6EB5}"/>
    <cellStyle name="Vírgula 11 2 6 3 4" xfId="6785" xr:uid="{4989EB73-14C9-42A8-930A-C1AD60EEFF9B}"/>
    <cellStyle name="Vírgula 11 2 6 4" xfId="1148" xr:uid="{462A8885-ADE9-4F99-93CF-341794203283}"/>
    <cellStyle name="Vírgula 11 2 6 4 2" xfId="1149" xr:uid="{BC4EC632-08B8-41CF-8CAC-0CE138228CD0}"/>
    <cellStyle name="Vírgula 11 2 6 4 2 2" xfId="1150" xr:uid="{31CC03CF-8D98-4CEE-A2BF-76E13EB989A0}"/>
    <cellStyle name="Vírgula 11 2 6 4 2 3" xfId="6788" xr:uid="{14F2B965-B353-4955-98E2-2CA2942A62E7}"/>
    <cellStyle name="Vírgula 11 2 6 4 3" xfId="1151" xr:uid="{91A1C293-A219-431A-80DD-1CFF818AD78C}"/>
    <cellStyle name="Vírgula 11 2 6 4 4" xfId="6787" xr:uid="{95645257-C50D-4F0C-AEE6-EADB92B57ED8}"/>
    <cellStyle name="Vírgula 11 2 6 5" xfId="1152" xr:uid="{E1F7B629-1BB4-4FBD-A8EE-F4F8EB283EE8}"/>
    <cellStyle name="Vírgula 11 2 6 5 2" xfId="1153" xr:uid="{7EC3762E-A2A5-425E-9248-9694B9CBC407}"/>
    <cellStyle name="Vírgula 11 2 6 5 3" xfId="6789" xr:uid="{E2939946-70B5-4F2B-9911-0439E83401F4}"/>
    <cellStyle name="Vírgula 11 2 6 6" xfId="1154" xr:uid="{4BA3B42B-2675-4556-8887-1C50E9E86B6B}"/>
    <cellStyle name="Vírgula 11 2 6 7" xfId="6778" xr:uid="{0B013A75-2352-46A8-AB04-0861D0514A94}"/>
    <cellStyle name="Vírgula 11 2 7" xfId="1155" xr:uid="{3623E1BF-7C8D-4FE7-9421-23260E048C81}"/>
    <cellStyle name="Vírgula 11 2 7 2" xfId="1156" xr:uid="{EEA49E61-62A3-4457-BE16-AC610385C162}"/>
    <cellStyle name="Vírgula 11 2 7 2 2" xfId="1157" xr:uid="{EB59EBAF-1540-41C9-84CF-1A7E63013487}"/>
    <cellStyle name="Vírgula 11 2 7 2 2 2" xfId="1158" xr:uid="{2A540886-2794-4CAE-B638-C1F0922858ED}"/>
    <cellStyle name="Vírgula 11 2 7 2 2 3" xfId="6792" xr:uid="{1C1C5BB3-7FA0-4E90-8BE7-CD04F86D2E7D}"/>
    <cellStyle name="Vírgula 11 2 7 2 3" xfId="1159" xr:uid="{76A90492-BEA1-400C-8B5B-D25F99400352}"/>
    <cellStyle name="Vírgula 11 2 7 2 4" xfId="6791" xr:uid="{E987A340-94CD-4DD5-92E8-9183225D2900}"/>
    <cellStyle name="Vírgula 11 2 7 3" xfId="1160" xr:uid="{80D2CE87-F8D2-4272-A8AE-4961EC0688B2}"/>
    <cellStyle name="Vírgula 11 2 7 3 2" xfId="1161" xr:uid="{D2A6DA45-750B-4C31-9561-6B01EDDDFAEB}"/>
    <cellStyle name="Vírgula 11 2 7 3 2 2" xfId="1162" xr:uid="{984AA430-27E0-4EA3-92D9-C0BAD8FBC2F4}"/>
    <cellStyle name="Vírgula 11 2 7 3 2 3" xfId="6794" xr:uid="{B42B3505-B343-4228-B8BD-6D50050550F9}"/>
    <cellStyle name="Vírgula 11 2 7 3 3" xfId="1163" xr:uid="{C345293C-6B0E-4600-B2C4-2872CF17758F}"/>
    <cellStyle name="Vírgula 11 2 7 3 4" xfId="6793" xr:uid="{EF85431E-CFAF-4571-9E6E-FB16FC78E2CA}"/>
    <cellStyle name="Vírgula 11 2 7 4" xfId="1164" xr:uid="{56A567A6-B993-4580-A2BF-E49D724A6531}"/>
    <cellStyle name="Vírgula 11 2 7 4 2" xfId="1165" xr:uid="{C61B875F-1067-43F5-9C7E-1D8348C56BC3}"/>
    <cellStyle name="Vírgula 11 2 7 4 3" xfId="6795" xr:uid="{8AEF6155-32F5-4217-A16D-D9C060A68BA3}"/>
    <cellStyle name="Vírgula 11 2 7 5" xfId="1166" xr:uid="{DF16C17A-97DA-41A8-8208-122150A3B010}"/>
    <cellStyle name="Vírgula 11 2 7 6" xfId="6790" xr:uid="{9D38F399-815B-4D6C-8219-CA5D12FD9913}"/>
    <cellStyle name="Vírgula 11 2 8" xfId="1167" xr:uid="{EFB23C51-78B8-4977-A9C3-4283BEA3F710}"/>
    <cellStyle name="Vírgula 11 2 8 2" xfId="1168" xr:uid="{6EF88CD9-FF35-4611-9BAB-67E55330C5BA}"/>
    <cellStyle name="Vírgula 11 2 8 2 2" xfId="1169" xr:uid="{76B2A72E-FBF7-4852-AB61-C8C7ACB1BEB1}"/>
    <cellStyle name="Vírgula 11 2 8 2 3" xfId="6797" xr:uid="{0AAEA180-899F-462E-BA2E-C5B52D6EA594}"/>
    <cellStyle name="Vírgula 11 2 8 3" xfId="1170" xr:uid="{3D825C20-65AF-40BB-ABF6-35DE5FF29B53}"/>
    <cellStyle name="Vírgula 11 2 8 4" xfId="6796" xr:uid="{D4C044D4-B69A-49E4-AC8E-3E50EF58BAB7}"/>
    <cellStyle name="Vírgula 11 2 9" xfId="1171" xr:uid="{E0B1C1F0-2746-4023-94DE-D3B3B8514BB0}"/>
    <cellStyle name="Vírgula 11 2 9 2" xfId="1172" xr:uid="{D851EA1F-BFC2-4F0A-8412-76C184EE9FC5}"/>
    <cellStyle name="Vírgula 11 2 9 2 2" xfId="1173" xr:uid="{341753A3-44A7-4AFC-8160-08E1564B5DD0}"/>
    <cellStyle name="Vírgula 11 2 9 2 3" xfId="6799" xr:uid="{7925036A-BC25-401C-8278-33F30A12B4F8}"/>
    <cellStyle name="Vírgula 11 2 9 3" xfId="1174" xr:uid="{D2183BEB-24A0-44A3-AA6B-B6D6FCBACED8}"/>
    <cellStyle name="Vírgula 11 2 9 4" xfId="6798" xr:uid="{9D6C9C24-D61F-4B0B-BABE-89B37A1DD462}"/>
    <cellStyle name="Vírgula 11 3" xfId="1175" xr:uid="{4521B147-36CB-4B23-A895-E47B2E120C08}"/>
    <cellStyle name="Vírgula 11 3 2" xfId="1176" xr:uid="{7DDBDC52-3F6E-4044-9C11-352ECEE4C8BE}"/>
    <cellStyle name="Vírgula 11 3 2 2" xfId="1177" xr:uid="{299B6590-65DE-407A-9063-0E5987E0064C}"/>
    <cellStyle name="Vírgula 11 3 2 2 2" xfId="1178" xr:uid="{0226E7BB-647B-4000-B5DA-7563E32EEEC0}"/>
    <cellStyle name="Vírgula 11 3 2 2 2 2" xfId="1179" xr:uid="{01757E7A-2651-4933-9072-F55AE0C452C8}"/>
    <cellStyle name="Vírgula 11 3 2 2 2 2 2" xfId="1180" xr:uid="{BE1BFF79-6A4E-49FC-A266-C89B7AA5A1C8}"/>
    <cellStyle name="Vírgula 11 3 2 2 2 2 3" xfId="6804" xr:uid="{8DD042FF-65E9-4323-A8DE-F3100790EF46}"/>
    <cellStyle name="Vírgula 11 3 2 2 2 3" xfId="1181" xr:uid="{F7D84C3E-269D-4188-806D-DE9C28E64BA5}"/>
    <cellStyle name="Vírgula 11 3 2 2 2 4" xfId="6803" xr:uid="{FADD5DEF-4098-40E3-B556-2F020D08CFD6}"/>
    <cellStyle name="Vírgula 11 3 2 2 3" xfId="1182" xr:uid="{BF2FBBAB-1EF8-46C7-8BDB-3C49E92D4FD1}"/>
    <cellStyle name="Vírgula 11 3 2 2 3 2" xfId="1183" xr:uid="{AD527C1C-B7DB-4D94-88F2-2287D92484EC}"/>
    <cellStyle name="Vírgula 11 3 2 2 3 2 2" xfId="1184" xr:uid="{7FA9208C-2B25-4840-99A2-52D5F3E6B141}"/>
    <cellStyle name="Vírgula 11 3 2 2 3 2 3" xfId="6806" xr:uid="{3D1AFE56-C2C4-4C9C-9827-D1E4BF6F485B}"/>
    <cellStyle name="Vírgula 11 3 2 2 3 3" xfId="1185" xr:uid="{8A15BCB9-E92C-4291-9CB6-C0903D2F742E}"/>
    <cellStyle name="Vírgula 11 3 2 2 3 4" xfId="6805" xr:uid="{66E7C868-8BDE-45A9-B1D3-11DAE8879A52}"/>
    <cellStyle name="Vírgula 11 3 2 2 4" xfId="1186" xr:uid="{3D26CD46-83AB-4766-BC19-D8D389FF2F48}"/>
    <cellStyle name="Vírgula 11 3 2 2 4 2" xfId="1187" xr:uid="{98BB532A-2DAB-401F-AB56-F241358F1B6C}"/>
    <cellStyle name="Vírgula 11 3 2 2 4 3" xfId="6807" xr:uid="{9BF840AE-D09F-43F9-BA78-446EA0F11827}"/>
    <cellStyle name="Vírgula 11 3 2 2 5" xfId="1188" xr:uid="{48548AB1-8111-4A43-84F6-D917FB688515}"/>
    <cellStyle name="Vírgula 11 3 2 2 6" xfId="6802" xr:uid="{224944D7-FB00-43BE-98CD-D209493146A5}"/>
    <cellStyle name="Vírgula 11 3 2 3" xfId="1189" xr:uid="{BDE83DBD-1543-4CFA-9A73-3C08DF3C7BBA}"/>
    <cellStyle name="Vírgula 11 3 2 3 2" xfId="1190" xr:uid="{C40433C3-C154-41F7-8D16-4F9DE2B9F564}"/>
    <cellStyle name="Vírgula 11 3 2 3 2 2" xfId="1191" xr:uid="{D180AA5B-4C2C-4438-8522-B2635E96BD6D}"/>
    <cellStyle name="Vírgula 11 3 2 3 2 3" xfId="6809" xr:uid="{CBFD7EBA-DEA9-4947-ABF6-91A5D1906BF2}"/>
    <cellStyle name="Vírgula 11 3 2 3 3" xfId="1192" xr:uid="{8B2BE09B-B2E1-4FBD-9DA6-17F2B9FA9BAC}"/>
    <cellStyle name="Vírgula 11 3 2 3 4" xfId="6808" xr:uid="{7C8782D3-A69D-4CBA-9E14-BE1B68AB16E1}"/>
    <cellStyle name="Vírgula 11 3 2 4" xfId="1193" xr:uid="{BC0B4890-12EB-4461-99DD-BDB47FF5B592}"/>
    <cellStyle name="Vírgula 11 3 2 4 2" xfId="1194" xr:uid="{581F99BB-E649-4005-9F6B-5DCD1E6B46A1}"/>
    <cellStyle name="Vírgula 11 3 2 4 2 2" xfId="1195" xr:uid="{8AFBBC01-3120-447C-85DC-2250115C1EDC}"/>
    <cellStyle name="Vírgula 11 3 2 4 2 3" xfId="6811" xr:uid="{FF2AF646-FD39-4381-B723-F5615955BC5A}"/>
    <cellStyle name="Vírgula 11 3 2 4 3" xfId="1196" xr:uid="{3FBC266C-0A10-4628-95C8-83B804F055D0}"/>
    <cellStyle name="Vírgula 11 3 2 4 4" xfId="6810" xr:uid="{D1EEE419-611E-4444-BCF0-D22364F0270D}"/>
    <cellStyle name="Vírgula 11 3 2 5" xfId="1197" xr:uid="{316EF00C-4E9A-41D9-8130-38EF8CA78734}"/>
    <cellStyle name="Vírgula 11 3 2 5 2" xfId="1198" xr:uid="{8635B6A1-A98A-4C80-9FDB-6D71D433792C}"/>
    <cellStyle name="Vírgula 11 3 2 5 3" xfId="6812" xr:uid="{DDC61D4A-6D12-4F8E-9532-B411F149AE18}"/>
    <cellStyle name="Vírgula 11 3 2 6" xfId="1199" xr:uid="{B7379D2B-4473-4A46-85C0-F9909677ABCB}"/>
    <cellStyle name="Vírgula 11 3 2 7" xfId="6801" xr:uid="{85C6A280-A44F-4179-B72E-95A5B78EF787}"/>
    <cellStyle name="Vírgula 11 3 3" xfId="1200" xr:uid="{9FABE39E-896A-47A7-B9BF-9ADA9270E149}"/>
    <cellStyle name="Vírgula 11 3 3 2" xfId="1201" xr:uid="{E8F36131-BBF4-487A-A3BB-4FBDC17C810C}"/>
    <cellStyle name="Vírgula 11 3 3 2 2" xfId="1202" xr:uid="{07C65986-4D4D-44E8-BC4C-0AF06D6393A2}"/>
    <cellStyle name="Vírgula 11 3 3 2 2 2" xfId="1203" xr:uid="{DF73193D-FC00-4765-8449-77861524CE23}"/>
    <cellStyle name="Vírgula 11 3 3 2 2 2 2" xfId="1204" xr:uid="{3D4186C7-57A4-4C24-AD5E-09720AFA512E}"/>
    <cellStyle name="Vírgula 11 3 3 2 2 2 3" xfId="6816" xr:uid="{0AC0EB88-5511-4992-BDD6-692889C6D881}"/>
    <cellStyle name="Vírgula 11 3 3 2 2 3" xfId="1205" xr:uid="{257A4DA3-00CD-4A72-9AE6-AAFECA338633}"/>
    <cellStyle name="Vírgula 11 3 3 2 2 4" xfId="6815" xr:uid="{5B916F29-A19C-41B2-9910-60B70F32EF1A}"/>
    <cellStyle name="Vírgula 11 3 3 2 3" xfId="1206" xr:uid="{F95B5F6B-9CF4-4743-862F-34E5AAE78507}"/>
    <cellStyle name="Vírgula 11 3 3 2 3 2" xfId="1207" xr:uid="{B59C45D9-9ECA-4D65-A064-CFCEBF80EB3E}"/>
    <cellStyle name="Vírgula 11 3 3 2 3 2 2" xfId="1208" xr:uid="{26891AC1-FDDB-4387-9F34-47EDE75EAAA1}"/>
    <cellStyle name="Vírgula 11 3 3 2 3 2 3" xfId="6818" xr:uid="{6F12C753-A354-4C24-AC28-F8E3A9D91033}"/>
    <cellStyle name="Vírgula 11 3 3 2 3 3" xfId="1209" xr:uid="{E35F7AC5-BE95-40DA-B053-E79164565460}"/>
    <cellStyle name="Vírgula 11 3 3 2 3 4" xfId="6817" xr:uid="{FCB3FCC7-C1E2-4E2F-8595-80A7C1B49773}"/>
    <cellStyle name="Vírgula 11 3 3 2 4" xfId="1210" xr:uid="{629DF61A-8814-4CDC-A408-371DBA153C5D}"/>
    <cellStyle name="Vírgula 11 3 3 2 4 2" xfId="1211" xr:uid="{B4F7F047-28C6-4A87-9DEE-76CE236A242D}"/>
    <cellStyle name="Vírgula 11 3 3 2 4 3" xfId="6819" xr:uid="{056DD943-18AF-4F15-B20F-88329FB33A4F}"/>
    <cellStyle name="Vírgula 11 3 3 2 5" xfId="1212" xr:uid="{BCDD9697-BFBA-4945-B2AE-EA816565D467}"/>
    <cellStyle name="Vírgula 11 3 3 2 6" xfId="6814" xr:uid="{871D2749-21F8-4DB2-8542-A572BAB61687}"/>
    <cellStyle name="Vírgula 11 3 3 3" xfId="1213" xr:uid="{557BDCA7-3721-4048-BA15-661B1FADE319}"/>
    <cellStyle name="Vírgula 11 3 3 3 2" xfId="1214" xr:uid="{83D86971-11A1-4347-9285-E1F95C6440ED}"/>
    <cellStyle name="Vírgula 11 3 3 3 2 2" xfId="1215" xr:uid="{14A8BA23-519B-4951-A849-FAB1060E68AC}"/>
    <cellStyle name="Vírgula 11 3 3 3 2 3" xfId="6821" xr:uid="{F810D315-5455-42A1-BF43-032BBD2CD6F2}"/>
    <cellStyle name="Vírgula 11 3 3 3 3" xfId="1216" xr:uid="{3AD726EC-736A-4FD9-B8E9-97D09C5A2EB7}"/>
    <cellStyle name="Vírgula 11 3 3 3 4" xfId="6820" xr:uid="{708F2281-F77A-440F-9CFF-5757D1F42A65}"/>
    <cellStyle name="Vírgula 11 3 3 4" xfId="1217" xr:uid="{87AF4727-7B80-456E-A1BB-E02080F1D578}"/>
    <cellStyle name="Vírgula 11 3 3 4 2" xfId="1218" xr:uid="{ADB11ABA-5C07-4A10-9DE6-EC359F6F6DCF}"/>
    <cellStyle name="Vírgula 11 3 3 4 2 2" xfId="1219" xr:uid="{58154F70-4528-4FC4-87DF-5CF125958B79}"/>
    <cellStyle name="Vírgula 11 3 3 4 2 3" xfId="6823" xr:uid="{B551A4AB-4183-4787-87D1-6D061713F859}"/>
    <cellStyle name="Vírgula 11 3 3 4 3" xfId="1220" xr:uid="{D9896BC5-8161-46F6-8874-1C77E0F122B3}"/>
    <cellStyle name="Vírgula 11 3 3 4 4" xfId="6822" xr:uid="{1E03AE87-D7D1-4B5A-8B14-F550A795FEAE}"/>
    <cellStyle name="Vírgula 11 3 3 5" xfId="1221" xr:uid="{DD9EDA61-32AD-49FC-A07C-1215EE89AAA4}"/>
    <cellStyle name="Vírgula 11 3 3 5 2" xfId="1222" xr:uid="{BA687BD3-0207-4F7D-9DE5-6E17F18BC64F}"/>
    <cellStyle name="Vírgula 11 3 3 5 3" xfId="6824" xr:uid="{477FB3EB-A6D4-46DA-926C-7B0EF3F108B8}"/>
    <cellStyle name="Vírgula 11 3 3 6" xfId="1223" xr:uid="{F256C0B6-A187-4380-9EAF-A3E4922275BD}"/>
    <cellStyle name="Vírgula 11 3 3 7" xfId="6813" xr:uid="{BBC88D2E-0952-4FF1-820C-C469551178F2}"/>
    <cellStyle name="Vírgula 11 3 4" xfId="1224" xr:uid="{92B4AEC2-A2DA-44D0-8660-D7C793B25618}"/>
    <cellStyle name="Vírgula 11 3 4 2" xfId="1225" xr:uid="{6E4D7BE5-2D0A-4518-861E-F5DBED37A677}"/>
    <cellStyle name="Vírgula 11 3 4 2 2" xfId="1226" xr:uid="{69E753CC-D8B7-4A9A-BE36-45AFB750B932}"/>
    <cellStyle name="Vírgula 11 3 4 2 2 2" xfId="1227" xr:uid="{7D2134EA-114F-49F4-AB63-F4AE286781F1}"/>
    <cellStyle name="Vírgula 11 3 4 2 2 3" xfId="6827" xr:uid="{5D94F213-A86F-4CD5-AD75-2635E4A92DC0}"/>
    <cellStyle name="Vírgula 11 3 4 2 3" xfId="1228" xr:uid="{6FF78616-38AB-4B70-A711-5A6839D34E55}"/>
    <cellStyle name="Vírgula 11 3 4 2 4" xfId="6826" xr:uid="{1C93778A-7433-4EC7-BDDC-DC38A7CC243F}"/>
    <cellStyle name="Vírgula 11 3 4 3" xfId="1229" xr:uid="{602F3464-9E0F-4E4E-962D-45A92B0046DF}"/>
    <cellStyle name="Vírgula 11 3 4 3 2" xfId="1230" xr:uid="{F3964D0F-E52F-4F3F-9B5A-C7983B20CE5F}"/>
    <cellStyle name="Vírgula 11 3 4 3 2 2" xfId="1231" xr:uid="{8F157B1F-8A38-41EF-B763-66D60E1F7FEA}"/>
    <cellStyle name="Vírgula 11 3 4 3 2 3" xfId="6829" xr:uid="{854FD622-F286-48B8-99F4-EE34B496F560}"/>
    <cellStyle name="Vírgula 11 3 4 3 3" xfId="1232" xr:uid="{C77DDBA7-7DB8-4B4F-B84F-474F4C61BFAF}"/>
    <cellStyle name="Vírgula 11 3 4 3 4" xfId="6828" xr:uid="{7FB86C6A-CD40-4DD7-8FB7-5A636BFDCB38}"/>
    <cellStyle name="Vírgula 11 3 4 4" xfId="1233" xr:uid="{98497297-042D-4444-9801-2F00AC747CBE}"/>
    <cellStyle name="Vírgula 11 3 4 4 2" xfId="1234" xr:uid="{F1162F39-E405-4C15-A8CB-058C3E789F7B}"/>
    <cellStyle name="Vírgula 11 3 4 4 3" xfId="6830" xr:uid="{785C4117-B49D-4F5F-9361-8E106A9C4CCC}"/>
    <cellStyle name="Vírgula 11 3 4 5" xfId="1235" xr:uid="{4A817A4B-6488-48DC-B26F-3365BF20CF31}"/>
    <cellStyle name="Vírgula 11 3 4 6" xfId="6825" xr:uid="{9A25373C-09A9-4A4A-8F58-220ACC228360}"/>
    <cellStyle name="Vírgula 11 3 5" xfId="1236" xr:uid="{74E337CD-3061-43FF-96F9-DBC36922FC7B}"/>
    <cellStyle name="Vírgula 11 3 5 2" xfId="1237" xr:uid="{7A0C8DD0-8FC4-42CC-9103-E5B444C9BEFD}"/>
    <cellStyle name="Vírgula 11 3 5 2 2" xfId="1238" xr:uid="{A6DF9AC0-C33E-4EE5-8F0D-964684C8A88A}"/>
    <cellStyle name="Vírgula 11 3 5 2 3" xfId="6832" xr:uid="{B9CC8B73-F5D3-4AC1-9D1B-F78D7B43C8B2}"/>
    <cellStyle name="Vírgula 11 3 5 3" xfId="1239" xr:uid="{0CD29FDC-8122-4CE1-B56C-2DBFE74741B7}"/>
    <cellStyle name="Vírgula 11 3 5 4" xfId="6831" xr:uid="{C4B00304-08AB-4E70-B852-8974F37CF27E}"/>
    <cellStyle name="Vírgula 11 3 6" xfId="1240" xr:uid="{86D3C651-7CFD-4188-A664-A4E60F4F8C3E}"/>
    <cellStyle name="Vírgula 11 3 6 2" xfId="1241" xr:uid="{B0F27D97-02A0-4630-9930-4812A3A23906}"/>
    <cellStyle name="Vírgula 11 3 6 2 2" xfId="1242" xr:uid="{CDAD0F8A-E1ED-450B-A02E-E4F35E242AFD}"/>
    <cellStyle name="Vírgula 11 3 6 2 3" xfId="6834" xr:uid="{9B19D5CF-7A1F-4C71-8697-75C8AB61AFFB}"/>
    <cellStyle name="Vírgula 11 3 6 3" xfId="1243" xr:uid="{45EB9691-72F2-478B-A955-699F42E618FC}"/>
    <cellStyle name="Vírgula 11 3 6 4" xfId="6833" xr:uid="{EA10D5B4-EE1B-44FD-9005-95D13B74A752}"/>
    <cellStyle name="Vírgula 11 3 7" xfId="1244" xr:uid="{6DD3DB3B-9C9B-45C6-B7F9-9E47A12C9D65}"/>
    <cellStyle name="Vírgula 11 3 7 2" xfId="1245" xr:uid="{F1717378-99DC-4FD8-8316-C0D9D72C3882}"/>
    <cellStyle name="Vírgula 11 3 7 3" xfId="6835" xr:uid="{019AAC68-14D2-4CF2-8374-8E4C7E8B4309}"/>
    <cellStyle name="Vírgula 11 3 8" xfId="1246" xr:uid="{2CA3F53D-E51E-4B44-9799-3D361D2D861E}"/>
    <cellStyle name="Vírgula 11 3 9" xfId="6800" xr:uid="{496C9AD8-0295-4584-A634-FE905D64D989}"/>
    <cellStyle name="Vírgula 11 4" xfId="1247" xr:uid="{EAF07466-4503-42AC-9645-AB2C77BB158C}"/>
    <cellStyle name="Vírgula 11 4 2" xfId="1248" xr:uid="{991DBBB7-6121-4206-BB71-1C824C86FAF3}"/>
    <cellStyle name="Vírgula 11 4 2 2" xfId="1249" xr:uid="{0BE9263A-0616-4036-A7A5-E534CA2C97B3}"/>
    <cellStyle name="Vírgula 11 4 2 2 2" xfId="1250" xr:uid="{A48DEF1A-FDBD-4D42-BF97-3A73F8D5A095}"/>
    <cellStyle name="Vírgula 11 4 2 2 2 2" xfId="1251" xr:uid="{E3ED07AF-C553-46C0-A76E-77D29F5D7F24}"/>
    <cellStyle name="Vírgula 11 4 2 2 2 2 2" xfId="1252" xr:uid="{0FA44A85-1505-4142-8DD7-45F0377400FA}"/>
    <cellStyle name="Vírgula 11 4 2 2 2 2 3" xfId="6840" xr:uid="{53966220-E47D-4739-AD32-B3A8A69A0BA5}"/>
    <cellStyle name="Vírgula 11 4 2 2 2 3" xfId="1253" xr:uid="{A007AA11-3B33-4692-8B93-AACEBCD90FAC}"/>
    <cellStyle name="Vírgula 11 4 2 2 2 4" xfId="6839" xr:uid="{B302BF7E-CF97-44A0-BF64-FB8DD0970D23}"/>
    <cellStyle name="Vírgula 11 4 2 2 3" xfId="1254" xr:uid="{204769D4-0A31-423D-9FEF-5420521E41F5}"/>
    <cellStyle name="Vírgula 11 4 2 2 3 2" xfId="1255" xr:uid="{A2960D0E-5BBF-4075-97A0-44EFBBC5B60D}"/>
    <cellStyle name="Vírgula 11 4 2 2 3 2 2" xfId="1256" xr:uid="{3617BBDF-0CD2-43ED-ADD0-A7CBAF57B7F3}"/>
    <cellStyle name="Vírgula 11 4 2 2 3 2 3" xfId="6842" xr:uid="{3F24636B-33DF-4470-B675-D5DC10EED4E4}"/>
    <cellStyle name="Vírgula 11 4 2 2 3 3" xfId="1257" xr:uid="{8748F236-32C9-4C31-8D6C-3F0125B1A8DD}"/>
    <cellStyle name="Vírgula 11 4 2 2 3 4" xfId="6841" xr:uid="{BF203EE2-0925-4445-85B6-737072DA0E75}"/>
    <cellStyle name="Vírgula 11 4 2 2 4" xfId="1258" xr:uid="{C333D79D-3303-425F-BF01-9AA8CBF589F1}"/>
    <cellStyle name="Vírgula 11 4 2 2 4 2" xfId="1259" xr:uid="{6A0EC2FA-658A-4EAC-B868-A5D1EF3A8582}"/>
    <cellStyle name="Vírgula 11 4 2 2 4 3" xfId="6843" xr:uid="{1DC53D38-2278-46E1-A05C-B4595341576B}"/>
    <cellStyle name="Vírgula 11 4 2 2 5" xfId="1260" xr:uid="{7F16EA3E-F10B-4692-9F15-905863229D34}"/>
    <cellStyle name="Vírgula 11 4 2 2 6" xfId="6838" xr:uid="{8D5071D3-F947-4E6C-9A5B-098D63B8D69A}"/>
    <cellStyle name="Vírgula 11 4 2 3" xfId="1261" xr:uid="{124C6ED9-FED7-4EDC-9122-DC6BC5D0F421}"/>
    <cellStyle name="Vírgula 11 4 2 3 2" xfId="1262" xr:uid="{E5664CDB-2985-4C96-B653-1B12B08CAB90}"/>
    <cellStyle name="Vírgula 11 4 2 3 2 2" xfId="1263" xr:uid="{0BE1E717-7408-4448-BE26-5E9163C2FF30}"/>
    <cellStyle name="Vírgula 11 4 2 3 2 3" xfId="6845" xr:uid="{4FA450C0-6D2F-4C39-AD6C-67F9F82E5485}"/>
    <cellStyle name="Vírgula 11 4 2 3 3" xfId="1264" xr:uid="{3603D942-AB1B-4A0C-B2F7-149045DBC395}"/>
    <cellStyle name="Vírgula 11 4 2 3 4" xfId="6844" xr:uid="{30A1EFB3-DB54-4FF1-B5A8-508595DA55AA}"/>
    <cellStyle name="Vírgula 11 4 2 4" xfId="1265" xr:uid="{B5D2D213-852F-4D35-890B-953A1CD16E5E}"/>
    <cellStyle name="Vírgula 11 4 2 4 2" xfId="1266" xr:uid="{9A01BC3A-738F-49FB-8FE3-E23B7A34760B}"/>
    <cellStyle name="Vírgula 11 4 2 4 2 2" xfId="1267" xr:uid="{44FBBACF-180F-4D29-B4D2-D2F0C6DEB075}"/>
    <cellStyle name="Vírgula 11 4 2 4 2 3" xfId="6847" xr:uid="{CB1BA318-7B35-4514-BC69-00F52D3124A7}"/>
    <cellStyle name="Vírgula 11 4 2 4 3" xfId="1268" xr:uid="{01BABD16-71E5-4110-A198-5D8D2D2F4974}"/>
    <cellStyle name="Vírgula 11 4 2 4 4" xfId="6846" xr:uid="{89F5B173-9418-4B03-89B0-1DB0914CB625}"/>
    <cellStyle name="Vírgula 11 4 2 5" xfId="1269" xr:uid="{AE07B07C-5E2A-4C48-85F1-CBB0C790F791}"/>
    <cellStyle name="Vírgula 11 4 2 5 2" xfId="1270" xr:uid="{8822E020-0C76-43F7-9805-6EAC01D9DF5D}"/>
    <cellStyle name="Vírgula 11 4 2 5 3" xfId="6848" xr:uid="{4C5A95E2-568E-409B-BB8F-6D906EBF9121}"/>
    <cellStyle name="Vírgula 11 4 2 6" xfId="1271" xr:uid="{053BEEE7-D450-486B-A4C0-68B539C1A14E}"/>
    <cellStyle name="Vírgula 11 4 2 7" xfId="6837" xr:uid="{3DDCC2ED-B56F-4162-A208-B51A4D3BEDBF}"/>
    <cellStyle name="Vírgula 11 4 3" xfId="1272" xr:uid="{F761CBB8-EF1F-4062-AAA7-C8B73BF15324}"/>
    <cellStyle name="Vírgula 11 4 3 2" xfId="1273" xr:uid="{86C02D23-ED07-4D44-AA5F-538A090D28D7}"/>
    <cellStyle name="Vírgula 11 4 3 2 2" xfId="1274" xr:uid="{B6541DC0-48AF-4B22-BDF8-79C86EA66433}"/>
    <cellStyle name="Vírgula 11 4 3 2 2 2" xfId="1275" xr:uid="{AF3E6C32-FC9F-4F20-9A98-00689BC0C995}"/>
    <cellStyle name="Vírgula 11 4 3 2 2 2 2" xfId="1276" xr:uid="{39BA5117-F477-48E1-AA7B-8EF6BA67371E}"/>
    <cellStyle name="Vírgula 11 4 3 2 2 2 3" xfId="6852" xr:uid="{78940EDA-364D-4DD1-9E47-B749858B7B09}"/>
    <cellStyle name="Vírgula 11 4 3 2 2 3" xfId="1277" xr:uid="{39EB7B53-1F38-4B5D-B655-4DC59B26C1B0}"/>
    <cellStyle name="Vírgula 11 4 3 2 2 4" xfId="6851" xr:uid="{386CBC6C-0CA9-4765-9413-76E3B6555836}"/>
    <cellStyle name="Vírgula 11 4 3 2 3" xfId="1278" xr:uid="{4EC55743-D7AE-4779-BA90-09863C9E0660}"/>
    <cellStyle name="Vírgula 11 4 3 2 3 2" xfId="1279" xr:uid="{7EB40E8F-5B64-442F-94C2-54B50F7A318F}"/>
    <cellStyle name="Vírgula 11 4 3 2 3 2 2" xfId="1280" xr:uid="{030369D4-AB59-4CF7-B8EB-85B7D945977C}"/>
    <cellStyle name="Vírgula 11 4 3 2 3 2 3" xfId="6854" xr:uid="{42457BAF-43D9-4878-9FC1-8B92EFEDA4CD}"/>
    <cellStyle name="Vírgula 11 4 3 2 3 3" xfId="1281" xr:uid="{FD153592-C39E-41E3-B500-2695A2169068}"/>
    <cellStyle name="Vírgula 11 4 3 2 3 4" xfId="6853" xr:uid="{40E7B30D-BB16-4BFF-843B-C552432FC6D8}"/>
    <cellStyle name="Vírgula 11 4 3 2 4" xfId="1282" xr:uid="{E7C1C02C-12FF-48AB-B0CE-167C73848FD9}"/>
    <cellStyle name="Vírgula 11 4 3 2 4 2" xfId="1283" xr:uid="{B25F6780-0159-4A72-9A46-F9BBDCA99CF4}"/>
    <cellStyle name="Vírgula 11 4 3 2 4 3" xfId="6855" xr:uid="{754F0D7B-1F14-4FD9-B504-97FCFE0FF491}"/>
    <cellStyle name="Vírgula 11 4 3 2 5" xfId="1284" xr:uid="{5F5879A1-6449-41B3-A3B6-0D5F02574FD7}"/>
    <cellStyle name="Vírgula 11 4 3 2 6" xfId="6850" xr:uid="{3A378D17-8C05-424A-8E52-0337551A1D7D}"/>
    <cellStyle name="Vírgula 11 4 3 3" xfId="1285" xr:uid="{1EBC5FF1-701D-4EC0-B3A4-03BEA4FF28B5}"/>
    <cellStyle name="Vírgula 11 4 3 3 2" xfId="1286" xr:uid="{6986E17F-EF42-40C0-8775-71BD66E711AB}"/>
    <cellStyle name="Vírgula 11 4 3 3 2 2" xfId="1287" xr:uid="{06FBE5BE-AE51-49B6-8DE5-93FC80342ADD}"/>
    <cellStyle name="Vírgula 11 4 3 3 2 3" xfId="6857" xr:uid="{5A0104C8-1DC5-461A-ACA8-55C337E98C3E}"/>
    <cellStyle name="Vírgula 11 4 3 3 3" xfId="1288" xr:uid="{9551CA5E-F3FB-4A5D-8896-C7E3B357387B}"/>
    <cellStyle name="Vírgula 11 4 3 3 4" xfId="6856" xr:uid="{C2AD9E5A-3BB8-4FC2-8088-AB24AC6FEA82}"/>
    <cellStyle name="Vírgula 11 4 3 4" xfId="1289" xr:uid="{B18B667A-A1D0-4152-9DA5-4EC5E459552A}"/>
    <cellStyle name="Vírgula 11 4 3 4 2" xfId="1290" xr:uid="{4850D603-265A-4CE4-95E9-FF923F47813F}"/>
    <cellStyle name="Vírgula 11 4 3 4 2 2" xfId="1291" xr:uid="{0E6EE86B-31E3-41BB-A817-7D7647913443}"/>
    <cellStyle name="Vírgula 11 4 3 4 2 3" xfId="6859" xr:uid="{5E74F003-3D1B-4FED-8A28-809D89B93FC5}"/>
    <cellStyle name="Vírgula 11 4 3 4 3" xfId="1292" xr:uid="{E6528742-0876-4D21-8506-72EA46CB0952}"/>
    <cellStyle name="Vírgula 11 4 3 4 4" xfId="6858" xr:uid="{40725C1C-8C22-4A18-B32F-858CE82C3AD1}"/>
    <cellStyle name="Vírgula 11 4 3 5" xfId="1293" xr:uid="{2C05B7BC-DF84-4AB8-9FD8-156DCB3FD524}"/>
    <cellStyle name="Vírgula 11 4 3 5 2" xfId="1294" xr:uid="{B8CA0B13-6210-47D2-8A17-1B55100C6E41}"/>
    <cellStyle name="Vírgula 11 4 3 5 3" xfId="6860" xr:uid="{0E7665CF-3B3D-453E-8F22-928626DAA6C9}"/>
    <cellStyle name="Vírgula 11 4 3 6" xfId="1295" xr:uid="{C715E8AD-343D-4E35-8F1F-92C387AB382C}"/>
    <cellStyle name="Vírgula 11 4 3 7" xfId="6849" xr:uid="{B8FC3321-D8D3-467E-ADC9-7FE7098BE91F}"/>
    <cellStyle name="Vírgula 11 4 4" xfId="1296" xr:uid="{B8F0E54C-08E2-44A3-904C-EF41FBE1928F}"/>
    <cellStyle name="Vírgula 11 4 4 2" xfId="1297" xr:uid="{6FA9AB1B-BD77-4B4D-A367-3A699AA533F4}"/>
    <cellStyle name="Vírgula 11 4 4 2 2" xfId="1298" xr:uid="{974E57CE-0A47-4360-8E4A-C0D557E6A9E3}"/>
    <cellStyle name="Vírgula 11 4 4 2 2 2" xfId="1299" xr:uid="{08851DD8-96A4-4FED-A464-E192726795FA}"/>
    <cellStyle name="Vírgula 11 4 4 2 2 3" xfId="6863" xr:uid="{328B4C98-9A5D-4B9F-93DA-96E3F8838B51}"/>
    <cellStyle name="Vírgula 11 4 4 2 3" xfId="1300" xr:uid="{EA4B5015-15A1-4A1F-ADB2-DDA69013FE09}"/>
    <cellStyle name="Vírgula 11 4 4 2 4" xfId="6862" xr:uid="{A45F20F6-1F16-4B6C-8ADF-31E41850AC5D}"/>
    <cellStyle name="Vírgula 11 4 4 3" xfId="1301" xr:uid="{07BD5D2F-8998-452A-9623-78FB7267990B}"/>
    <cellStyle name="Vírgula 11 4 4 3 2" xfId="1302" xr:uid="{2D46DE89-17EE-418B-9867-B33FA0306CD9}"/>
    <cellStyle name="Vírgula 11 4 4 3 2 2" xfId="1303" xr:uid="{71534929-0C8D-4EEB-A19B-F35E89D5DA8F}"/>
    <cellStyle name="Vírgula 11 4 4 3 2 3" xfId="6865" xr:uid="{74167A6F-91C1-49C4-8B69-158E209F48F0}"/>
    <cellStyle name="Vírgula 11 4 4 3 3" xfId="1304" xr:uid="{AA986C78-B851-4E3E-83B8-BD1D6CE53712}"/>
    <cellStyle name="Vírgula 11 4 4 3 4" xfId="6864" xr:uid="{7BFA93EA-45B3-423A-991E-8CC1FFEF5F2D}"/>
    <cellStyle name="Vírgula 11 4 4 4" xfId="1305" xr:uid="{A5404330-C996-4583-8737-B8B9685D4BDB}"/>
    <cellStyle name="Vírgula 11 4 4 4 2" xfId="1306" xr:uid="{A9BB4039-39D4-457C-A126-0922610285AE}"/>
    <cellStyle name="Vírgula 11 4 4 4 3" xfId="6866" xr:uid="{050FD1F3-C4D1-4C76-B7CB-54866934EA24}"/>
    <cellStyle name="Vírgula 11 4 4 5" xfId="1307" xr:uid="{52C23919-CEBB-4754-B393-B4C5B3E67E50}"/>
    <cellStyle name="Vírgula 11 4 4 6" xfId="6861" xr:uid="{DC03E9C2-3442-4A5E-B2D0-D543700DA927}"/>
    <cellStyle name="Vírgula 11 4 5" xfId="1308" xr:uid="{22EF40FF-0D72-44A2-BE71-25A690D1F1E0}"/>
    <cellStyle name="Vírgula 11 4 5 2" xfId="1309" xr:uid="{9D75080D-C754-456C-AF1D-1E27A792B6C1}"/>
    <cellStyle name="Vírgula 11 4 5 2 2" xfId="1310" xr:uid="{B64255FD-8951-4937-9999-82437B973AEE}"/>
    <cellStyle name="Vírgula 11 4 5 2 3" xfId="6868" xr:uid="{5FE5B856-6193-4B1D-B3CE-BC9115018624}"/>
    <cellStyle name="Vírgula 11 4 5 3" xfId="1311" xr:uid="{4CAC7008-194E-4720-A17F-736D12D1D1D8}"/>
    <cellStyle name="Vírgula 11 4 5 4" xfId="6867" xr:uid="{F2137423-B3D0-4167-803D-FBD10114679C}"/>
    <cellStyle name="Vírgula 11 4 6" xfId="1312" xr:uid="{69AF968D-2693-4B27-BD47-3E3E375C67A3}"/>
    <cellStyle name="Vírgula 11 4 6 2" xfId="1313" xr:uid="{7F946922-E08B-427C-BDA3-596F75CC5157}"/>
    <cellStyle name="Vírgula 11 4 6 2 2" xfId="1314" xr:uid="{F4DAEF42-66FA-485D-A0DC-34807908AB0E}"/>
    <cellStyle name="Vírgula 11 4 6 2 3" xfId="6870" xr:uid="{8DDE929C-0AB8-403F-94F9-079A5F2BD642}"/>
    <cellStyle name="Vírgula 11 4 6 3" xfId="1315" xr:uid="{4D9C5BE1-CEF9-4F09-83CE-54278DD8D7C4}"/>
    <cellStyle name="Vírgula 11 4 6 4" xfId="6869" xr:uid="{CE19683C-216D-4386-86C1-3AF37347F20D}"/>
    <cellStyle name="Vírgula 11 4 7" xfId="1316" xr:uid="{233AF307-B675-4543-A7DC-C84A28690144}"/>
    <cellStyle name="Vírgula 11 4 7 2" xfId="1317" xr:uid="{06F88008-BA6C-404B-AF5F-142A25B5B780}"/>
    <cellStyle name="Vírgula 11 4 7 3" xfId="6871" xr:uid="{4818A814-D8A2-4C93-994E-BBF8ACB08BA1}"/>
    <cellStyle name="Vírgula 11 4 8" xfId="1318" xr:uid="{283C5570-4E9C-451D-9DD3-8072353761DF}"/>
    <cellStyle name="Vírgula 11 4 9" xfId="6836" xr:uid="{9197BB3F-C94F-4966-801F-54F3DFC7D3B2}"/>
    <cellStyle name="Vírgula 11 5" xfId="1319" xr:uid="{E6ABB9A9-9103-466A-8046-736318C61BD2}"/>
    <cellStyle name="Vírgula 11 5 2" xfId="1320" xr:uid="{8292BA06-0420-4805-9A0E-17A2BD7D06D5}"/>
    <cellStyle name="Vírgula 11 5 2 2" xfId="1321" xr:uid="{47AEF6ED-A613-41CE-8876-3E23CEA01B38}"/>
    <cellStyle name="Vírgula 11 5 2 2 2" xfId="1322" xr:uid="{7A1A8A76-3ACC-40AB-948D-054BF1CCA34D}"/>
    <cellStyle name="Vírgula 11 5 2 2 2 2" xfId="1323" xr:uid="{F6F35ACE-7015-4637-954F-347D6F7F54A5}"/>
    <cellStyle name="Vírgula 11 5 2 2 2 2 2" xfId="1324" xr:uid="{F3FAB82B-7EB9-482E-BEF6-272AF1333E94}"/>
    <cellStyle name="Vírgula 11 5 2 2 2 2 3" xfId="6876" xr:uid="{B0634E4B-3D9A-4F5C-B98E-94285219E485}"/>
    <cellStyle name="Vírgula 11 5 2 2 2 3" xfId="1325" xr:uid="{F4003C1B-2049-4E88-B8BB-D9AFB168D512}"/>
    <cellStyle name="Vírgula 11 5 2 2 2 4" xfId="6875" xr:uid="{93C61988-9195-4D18-8013-4E4D53E4AD9B}"/>
    <cellStyle name="Vírgula 11 5 2 2 3" xfId="1326" xr:uid="{25286BBF-A197-4146-9254-BD3F11197A34}"/>
    <cellStyle name="Vírgula 11 5 2 2 3 2" xfId="1327" xr:uid="{C2B357BE-B7D8-439D-A208-786986E4DA5C}"/>
    <cellStyle name="Vírgula 11 5 2 2 3 2 2" xfId="1328" xr:uid="{D595D1AF-DE41-4E06-B960-62E0467A4B58}"/>
    <cellStyle name="Vírgula 11 5 2 2 3 2 3" xfId="6878" xr:uid="{FF3D640E-7095-466B-89EF-D664CDE67570}"/>
    <cellStyle name="Vírgula 11 5 2 2 3 3" xfId="1329" xr:uid="{36A3D8F5-CF88-4390-B01A-496A9AB063E3}"/>
    <cellStyle name="Vírgula 11 5 2 2 3 4" xfId="6877" xr:uid="{F27808AE-1BEF-4838-AE25-D2FA1C45A89C}"/>
    <cellStyle name="Vírgula 11 5 2 2 4" xfId="1330" xr:uid="{89B3BA3A-979C-4066-85C3-0E40E7CD2EA5}"/>
    <cellStyle name="Vírgula 11 5 2 2 4 2" xfId="1331" xr:uid="{C45063C7-C051-43F0-8DC4-CB6DC7709450}"/>
    <cellStyle name="Vírgula 11 5 2 2 4 3" xfId="6879" xr:uid="{BF6F1DD1-6083-4898-9084-3FF295750BC6}"/>
    <cellStyle name="Vírgula 11 5 2 2 5" xfId="1332" xr:uid="{58CDCBDB-802F-4466-96C6-A43943C7E550}"/>
    <cellStyle name="Vírgula 11 5 2 2 6" xfId="6874" xr:uid="{E7B0435F-E83E-4B11-B01B-4733207A6B45}"/>
    <cellStyle name="Vírgula 11 5 2 3" xfId="1333" xr:uid="{ECDE6AC5-A787-4DA9-8B44-834055042FA5}"/>
    <cellStyle name="Vírgula 11 5 2 3 2" xfId="1334" xr:uid="{863B1769-AD13-4FBC-93BD-671972849159}"/>
    <cellStyle name="Vírgula 11 5 2 3 2 2" xfId="1335" xr:uid="{80071865-8625-4522-9574-EDA4D1D026D7}"/>
    <cellStyle name="Vírgula 11 5 2 3 2 3" xfId="6881" xr:uid="{FB24C932-9615-47D9-BCA4-FE8A248648F3}"/>
    <cellStyle name="Vírgula 11 5 2 3 3" xfId="1336" xr:uid="{139247E4-6DF6-469C-8D7B-F5FA2BDB9D3A}"/>
    <cellStyle name="Vírgula 11 5 2 3 4" xfId="6880" xr:uid="{04AAEA66-E7F9-4B97-A455-627598D4C90A}"/>
    <cellStyle name="Vírgula 11 5 2 4" xfId="1337" xr:uid="{F8F451B6-501A-4B44-8A97-5E2AC8F5A1BC}"/>
    <cellStyle name="Vírgula 11 5 2 4 2" xfId="1338" xr:uid="{153BC70D-1C5E-4605-B18E-DC6196026478}"/>
    <cellStyle name="Vírgula 11 5 2 4 2 2" xfId="1339" xr:uid="{982ED415-6F10-42B3-963F-35CFBE138DBA}"/>
    <cellStyle name="Vírgula 11 5 2 4 2 3" xfId="6883" xr:uid="{97EF158D-1CF9-408D-B46D-6DDE09CAD9F4}"/>
    <cellStyle name="Vírgula 11 5 2 4 3" xfId="1340" xr:uid="{516E8F34-CAF6-455B-8779-6AD4193A799F}"/>
    <cellStyle name="Vírgula 11 5 2 4 4" xfId="6882" xr:uid="{EDE04D60-1409-4337-9CEE-34301746D357}"/>
    <cellStyle name="Vírgula 11 5 2 5" xfId="1341" xr:uid="{9BC818FD-A694-4B3B-B0C0-6B3284164682}"/>
    <cellStyle name="Vírgula 11 5 2 5 2" xfId="1342" xr:uid="{57D108FB-07AD-48C1-BD70-62EA0F31FD9E}"/>
    <cellStyle name="Vírgula 11 5 2 5 3" xfId="6884" xr:uid="{C454FD56-2929-4220-AA21-5A818A34A377}"/>
    <cellStyle name="Vírgula 11 5 2 6" xfId="1343" xr:uid="{2B474A19-A072-4397-97D9-CB1D459071E2}"/>
    <cellStyle name="Vírgula 11 5 2 7" xfId="6873" xr:uid="{3207FC81-34F2-4D6F-AE69-DE798141FC91}"/>
    <cellStyle name="Vírgula 11 5 3" xfId="1344" xr:uid="{E638C7B7-7F7B-414F-9CBE-E6C41DAE893E}"/>
    <cellStyle name="Vírgula 11 5 3 2" xfId="1345" xr:uid="{C6328095-DC4F-4861-B791-9786797A3211}"/>
    <cellStyle name="Vírgula 11 5 3 2 2" xfId="1346" xr:uid="{0FC7ED90-DFDF-4D8A-9F55-271EEC20A257}"/>
    <cellStyle name="Vírgula 11 5 3 2 2 2" xfId="1347" xr:uid="{E8B0BA4E-1B36-457E-B805-56375C068787}"/>
    <cellStyle name="Vírgula 11 5 3 2 2 2 2" xfId="1348" xr:uid="{725D7E8E-FABB-4B2B-A03B-3E2EA9CDC0EA}"/>
    <cellStyle name="Vírgula 11 5 3 2 2 2 3" xfId="6888" xr:uid="{570FE247-82AB-46A2-A2E0-D6E3D77C5A07}"/>
    <cellStyle name="Vírgula 11 5 3 2 2 3" xfId="1349" xr:uid="{520D047A-9F6E-4481-AA33-96F95697EAF2}"/>
    <cellStyle name="Vírgula 11 5 3 2 2 4" xfId="6887" xr:uid="{63EB7747-E163-4BB3-81BE-7D76A0AFD626}"/>
    <cellStyle name="Vírgula 11 5 3 2 3" xfId="1350" xr:uid="{2DC2155A-3FFB-4AB3-843D-8401CB3E2C57}"/>
    <cellStyle name="Vírgula 11 5 3 2 3 2" xfId="1351" xr:uid="{FC63A0F4-661E-449B-9D58-569119D3FD1F}"/>
    <cellStyle name="Vírgula 11 5 3 2 3 2 2" xfId="1352" xr:uid="{B5986A63-0BAA-4AB5-B78A-2F15BDF3E075}"/>
    <cellStyle name="Vírgula 11 5 3 2 3 2 3" xfId="6890" xr:uid="{DCCE3983-E720-415B-BA9E-F9C6BF66C746}"/>
    <cellStyle name="Vírgula 11 5 3 2 3 3" xfId="1353" xr:uid="{03E3AF12-26D0-4A92-BB5C-3CAA6E39247F}"/>
    <cellStyle name="Vírgula 11 5 3 2 3 4" xfId="6889" xr:uid="{8468BB14-2935-45CF-8E6A-C59B87B3A316}"/>
    <cellStyle name="Vírgula 11 5 3 2 4" xfId="1354" xr:uid="{DFA0D381-7811-4A9A-9A51-818DFAF45FF9}"/>
    <cellStyle name="Vírgula 11 5 3 2 4 2" xfId="1355" xr:uid="{51048EC7-5C0B-4CD3-9B1D-412BB4CB9C14}"/>
    <cellStyle name="Vírgula 11 5 3 2 4 3" xfId="6891" xr:uid="{5C5BA5C4-6E81-48FB-B93F-69D5379ACEFC}"/>
    <cellStyle name="Vírgula 11 5 3 2 5" xfId="1356" xr:uid="{D579F4EE-2530-4C7F-AA5C-5A408829530C}"/>
    <cellStyle name="Vírgula 11 5 3 2 6" xfId="6886" xr:uid="{6A912049-EAB1-4E6A-BAEC-E16CFBED4A21}"/>
    <cellStyle name="Vírgula 11 5 3 3" xfId="1357" xr:uid="{3B9A94DF-C154-4FDB-858B-7844B02D3672}"/>
    <cellStyle name="Vírgula 11 5 3 3 2" xfId="1358" xr:uid="{08EF6C39-90C1-4CA4-A8E8-F1C87B1861DC}"/>
    <cellStyle name="Vírgula 11 5 3 3 2 2" xfId="1359" xr:uid="{6636452C-B074-473E-9ED1-E183C4A9169E}"/>
    <cellStyle name="Vírgula 11 5 3 3 2 3" xfId="6893" xr:uid="{CDF77F60-5B1A-4769-B764-D72B28BDBE94}"/>
    <cellStyle name="Vírgula 11 5 3 3 3" xfId="1360" xr:uid="{20B6BC8B-07C9-4443-BD1B-DE5503E5657C}"/>
    <cellStyle name="Vírgula 11 5 3 3 4" xfId="6892" xr:uid="{43018C69-D8A6-486B-A50B-F1133BA00E58}"/>
    <cellStyle name="Vírgula 11 5 3 4" xfId="1361" xr:uid="{C10D7644-CDEE-4C55-87A8-5FDA26D70361}"/>
    <cellStyle name="Vírgula 11 5 3 4 2" xfId="1362" xr:uid="{3B4EAE6D-66A3-46ED-8712-06BA94E2B69A}"/>
    <cellStyle name="Vírgula 11 5 3 4 2 2" xfId="1363" xr:uid="{7E0B9A62-D1E0-4B0D-BC54-3DAE16D470C5}"/>
    <cellStyle name="Vírgula 11 5 3 4 2 3" xfId="6895" xr:uid="{9ED6AD4A-19C3-4B6C-8A67-BAE6F4D1DCE3}"/>
    <cellStyle name="Vírgula 11 5 3 4 3" xfId="1364" xr:uid="{15C5510E-7C14-4700-AD8B-344FCCDA9E3C}"/>
    <cellStyle name="Vírgula 11 5 3 4 4" xfId="6894" xr:uid="{AAD31808-3BFE-4697-98E1-F0A3F856F5E7}"/>
    <cellStyle name="Vírgula 11 5 3 5" xfId="1365" xr:uid="{E21CEF0B-160D-4EDF-8257-F2738625E9CD}"/>
    <cellStyle name="Vírgula 11 5 3 5 2" xfId="1366" xr:uid="{6C861C37-5306-4281-9C42-DD8758FDD37E}"/>
    <cellStyle name="Vírgula 11 5 3 5 3" xfId="6896" xr:uid="{C4F5669C-15C2-4C84-AA5D-B1AE05F4BEBD}"/>
    <cellStyle name="Vírgula 11 5 3 6" xfId="1367" xr:uid="{99513C59-96A3-49C5-9D24-A96A81E6B633}"/>
    <cellStyle name="Vírgula 11 5 3 7" xfId="6885" xr:uid="{707889B0-1338-4042-8C8C-596628338149}"/>
    <cellStyle name="Vírgula 11 5 4" xfId="1368" xr:uid="{218D7544-8B46-4BF5-AA1C-9E50A6BEC2EE}"/>
    <cellStyle name="Vírgula 11 5 4 2" xfId="1369" xr:uid="{93128972-E3A6-4B9B-96F2-333B44A08CF3}"/>
    <cellStyle name="Vírgula 11 5 4 2 2" xfId="1370" xr:uid="{B9AD98F5-1A27-4E72-B0E1-BB282DCC5CAF}"/>
    <cellStyle name="Vírgula 11 5 4 2 2 2" xfId="1371" xr:uid="{087158B3-ABFA-4ED9-B119-B75792FD039F}"/>
    <cellStyle name="Vírgula 11 5 4 2 2 3" xfId="6899" xr:uid="{F186D70E-9608-4D10-80E4-4AE61D03094C}"/>
    <cellStyle name="Vírgula 11 5 4 2 3" xfId="1372" xr:uid="{AFD1956B-1C90-49DA-B8D4-36FA6CE3402F}"/>
    <cellStyle name="Vírgula 11 5 4 2 4" xfId="6898" xr:uid="{F1015E6A-9F0F-4333-A511-E4A043B1416E}"/>
    <cellStyle name="Vírgula 11 5 4 3" xfId="1373" xr:uid="{40639C98-3B6B-4F46-AAE5-232C6403850D}"/>
    <cellStyle name="Vírgula 11 5 4 3 2" xfId="1374" xr:uid="{198B9FF1-47C9-4462-A812-AC4E70FCCD8C}"/>
    <cellStyle name="Vírgula 11 5 4 3 2 2" xfId="1375" xr:uid="{940B30DF-9ABD-4859-BBCE-199E94914A2D}"/>
    <cellStyle name="Vírgula 11 5 4 3 2 3" xfId="6901" xr:uid="{0537AE6D-03F1-443D-9076-018914B28CDB}"/>
    <cellStyle name="Vírgula 11 5 4 3 3" xfId="1376" xr:uid="{03BABD74-178D-41D8-8F7F-36BC70E558D0}"/>
    <cellStyle name="Vírgula 11 5 4 3 4" xfId="6900" xr:uid="{C0964E66-8B33-47D8-9DCE-A7A7F673A8A8}"/>
    <cellStyle name="Vírgula 11 5 4 4" xfId="1377" xr:uid="{31EC4B8A-70B6-449B-98BE-0344E50A9F95}"/>
    <cellStyle name="Vírgula 11 5 4 4 2" xfId="1378" xr:uid="{7C3ED5FD-A337-42EE-BB0C-5DF14CFEA6A2}"/>
    <cellStyle name="Vírgula 11 5 4 4 3" xfId="6902" xr:uid="{49E28B50-6431-4C87-BF08-4113A1744697}"/>
    <cellStyle name="Vírgula 11 5 4 5" xfId="1379" xr:uid="{29EC28B4-162B-427E-A6FF-56EF0869AE80}"/>
    <cellStyle name="Vírgula 11 5 4 6" xfId="6897" xr:uid="{3EB19964-6C8E-4809-9E9C-BF071325B2EB}"/>
    <cellStyle name="Vírgula 11 5 5" xfId="1380" xr:uid="{BDEA8B41-1FCA-416B-8E31-99FEB10DA8DC}"/>
    <cellStyle name="Vírgula 11 5 5 2" xfId="1381" xr:uid="{4E6031D0-1249-4B32-91D1-8631C8CA6271}"/>
    <cellStyle name="Vírgula 11 5 5 2 2" xfId="1382" xr:uid="{C594712A-016F-4672-9AAE-0F83276B6B12}"/>
    <cellStyle name="Vírgula 11 5 5 2 3" xfId="6904" xr:uid="{A3DCE947-20A0-4BD1-9AB3-0E0B81A15580}"/>
    <cellStyle name="Vírgula 11 5 5 3" xfId="1383" xr:uid="{D1D603CA-53A2-4FCE-8CEE-964A4E63ACCF}"/>
    <cellStyle name="Vírgula 11 5 5 4" xfId="6903" xr:uid="{5A02BBF6-1712-426A-84E1-86E03485B5AA}"/>
    <cellStyle name="Vírgula 11 5 6" xfId="1384" xr:uid="{F863541A-0A14-4F35-8340-1E8235EBCBE2}"/>
    <cellStyle name="Vírgula 11 5 6 2" xfId="1385" xr:uid="{CBF01CDB-AF53-4C61-A6B0-F2393114F7F3}"/>
    <cellStyle name="Vírgula 11 5 6 2 2" xfId="1386" xr:uid="{57907AD6-688D-4F5C-B17D-B9AA18621316}"/>
    <cellStyle name="Vírgula 11 5 6 2 3" xfId="6906" xr:uid="{CA039D2E-A638-4957-BAFA-A449B68AD1C5}"/>
    <cellStyle name="Vírgula 11 5 6 3" xfId="1387" xr:uid="{3EFB1DD1-6CDB-4F2A-9013-D90CEB819804}"/>
    <cellStyle name="Vírgula 11 5 6 4" xfId="6905" xr:uid="{B1765B82-EA96-4FDC-9D67-0122B305C424}"/>
    <cellStyle name="Vírgula 11 5 7" xfId="1388" xr:uid="{FA94EE0B-AE23-42E6-86A8-83871D330CD8}"/>
    <cellStyle name="Vírgula 11 5 7 2" xfId="1389" xr:uid="{14506168-C7DB-49A6-9BB8-C759EED2AD18}"/>
    <cellStyle name="Vírgula 11 5 7 3" xfId="6907" xr:uid="{E29399FA-3C0B-450E-A420-78DBB880FCBC}"/>
    <cellStyle name="Vírgula 11 5 8" xfId="1390" xr:uid="{95DA76BB-7D69-40B9-8888-C36CB40B219A}"/>
    <cellStyle name="Vírgula 11 5 9" xfId="6872" xr:uid="{8783FC79-3946-4FD4-9CF5-393A1CA4B421}"/>
    <cellStyle name="Vírgula 11 6" xfId="1391" xr:uid="{8A840D20-7F9C-4C2D-8F9D-BA3DEB570EAA}"/>
    <cellStyle name="Vírgula 11 6 2" xfId="1392" xr:uid="{9F513574-806F-4935-AF16-9B9EF20A6322}"/>
    <cellStyle name="Vírgula 11 6 2 2" xfId="1393" xr:uid="{F0BFC52B-0FF4-4708-A348-24AA5C234460}"/>
    <cellStyle name="Vírgula 11 6 2 2 2" xfId="1394" xr:uid="{F3CB8F3A-17E0-4D66-859B-DA3FFD8C87D9}"/>
    <cellStyle name="Vírgula 11 6 2 2 2 2" xfId="1395" xr:uid="{588C06BA-7E2A-4C02-8543-8A6BF4A28A72}"/>
    <cellStyle name="Vírgula 11 6 2 2 2 3" xfId="6911" xr:uid="{111C9815-BE30-49AF-8220-122A938131F5}"/>
    <cellStyle name="Vírgula 11 6 2 2 3" xfId="1396" xr:uid="{C8995DFE-315A-4611-9319-1CEC264A74DD}"/>
    <cellStyle name="Vírgula 11 6 2 2 4" xfId="6910" xr:uid="{2F912F92-0455-4BB7-99BD-57819670182A}"/>
    <cellStyle name="Vírgula 11 6 2 3" xfId="1397" xr:uid="{32A119AD-6293-4BF1-80D9-BF2500E6B357}"/>
    <cellStyle name="Vírgula 11 6 2 3 2" xfId="1398" xr:uid="{D3792E05-D861-46CB-9E73-DF1D5518B2EE}"/>
    <cellStyle name="Vírgula 11 6 2 3 2 2" xfId="1399" xr:uid="{1FAC334E-4A9C-403A-BA3D-7855725FD4D0}"/>
    <cellStyle name="Vírgula 11 6 2 3 2 3" xfId="6913" xr:uid="{8C7C2C30-E3F7-471B-AE72-783C0335BD38}"/>
    <cellStyle name="Vírgula 11 6 2 3 3" xfId="1400" xr:uid="{6AC5AA39-356D-4378-BB4E-AB57211709C1}"/>
    <cellStyle name="Vírgula 11 6 2 3 4" xfId="6912" xr:uid="{4A3821B0-EBEB-46E8-AE39-600688C93E28}"/>
    <cellStyle name="Vírgula 11 6 2 4" xfId="1401" xr:uid="{64A7D749-F500-4996-BD87-0022970A2D59}"/>
    <cellStyle name="Vírgula 11 6 2 4 2" xfId="1402" xr:uid="{45BE2016-FC82-430C-8B6D-4F2E5400F0BE}"/>
    <cellStyle name="Vírgula 11 6 2 4 3" xfId="6914" xr:uid="{80BE5639-A275-4081-8E8B-8AF0C3FCFB1B}"/>
    <cellStyle name="Vírgula 11 6 2 5" xfId="1403" xr:uid="{4CA21F6E-A055-4148-B281-F0D446B54ECA}"/>
    <cellStyle name="Vírgula 11 6 2 6" xfId="6909" xr:uid="{A8C65531-94D4-4C61-B4C2-E917B6A7B75E}"/>
    <cellStyle name="Vírgula 11 6 3" xfId="1404" xr:uid="{D9EAF4A3-0671-4DCF-8FFB-93C2D7664C36}"/>
    <cellStyle name="Vírgula 11 6 3 2" xfId="1405" xr:uid="{D8C9DE04-EC7B-4F7A-95D7-B9090473D9BC}"/>
    <cellStyle name="Vírgula 11 6 3 2 2" xfId="1406" xr:uid="{BFCC1C12-D9C7-4B0A-8D0E-06550EDEEFED}"/>
    <cellStyle name="Vírgula 11 6 3 2 3" xfId="6916" xr:uid="{A7D1E74A-EBE3-4D1E-BC82-829FB0AD66B0}"/>
    <cellStyle name="Vírgula 11 6 3 3" xfId="1407" xr:uid="{6EE77774-2F57-4836-B6A3-7BCD7D42BA70}"/>
    <cellStyle name="Vírgula 11 6 3 4" xfId="6915" xr:uid="{999D35DC-65A7-4467-BC51-F1C00E2E211E}"/>
    <cellStyle name="Vírgula 11 6 4" xfId="1408" xr:uid="{E8A1178C-03E8-425A-9F71-1050FCBDFE35}"/>
    <cellStyle name="Vírgula 11 6 4 2" xfId="1409" xr:uid="{A26B94D4-EF9F-431C-ACD0-C638D6FA5827}"/>
    <cellStyle name="Vírgula 11 6 4 2 2" xfId="1410" xr:uid="{C5A42709-927F-49D2-9ADA-ED23613774FC}"/>
    <cellStyle name="Vírgula 11 6 4 2 3" xfId="6918" xr:uid="{D23D220E-A54A-4F4B-A424-730A3BE80592}"/>
    <cellStyle name="Vírgula 11 6 4 3" xfId="1411" xr:uid="{C5CD2BA9-6B95-4D1A-B723-1D48BACE7C21}"/>
    <cellStyle name="Vírgula 11 6 4 4" xfId="6917" xr:uid="{1AECCAE5-95BF-4B3A-B2E6-958844AE7ED6}"/>
    <cellStyle name="Vírgula 11 6 5" xfId="1412" xr:uid="{9304A851-0233-45DF-A032-25D70B6F3684}"/>
    <cellStyle name="Vírgula 11 6 5 2" xfId="1413" xr:uid="{E3F9B648-BE70-410E-9221-5E9043F34366}"/>
    <cellStyle name="Vírgula 11 6 5 3" xfId="6919" xr:uid="{312432A9-6C08-40BC-99A4-AA843D94B371}"/>
    <cellStyle name="Vírgula 11 6 6" xfId="1414" xr:uid="{A064C648-FBC9-4345-A4A6-D0C97468C05F}"/>
    <cellStyle name="Vírgula 11 6 7" xfId="6908" xr:uid="{897D9583-889A-442C-913D-EE18EE6FD5CB}"/>
    <cellStyle name="Vírgula 11 7" xfId="1415" xr:uid="{38E7C9EA-2D9B-4133-B128-9F1F4502EBD8}"/>
    <cellStyle name="Vírgula 11 7 2" xfId="1416" xr:uid="{4113C2AE-D907-48D6-B873-C9DB3C6A8D39}"/>
    <cellStyle name="Vírgula 11 7 2 2" xfId="1417" xr:uid="{C4F0CD72-0AE8-4269-9DE2-2985934DB954}"/>
    <cellStyle name="Vírgula 11 7 2 2 2" xfId="1418" xr:uid="{26308795-6D6E-4BCF-B54C-1DD7DC09DCB7}"/>
    <cellStyle name="Vírgula 11 7 2 2 2 2" xfId="1419" xr:uid="{D65E6EC8-5AC5-4AA5-8B08-FF1C330934E2}"/>
    <cellStyle name="Vírgula 11 7 2 2 2 3" xfId="6923" xr:uid="{A2311D19-6B70-4F14-B97B-2B6D3FFF9642}"/>
    <cellStyle name="Vírgula 11 7 2 2 3" xfId="1420" xr:uid="{B7C9980C-EE9F-4C13-A617-3F3B8195C7F5}"/>
    <cellStyle name="Vírgula 11 7 2 2 4" xfId="6922" xr:uid="{451CB5FE-812E-4B34-AF54-E35BA68593AF}"/>
    <cellStyle name="Vírgula 11 7 2 3" xfId="1421" xr:uid="{86606C5D-0D7B-41E2-8232-69F4E12085FA}"/>
    <cellStyle name="Vírgula 11 7 2 3 2" xfId="1422" xr:uid="{D585F769-4C11-4343-8369-F2F419345BBF}"/>
    <cellStyle name="Vírgula 11 7 2 3 2 2" xfId="1423" xr:uid="{D5871DB6-20D8-4740-AF33-68337F43B0A4}"/>
    <cellStyle name="Vírgula 11 7 2 3 2 3" xfId="6925" xr:uid="{C4F268AC-D8CC-45F3-A338-D30A8062B891}"/>
    <cellStyle name="Vírgula 11 7 2 3 3" xfId="1424" xr:uid="{87202593-9B4F-4330-A0FB-55012AC8D57F}"/>
    <cellStyle name="Vírgula 11 7 2 3 4" xfId="6924" xr:uid="{C5DBE31F-F948-4724-A1A7-57A1B0E45D77}"/>
    <cellStyle name="Vírgula 11 7 2 4" xfId="1425" xr:uid="{C7AAE14F-233B-4F9F-A041-15890CC72E59}"/>
    <cellStyle name="Vírgula 11 7 2 4 2" xfId="1426" xr:uid="{A0D65976-9236-40F8-A0A1-0267B00E4843}"/>
    <cellStyle name="Vírgula 11 7 2 4 3" xfId="6926" xr:uid="{61132959-6145-4CEC-9AA9-59EEE6F5EC43}"/>
    <cellStyle name="Vírgula 11 7 2 5" xfId="1427" xr:uid="{3F9761F7-F8B9-429E-A0C7-04D5CDD9154E}"/>
    <cellStyle name="Vírgula 11 7 2 6" xfId="6921" xr:uid="{1F896D10-95D9-4C9B-A8EB-11E1E2627C6D}"/>
    <cellStyle name="Vírgula 11 7 3" xfId="1428" xr:uid="{BFEDB70B-B50C-4D69-A1BB-54210AF7769C}"/>
    <cellStyle name="Vírgula 11 7 3 2" xfId="1429" xr:uid="{928627D2-09C6-46EA-93CA-23CF356CEF50}"/>
    <cellStyle name="Vírgula 11 7 3 2 2" xfId="1430" xr:uid="{95B907B0-237E-4A21-AACE-9F5B61500D5F}"/>
    <cellStyle name="Vírgula 11 7 3 2 3" xfId="6928" xr:uid="{73362E66-9133-4A57-8CD8-66233EC22BC3}"/>
    <cellStyle name="Vírgula 11 7 3 3" xfId="1431" xr:uid="{D34F2862-7A3A-4682-9EA1-90113FCE7606}"/>
    <cellStyle name="Vírgula 11 7 3 4" xfId="6927" xr:uid="{452EC243-C4AE-48CD-9AAA-00AF2A788BAB}"/>
    <cellStyle name="Vírgula 11 7 4" xfId="1432" xr:uid="{7B1B0480-81ED-40D0-BDA0-123EA9443ABD}"/>
    <cellStyle name="Vírgula 11 7 4 2" xfId="1433" xr:uid="{40E39343-7B6E-42A6-B1C1-D0E216B472AC}"/>
    <cellStyle name="Vírgula 11 7 4 2 2" xfId="1434" xr:uid="{52EBE45B-3B0A-4004-B504-07479300AA22}"/>
    <cellStyle name="Vírgula 11 7 4 2 3" xfId="6930" xr:uid="{10EC540B-6399-4E5D-9659-093B7C654E50}"/>
    <cellStyle name="Vírgula 11 7 4 3" xfId="1435" xr:uid="{903935CF-B150-47AC-AD5A-A754E256A2E0}"/>
    <cellStyle name="Vírgula 11 7 4 4" xfId="6929" xr:uid="{84BE90A9-E32B-4B22-A2AE-46794F9A4DB1}"/>
    <cellStyle name="Vírgula 11 7 5" xfId="1436" xr:uid="{E38D7804-2F80-4C23-8C4C-7FEA933FF87A}"/>
    <cellStyle name="Vírgula 11 7 5 2" xfId="1437" xr:uid="{6C10062F-B888-47F1-99A1-E420F96FC623}"/>
    <cellStyle name="Vírgula 11 7 5 3" xfId="6931" xr:uid="{A84A68C5-FC18-4BA5-B80E-99296B497FF1}"/>
    <cellStyle name="Vírgula 11 7 6" xfId="1438" xr:uid="{6720FBA5-55E5-4F4C-A26C-C4AD8A01C4C2}"/>
    <cellStyle name="Vírgula 11 7 7" xfId="6920" xr:uid="{103B4B60-DC47-4DC7-A351-6C7FEE80D313}"/>
    <cellStyle name="Vírgula 11 8" xfId="1439" xr:uid="{20AA77BD-B45F-4301-A36F-7525EDDA9115}"/>
    <cellStyle name="Vírgula 11 8 2" xfId="1440" xr:uid="{AE8D27A2-529F-42C5-9BC8-7EEAA677B64C}"/>
    <cellStyle name="Vírgula 11 8 2 2" xfId="1441" xr:uid="{38E112E9-C75B-4590-85FC-43402ACBF1AE}"/>
    <cellStyle name="Vírgula 11 8 2 2 2" xfId="1442" xr:uid="{B4898829-CA89-4C05-87C1-9232C128A07D}"/>
    <cellStyle name="Vírgula 11 8 2 2 3" xfId="6934" xr:uid="{7D66144F-2C96-4403-8BDA-C3617BC8E87F}"/>
    <cellStyle name="Vírgula 11 8 2 3" xfId="1443" xr:uid="{7617F8A0-21F5-4257-861D-7052EB583E27}"/>
    <cellStyle name="Vírgula 11 8 2 4" xfId="6933" xr:uid="{B281C659-160A-4FA8-80FF-D89C41AF439D}"/>
    <cellStyle name="Vírgula 11 8 3" xfId="1444" xr:uid="{9A2D186C-4040-482E-847C-9800108F8C95}"/>
    <cellStyle name="Vírgula 11 8 3 2" xfId="1445" xr:uid="{8B9E353A-A947-4494-A1EA-3CAF086F5313}"/>
    <cellStyle name="Vírgula 11 8 3 2 2" xfId="1446" xr:uid="{3895A159-B598-483A-B261-C86FB7A8697C}"/>
    <cellStyle name="Vírgula 11 8 3 2 3" xfId="6936" xr:uid="{30137293-AF24-434C-BD2A-27465F89CBD3}"/>
    <cellStyle name="Vírgula 11 8 3 3" xfId="1447" xr:uid="{4E762F0C-FE1D-48E0-BD05-DD0CACD279FD}"/>
    <cellStyle name="Vírgula 11 8 3 4" xfId="6935" xr:uid="{5E69F0DB-B6E3-4F48-814D-914B4DE36361}"/>
    <cellStyle name="Vírgula 11 8 4" xfId="1448" xr:uid="{C70DB059-BDB5-4A86-B33E-BC9863093811}"/>
    <cellStyle name="Vírgula 11 8 4 2" xfId="1449" xr:uid="{1AAED391-02DB-4D92-ACB9-1B9E400CBF35}"/>
    <cellStyle name="Vírgula 11 8 4 3" xfId="6937" xr:uid="{D39D4218-6930-4EF3-8BFE-917484A48260}"/>
    <cellStyle name="Vírgula 11 8 5" xfId="1450" xr:uid="{1BC52B5F-C80B-4CF6-A831-9E943DB93804}"/>
    <cellStyle name="Vírgula 11 8 6" xfId="6932" xr:uid="{32A7B7D5-EF89-45C9-AB8D-1DF3A04679B1}"/>
    <cellStyle name="Vírgula 11 9" xfId="1451" xr:uid="{D3BC2273-6854-4858-894D-865E1D8050DA}"/>
    <cellStyle name="Vírgula 11 9 2" xfId="1452" xr:uid="{60F95A43-6472-4630-A573-4887F4D79048}"/>
    <cellStyle name="Vírgula 11 9 2 2" xfId="1453" xr:uid="{F9440F86-65AB-434D-B69A-69159870DEED}"/>
    <cellStyle name="Vírgula 11 9 2 3" xfId="6939" xr:uid="{D7A58843-6DFA-47F6-BD4F-DC31D78C5FC1}"/>
    <cellStyle name="Vírgula 11 9 3" xfId="1454" xr:uid="{0D574BB8-2DD1-4B70-B0BA-02E9C80C00BC}"/>
    <cellStyle name="Vírgula 11 9 4" xfId="6938" xr:uid="{4C4395B7-9E0A-479C-BE02-DD1CCAC3FF15}"/>
    <cellStyle name="Vírgula 12" xfId="1455" xr:uid="{641F2F35-8EBA-4FE4-930E-6DEA58E6E8F2}"/>
    <cellStyle name="Vírgula 12 2" xfId="1456" xr:uid="{09B0B053-4E75-461F-A099-B453FC440783}"/>
    <cellStyle name="Vírgula 12 2 2" xfId="1457" xr:uid="{DE8FAEAE-1064-45A3-A2E2-79B15517826E}"/>
    <cellStyle name="Vírgula 12 2 2 2" xfId="1458" xr:uid="{2487B85D-769C-43CC-B745-919E52153F49}"/>
    <cellStyle name="Vírgula 12 2 2 2 2" xfId="1459" xr:uid="{09F535A5-AD2A-486A-8C6F-0E132129E402}"/>
    <cellStyle name="Vírgula 12 2 2 2 2 2" xfId="1460" xr:uid="{BF5A8797-03D1-470B-91EC-12EC9F278C82}"/>
    <cellStyle name="Vírgula 12 2 2 2 2 3" xfId="6944" xr:uid="{E77C9E5B-7A08-4B7A-A9C2-31E28E9FECCC}"/>
    <cellStyle name="Vírgula 12 2 2 2 3" xfId="1461" xr:uid="{B29E89D0-4B50-4243-944F-632A5E2B7174}"/>
    <cellStyle name="Vírgula 12 2 2 2 4" xfId="6943" xr:uid="{2AD6BB30-9804-4C39-912B-A3FE3FA7D880}"/>
    <cellStyle name="Vírgula 12 2 2 3" xfId="1462" xr:uid="{236A3433-897E-4D5C-B834-0EFE4515B3AF}"/>
    <cellStyle name="Vírgula 12 2 2 3 2" xfId="1463" xr:uid="{F693B74E-C50C-4498-B845-833560C8CFE1}"/>
    <cellStyle name="Vírgula 12 2 2 3 2 2" xfId="1464" xr:uid="{8DEBAD32-6C22-40B6-82B5-B26ED6B93CAE}"/>
    <cellStyle name="Vírgula 12 2 2 3 2 3" xfId="6946" xr:uid="{D2871F63-9477-4ECA-91B9-FF9250825347}"/>
    <cellStyle name="Vírgula 12 2 2 3 3" xfId="1465" xr:uid="{16740865-D976-4115-B46F-2A6530002DB8}"/>
    <cellStyle name="Vírgula 12 2 2 3 4" xfId="6945" xr:uid="{695055A3-2561-4802-B672-A9737F21D36D}"/>
    <cellStyle name="Vírgula 12 2 2 4" xfId="1466" xr:uid="{12533390-ED2B-4F51-BB35-993B67877A73}"/>
    <cellStyle name="Vírgula 12 2 2 4 2" xfId="1467" xr:uid="{CAA417A9-4939-4A1F-B321-12D187DF9830}"/>
    <cellStyle name="Vírgula 12 2 2 4 3" xfId="6947" xr:uid="{3E4E6849-ED44-4B62-A61F-B65164C4AA06}"/>
    <cellStyle name="Vírgula 12 2 2 5" xfId="1468" xr:uid="{008BB72C-0B2F-458C-922B-1681193EF552}"/>
    <cellStyle name="Vírgula 12 2 2 6" xfId="6942" xr:uid="{B99DF0E1-F04A-4472-A73F-19D702BF4917}"/>
    <cellStyle name="Vírgula 12 2 3" xfId="1469" xr:uid="{03946100-2589-45BC-9A45-AF301C64FE43}"/>
    <cellStyle name="Vírgula 12 2 3 2" xfId="1470" xr:uid="{A36BD406-8C16-4CEB-8529-94CD6896D491}"/>
    <cellStyle name="Vírgula 12 2 3 2 2" xfId="1471" xr:uid="{36C2F937-4A70-499A-9747-BCA4763267CB}"/>
    <cellStyle name="Vírgula 12 2 3 2 3" xfId="6949" xr:uid="{9EA4E466-0808-4A28-957E-8A1544460B9B}"/>
    <cellStyle name="Vírgula 12 2 3 3" xfId="1472" xr:uid="{C7D98E54-B2E2-4FA9-93B2-BB2DF1755B62}"/>
    <cellStyle name="Vírgula 12 2 3 4" xfId="6948" xr:uid="{6BE11240-33DA-47DF-B76B-1EEDA5EFAAA4}"/>
    <cellStyle name="Vírgula 12 2 4" xfId="1473" xr:uid="{F45129F8-D38D-4B07-9033-D29437695A97}"/>
    <cellStyle name="Vírgula 12 2 4 2" xfId="1474" xr:uid="{6E7F76BA-11DA-474A-A6FA-583A8BF5F3A6}"/>
    <cellStyle name="Vírgula 12 2 4 2 2" xfId="1475" xr:uid="{E4EE318D-BF54-4E42-82DA-4840888158B8}"/>
    <cellStyle name="Vírgula 12 2 4 2 3" xfId="6951" xr:uid="{2B17F75F-7802-4F00-9C5E-3AEEDAE1CDD9}"/>
    <cellStyle name="Vírgula 12 2 4 3" xfId="1476" xr:uid="{C6A0FE79-E921-4A0B-A2C1-01DA9C7FECD8}"/>
    <cellStyle name="Vírgula 12 2 4 4" xfId="6950" xr:uid="{562ADA26-0DB9-4515-8FCB-206265CE87F2}"/>
    <cellStyle name="Vírgula 12 2 5" xfId="1477" xr:uid="{2736ED6B-1A86-4DC1-A759-2F22E410114F}"/>
    <cellStyle name="Vírgula 12 2 5 2" xfId="1478" xr:uid="{C6EB52A3-5B0B-4FF5-AB24-286515BC80F3}"/>
    <cellStyle name="Vírgula 12 2 5 3" xfId="6952" xr:uid="{A122AF62-9516-4F5C-BCDC-294C3667D6D0}"/>
    <cellStyle name="Vírgula 12 2 6" xfId="1479" xr:uid="{98DA5ADB-55DF-4EBD-AA34-52928A6D8A15}"/>
    <cellStyle name="Vírgula 12 2 7" xfId="6941" xr:uid="{35EC7B30-E6DC-45F5-8EFA-62B9211E258C}"/>
    <cellStyle name="Vírgula 12 3" xfId="1480" xr:uid="{232F4157-C60A-49EC-8C81-DAAB76EA0688}"/>
    <cellStyle name="Vírgula 12 3 2" xfId="1481" xr:uid="{B70710BE-1B9F-484C-91F5-5F7F54DFD50A}"/>
    <cellStyle name="Vírgula 12 3 2 2" xfId="1482" xr:uid="{1B9B29F4-7813-4179-85DB-7312072C7B47}"/>
    <cellStyle name="Vírgula 12 3 2 2 2" xfId="1483" xr:uid="{89113A0F-A298-4133-BAB4-2B21B0B242BF}"/>
    <cellStyle name="Vírgula 12 3 2 2 2 2" xfId="1484" xr:uid="{B66F025B-D63C-4B1C-882E-09036D908973}"/>
    <cellStyle name="Vírgula 12 3 2 2 2 3" xfId="6956" xr:uid="{B72D3A9B-36F3-47A3-8238-7C0766FFB6EC}"/>
    <cellStyle name="Vírgula 12 3 2 2 3" xfId="1485" xr:uid="{89B18F82-01FC-4C30-9C76-F230CC6D8D87}"/>
    <cellStyle name="Vírgula 12 3 2 2 4" xfId="6955" xr:uid="{93DA9D41-F8E6-4ABB-B6FF-35EE4007A7A5}"/>
    <cellStyle name="Vírgula 12 3 2 3" xfId="1486" xr:uid="{E2BE6855-B4D8-464C-9524-DBFC3772DB60}"/>
    <cellStyle name="Vírgula 12 3 2 3 2" xfId="1487" xr:uid="{A8B34BB8-24B9-433D-9C99-BBEDD9127F93}"/>
    <cellStyle name="Vírgula 12 3 2 3 2 2" xfId="1488" xr:uid="{3C130A51-2F56-4213-B14C-D0DD93CA0C44}"/>
    <cellStyle name="Vírgula 12 3 2 3 2 3" xfId="6958" xr:uid="{928CAAF0-9271-4BD7-8C61-40A7FC71B334}"/>
    <cellStyle name="Vírgula 12 3 2 3 3" xfId="1489" xr:uid="{64821CC6-EEF9-492C-94D4-D4D093EC0E89}"/>
    <cellStyle name="Vírgula 12 3 2 3 4" xfId="6957" xr:uid="{FAC55760-6B67-4138-A45C-718ECFA9B2AC}"/>
    <cellStyle name="Vírgula 12 3 2 4" xfId="1490" xr:uid="{D23F1976-0331-4AA6-AF48-D6F115368C86}"/>
    <cellStyle name="Vírgula 12 3 2 4 2" xfId="1491" xr:uid="{E658AE9E-4DA0-4BB9-A5B1-B97292C3BA2D}"/>
    <cellStyle name="Vírgula 12 3 2 4 3" xfId="6959" xr:uid="{9A572874-B6EF-488C-B004-88B1ABC62558}"/>
    <cellStyle name="Vírgula 12 3 2 5" xfId="1492" xr:uid="{95C9A902-E3B3-4045-AFDA-3BE8F32D9CDB}"/>
    <cellStyle name="Vírgula 12 3 2 6" xfId="6954" xr:uid="{C2C7B6B6-F42F-4086-A3B1-1B30B0AEB4CF}"/>
    <cellStyle name="Vírgula 12 3 3" xfId="1493" xr:uid="{20B25269-5DF8-47BA-B62A-22EB1831F06B}"/>
    <cellStyle name="Vírgula 12 3 3 2" xfId="1494" xr:uid="{B7ABA2FB-5587-4729-BD47-BB8C2D4F95B2}"/>
    <cellStyle name="Vírgula 12 3 3 2 2" xfId="1495" xr:uid="{EB3DF019-C9F9-4666-A6FD-38FF566E0841}"/>
    <cellStyle name="Vírgula 12 3 3 2 3" xfId="6961" xr:uid="{2A100B12-C35A-4FE5-BE9B-F23D40425C07}"/>
    <cellStyle name="Vírgula 12 3 3 3" xfId="1496" xr:uid="{FBE2BCF6-3C3B-4777-974E-3C67B23C6FCE}"/>
    <cellStyle name="Vírgula 12 3 3 4" xfId="6960" xr:uid="{EEF32063-0729-49CB-871C-A8D2CEFE77E2}"/>
    <cellStyle name="Vírgula 12 3 4" xfId="1497" xr:uid="{08578F2E-4842-48D5-9D30-8DD3E8AB9A3C}"/>
    <cellStyle name="Vírgula 12 3 4 2" xfId="1498" xr:uid="{FB4AA970-FEC8-439F-AD3C-DD173C3FC885}"/>
    <cellStyle name="Vírgula 12 3 4 2 2" xfId="1499" xr:uid="{A891531C-A972-4C31-BD05-976F6E98EAA3}"/>
    <cellStyle name="Vírgula 12 3 4 2 3" xfId="6963" xr:uid="{577E8548-172A-46D8-BE56-663317C59388}"/>
    <cellStyle name="Vírgula 12 3 4 3" xfId="1500" xr:uid="{488B5400-C123-4D34-881B-4A000F450F6B}"/>
    <cellStyle name="Vírgula 12 3 4 4" xfId="6962" xr:uid="{0EB46FC5-E4F1-471F-8099-936BF966225C}"/>
    <cellStyle name="Vírgula 12 3 5" xfId="1501" xr:uid="{964E4094-31F9-4EE7-B420-DE8AC41E4F68}"/>
    <cellStyle name="Vírgula 12 3 5 2" xfId="1502" xr:uid="{AB1A100A-EEA3-48E9-8C83-B08E75634A0D}"/>
    <cellStyle name="Vírgula 12 3 5 3" xfId="6964" xr:uid="{C00F7B35-A637-4B5C-BBCC-D2775CC66685}"/>
    <cellStyle name="Vírgula 12 3 6" xfId="1503" xr:uid="{65E0E652-BA9D-4D8F-B4DB-166F33A4BC27}"/>
    <cellStyle name="Vírgula 12 3 7" xfId="6953" xr:uid="{3BA1BAD4-F0C8-4C59-80F1-581FE03085BD}"/>
    <cellStyle name="Vírgula 12 4" xfId="1504" xr:uid="{E3A4E49B-B129-4298-BFDD-7C1FA7C0992E}"/>
    <cellStyle name="Vírgula 12 4 2" xfId="1505" xr:uid="{7F289713-9EAE-4F55-88D8-8879DE000971}"/>
    <cellStyle name="Vírgula 12 4 2 2" xfId="1506" xr:uid="{2C4BFE53-79D8-41DE-8EB7-81AC89B34825}"/>
    <cellStyle name="Vírgula 12 4 2 2 2" xfId="1507" xr:uid="{6086E663-F7A3-4373-9347-0C271B1C6C61}"/>
    <cellStyle name="Vírgula 12 4 2 2 3" xfId="6967" xr:uid="{4F1E43D2-B19A-4C89-9B37-F3348AC77AD7}"/>
    <cellStyle name="Vírgula 12 4 2 3" xfId="1508" xr:uid="{C6C6F6C1-52D1-45E6-9308-A04003D109CE}"/>
    <cellStyle name="Vírgula 12 4 2 4" xfId="6966" xr:uid="{F4B89551-8581-48DE-84A9-CF96CCBF8BCA}"/>
    <cellStyle name="Vírgula 12 4 3" xfId="1509" xr:uid="{5101C4F1-C233-4DF3-97FF-3E2683012FBE}"/>
    <cellStyle name="Vírgula 12 4 3 2" xfId="1510" xr:uid="{DB39B1AE-16C6-4ACF-B5EE-58D5C4A74051}"/>
    <cellStyle name="Vírgula 12 4 3 2 2" xfId="1511" xr:uid="{9E355E2E-CA72-4B1A-BB08-4F7938F268BC}"/>
    <cellStyle name="Vírgula 12 4 3 2 3" xfId="6969" xr:uid="{EDFEE826-C127-4C83-82EF-4CEF88CC8331}"/>
    <cellStyle name="Vírgula 12 4 3 3" xfId="1512" xr:uid="{B627FB95-133B-4F85-A829-D238065E1665}"/>
    <cellStyle name="Vírgula 12 4 3 4" xfId="6968" xr:uid="{ECC48DBF-EA9E-470D-A2C9-3DD94612C2E8}"/>
    <cellStyle name="Vírgula 12 4 4" xfId="1513" xr:uid="{FD3AE1EF-4BA0-4F32-8C74-2304BB7941A3}"/>
    <cellStyle name="Vírgula 12 4 4 2" xfId="1514" xr:uid="{9F35005E-F2B2-448D-80F8-948451FA799E}"/>
    <cellStyle name="Vírgula 12 4 4 3" xfId="6970" xr:uid="{8F8BE092-3A9C-4FA3-A6E9-5A597B8483A1}"/>
    <cellStyle name="Vírgula 12 4 5" xfId="1515" xr:uid="{8179CFB3-92E9-4807-9955-66BD42F76966}"/>
    <cellStyle name="Vírgula 12 4 6" xfId="6965" xr:uid="{2B6F2482-D74D-44B6-9A79-511B0D891C90}"/>
    <cellStyle name="Vírgula 12 5" xfId="1516" xr:uid="{3A9225EC-BF76-47B7-B537-52A83AC46B19}"/>
    <cellStyle name="Vírgula 12 5 2" xfId="1517" xr:uid="{26A33D12-5755-436C-8775-D2C55AB2FB9D}"/>
    <cellStyle name="Vírgula 12 5 2 2" xfId="1518" xr:uid="{992C8F76-5437-4B23-B99C-45D899CA6BC8}"/>
    <cellStyle name="Vírgula 12 5 2 3" xfId="6972" xr:uid="{1214D504-55FA-4061-8EE4-9797C5B1D013}"/>
    <cellStyle name="Vírgula 12 5 3" xfId="1519" xr:uid="{5C69A7D1-4F62-455B-8774-D83D600AB6FE}"/>
    <cellStyle name="Vírgula 12 5 4" xfId="6971" xr:uid="{DDE6BDB1-7958-4AB4-9B3D-13989F8541C1}"/>
    <cellStyle name="Vírgula 12 6" xfId="1520" xr:uid="{9A893993-BEDA-4CA1-8400-6E899029FA4E}"/>
    <cellStyle name="Vírgula 12 6 2" xfId="1521" xr:uid="{10AE92D3-2CEC-4969-9F9B-28433FA01D64}"/>
    <cellStyle name="Vírgula 12 6 2 2" xfId="1522" xr:uid="{5B2ED72D-6A98-44E0-9657-48957E4A3B38}"/>
    <cellStyle name="Vírgula 12 6 2 3" xfId="6974" xr:uid="{65D9378F-FC98-4E74-85BC-D6F17F4673F9}"/>
    <cellStyle name="Vírgula 12 6 3" xfId="1523" xr:uid="{1FF21E34-8F4C-4114-9D91-F1E496F0FE51}"/>
    <cellStyle name="Vírgula 12 6 4" xfId="6973" xr:uid="{EC6468DA-D44D-46E6-A178-B01F0A27B090}"/>
    <cellStyle name="Vírgula 12 7" xfId="1524" xr:uid="{2296474D-18DE-4CE6-94FB-C219ED00F38A}"/>
    <cellStyle name="Vírgula 12 7 2" xfId="1525" xr:uid="{13A21710-C1BD-483C-B1DB-06FE0E0ADEF9}"/>
    <cellStyle name="Vírgula 12 7 3" xfId="6975" xr:uid="{1304E9F3-F0F6-4EE1-B758-7C8903FE3EBE}"/>
    <cellStyle name="Vírgula 12 8" xfId="1526" xr:uid="{D3AD628B-41FD-456C-9B2F-DF24E93A6493}"/>
    <cellStyle name="Vírgula 12 9" xfId="6940" xr:uid="{77AD9D0D-181C-41FF-AE6A-2D74EF7614C2}"/>
    <cellStyle name="Vírgula 13" xfId="1527" xr:uid="{BADAAAEB-D475-43AC-8EB7-B3E006D88575}"/>
    <cellStyle name="Vírgula 13 2" xfId="1528" xr:uid="{C92E5C47-77CB-45D0-A2A2-FA775D9CAE58}"/>
    <cellStyle name="Vírgula 13 2 2" xfId="1529" xr:uid="{38BFCD83-4030-4276-A683-9E0D9C4D773F}"/>
    <cellStyle name="Vírgula 13 2 2 2" xfId="1530" xr:uid="{16332AF1-0B51-4EA5-BDD8-180926E3B4A5}"/>
    <cellStyle name="Vírgula 13 2 2 2 2" xfId="1531" xr:uid="{B0409B91-4AC2-4561-84AF-DE34B510D0B4}"/>
    <cellStyle name="Vírgula 13 2 2 2 2 2" xfId="1532" xr:uid="{9C53678B-B292-4A61-979A-60CF76DEFA3F}"/>
    <cellStyle name="Vírgula 13 2 2 2 2 3" xfId="6980" xr:uid="{2C334E06-8CE5-430E-805A-DC0E07E64BB8}"/>
    <cellStyle name="Vírgula 13 2 2 2 3" xfId="1533" xr:uid="{D74541D4-57A2-4E59-8949-4B5AE526B4A3}"/>
    <cellStyle name="Vírgula 13 2 2 2 4" xfId="6979" xr:uid="{AA27897F-A4B1-4E94-9520-87DE2BF39542}"/>
    <cellStyle name="Vírgula 13 2 2 3" xfId="1534" xr:uid="{2A9376BD-98CB-4BA7-BB99-85FC9736F40E}"/>
    <cellStyle name="Vírgula 13 2 2 3 2" xfId="1535" xr:uid="{BAADE6C6-C009-46E8-ADFB-44D92898E060}"/>
    <cellStyle name="Vírgula 13 2 2 3 2 2" xfId="1536" xr:uid="{56F5199D-6B90-482C-9448-ABBC7AF80F35}"/>
    <cellStyle name="Vírgula 13 2 2 3 2 3" xfId="6982" xr:uid="{D89C86D5-5202-4D18-8EF8-02564FFBBB86}"/>
    <cellStyle name="Vírgula 13 2 2 3 3" xfId="1537" xr:uid="{58837BAA-000E-4146-9FBD-26C18D99E347}"/>
    <cellStyle name="Vírgula 13 2 2 3 4" xfId="6981" xr:uid="{B4A7C7B4-75A6-4386-8778-19FCC6859FCA}"/>
    <cellStyle name="Vírgula 13 2 2 4" xfId="1538" xr:uid="{5F4BD0E6-61F2-4AF7-A543-E615E9B09D67}"/>
    <cellStyle name="Vírgula 13 2 2 4 2" xfId="1539" xr:uid="{0EF5B420-C13F-47A3-B21B-262FFCB112C6}"/>
    <cellStyle name="Vírgula 13 2 2 4 3" xfId="6983" xr:uid="{5EF11578-44B2-4E9B-BC1B-04654AA8D124}"/>
    <cellStyle name="Vírgula 13 2 2 5" xfId="1540" xr:uid="{D709B56E-4F6B-4991-8C0A-ECC580ACFE1B}"/>
    <cellStyle name="Vírgula 13 2 2 6" xfId="6978" xr:uid="{8DECC559-934C-44DB-874F-E0E114965111}"/>
    <cellStyle name="Vírgula 13 2 3" xfId="1541" xr:uid="{A7CA19EB-7495-42AB-959D-DBFD7B626C59}"/>
    <cellStyle name="Vírgula 13 2 3 2" xfId="1542" xr:uid="{081D656F-DDDD-4001-9621-259A24FD7468}"/>
    <cellStyle name="Vírgula 13 2 3 2 2" xfId="1543" xr:uid="{FE540BC0-FBC3-4249-A2A7-FA213C75C766}"/>
    <cellStyle name="Vírgula 13 2 3 2 3" xfId="6985" xr:uid="{83936F8F-489F-482A-8153-454EA67BB7AB}"/>
    <cellStyle name="Vírgula 13 2 3 3" xfId="1544" xr:uid="{2153A435-F82F-4204-B3F4-262B0E7EC1A8}"/>
    <cellStyle name="Vírgula 13 2 3 4" xfId="6984" xr:uid="{9806026F-F2CD-4BEF-B2D6-997DA68B5AD0}"/>
    <cellStyle name="Vírgula 13 2 4" xfId="1545" xr:uid="{EDBC868D-01A1-43B5-B18D-F28B313CE87C}"/>
    <cellStyle name="Vírgula 13 2 4 2" xfId="1546" xr:uid="{34E0140A-0118-45E3-9100-63C3AFDE08F3}"/>
    <cellStyle name="Vírgula 13 2 4 2 2" xfId="1547" xr:uid="{3A46EE3A-0290-4741-BFA3-21D0426C2248}"/>
    <cellStyle name="Vírgula 13 2 4 2 3" xfId="6987" xr:uid="{7EA8CDFD-B102-4575-A031-799666A0DF57}"/>
    <cellStyle name="Vírgula 13 2 4 3" xfId="1548" xr:uid="{9BBA89C5-0AF2-4B7A-9E4E-1A25F4D098EB}"/>
    <cellStyle name="Vírgula 13 2 4 4" xfId="6986" xr:uid="{896E67F7-E195-4115-8992-0800D7ABFBFD}"/>
    <cellStyle name="Vírgula 13 2 5" xfId="1549" xr:uid="{CC3B4C22-F079-417F-9E03-5D9AC562FF5F}"/>
    <cellStyle name="Vírgula 13 2 5 2" xfId="1550" xr:uid="{921FBBB1-2998-467A-8437-F9FE314C3ED0}"/>
    <cellStyle name="Vírgula 13 2 5 3" xfId="6988" xr:uid="{3B8F6806-F598-41ED-A58E-6975A6B4ECCC}"/>
    <cellStyle name="Vírgula 13 2 6" xfId="1551" xr:uid="{FF67B3F9-CD38-4CFA-A4C6-F655A8773B3F}"/>
    <cellStyle name="Vírgula 13 2 7" xfId="6977" xr:uid="{200BD1D2-EA60-424B-94CB-5AA39A04A05B}"/>
    <cellStyle name="Vírgula 13 3" xfId="1552" xr:uid="{8F76022F-158F-408E-AB4E-43B3B5FC68F9}"/>
    <cellStyle name="Vírgula 13 3 2" xfId="1553" xr:uid="{646F5D76-F6D7-4CFA-80AD-A48B83F6E566}"/>
    <cellStyle name="Vírgula 13 3 2 2" xfId="1554" xr:uid="{B5875B45-FAB1-4647-B2CF-4C9B8A0C2515}"/>
    <cellStyle name="Vírgula 13 3 2 2 2" xfId="1555" xr:uid="{93032C42-EA99-4A1A-95B6-63A033F2C0C2}"/>
    <cellStyle name="Vírgula 13 3 2 2 2 2" xfId="1556" xr:uid="{AC297CE2-89AE-416D-B35A-C87F586EEC16}"/>
    <cellStyle name="Vírgula 13 3 2 2 2 3" xfId="6992" xr:uid="{031F4440-E64E-45B0-850C-7D0F5235FA01}"/>
    <cellStyle name="Vírgula 13 3 2 2 3" xfId="1557" xr:uid="{5F0D12DB-8D18-4190-81A1-82A0EDB53441}"/>
    <cellStyle name="Vírgula 13 3 2 2 4" xfId="6991" xr:uid="{5E3B60BF-23CE-4094-AACE-BBCEE7300B15}"/>
    <cellStyle name="Vírgula 13 3 2 3" xfId="1558" xr:uid="{8F7FE982-7318-4739-9E9A-B1F315048CBF}"/>
    <cellStyle name="Vírgula 13 3 2 3 2" xfId="1559" xr:uid="{34B321E7-32DB-4DD5-AC35-927ECF8C67EB}"/>
    <cellStyle name="Vírgula 13 3 2 3 2 2" xfId="1560" xr:uid="{D3B83679-DE1D-4531-9C4A-D47FF8DDC717}"/>
    <cellStyle name="Vírgula 13 3 2 3 2 3" xfId="6994" xr:uid="{9B2D94EE-CD1D-4B25-9230-59388452A92E}"/>
    <cellStyle name="Vírgula 13 3 2 3 3" xfId="1561" xr:uid="{49DF461A-2D25-4A23-8C4A-1C5ABF5F4DEE}"/>
    <cellStyle name="Vírgula 13 3 2 3 4" xfId="6993" xr:uid="{196177CE-62A6-44C4-A93E-334A1642E5C5}"/>
    <cellStyle name="Vírgula 13 3 2 4" xfId="1562" xr:uid="{D61DD88F-8DCC-4816-AD53-8B4D96F797E9}"/>
    <cellStyle name="Vírgula 13 3 2 4 2" xfId="1563" xr:uid="{34D14DA0-1672-4D5D-AD49-05916F8C965A}"/>
    <cellStyle name="Vírgula 13 3 2 4 3" xfId="6995" xr:uid="{BF1B93DB-26A6-44E3-A6EB-2179CB5DD7B2}"/>
    <cellStyle name="Vírgula 13 3 2 5" xfId="1564" xr:uid="{F25BCAD4-AC45-4308-9299-96B58359D2F7}"/>
    <cellStyle name="Vírgula 13 3 2 6" xfId="6990" xr:uid="{21A5D054-51F8-4196-AFF9-DD00949D2372}"/>
    <cellStyle name="Vírgula 13 3 3" xfId="1565" xr:uid="{1DF31E8D-2ADE-46BB-B81A-5A71BEAEF28B}"/>
    <cellStyle name="Vírgula 13 3 3 2" xfId="1566" xr:uid="{A8BB339E-000A-420E-8F16-B085B3A6E25D}"/>
    <cellStyle name="Vírgula 13 3 3 2 2" xfId="1567" xr:uid="{2E28D771-9E61-4636-B8C4-9138CB783BDF}"/>
    <cellStyle name="Vírgula 13 3 3 2 3" xfId="6997" xr:uid="{DFF52DAF-67A9-49B5-9EFF-866D9EF76255}"/>
    <cellStyle name="Vírgula 13 3 3 3" xfId="1568" xr:uid="{5343B052-3382-40A3-A0F4-FF8701F1028A}"/>
    <cellStyle name="Vírgula 13 3 3 4" xfId="6996" xr:uid="{3F963F9D-2B4A-4516-916D-13F03D588BF1}"/>
    <cellStyle name="Vírgula 13 3 4" xfId="1569" xr:uid="{A2A22D6A-F818-41DD-AF31-7995A5F93477}"/>
    <cellStyle name="Vírgula 13 3 4 2" xfId="1570" xr:uid="{571B9F59-B28F-4438-B6EC-724940E57EC2}"/>
    <cellStyle name="Vírgula 13 3 4 2 2" xfId="1571" xr:uid="{1A83B3A8-F1A5-4143-8C0E-0533AD9162B7}"/>
    <cellStyle name="Vírgula 13 3 4 2 3" xfId="6999" xr:uid="{A3BFFFBF-58C1-43F1-9B07-240DB1E75A8D}"/>
    <cellStyle name="Vírgula 13 3 4 3" xfId="1572" xr:uid="{E4A593A7-FA71-4FC0-A9DC-5E0FBADD5020}"/>
    <cellStyle name="Vírgula 13 3 4 4" xfId="6998" xr:uid="{85775E5A-CD62-40F5-BFCE-B225F295A440}"/>
    <cellStyle name="Vírgula 13 3 5" xfId="1573" xr:uid="{6CA537CF-2643-4C95-8E7C-9F81E79E22E1}"/>
    <cellStyle name="Vírgula 13 3 5 2" xfId="1574" xr:uid="{63342D95-DF78-42FC-A101-F3FFB8CDC651}"/>
    <cellStyle name="Vírgula 13 3 5 3" xfId="7000" xr:uid="{6C595EE5-73EA-4F7D-ABEF-C806B021F9C3}"/>
    <cellStyle name="Vírgula 13 3 6" xfId="1575" xr:uid="{E5D9E36F-0884-4B3B-AE2B-7F59450ED5EB}"/>
    <cellStyle name="Vírgula 13 3 7" xfId="6989" xr:uid="{DF822401-EBC0-491E-B6BD-6331A9556B4C}"/>
    <cellStyle name="Vírgula 13 4" xfId="1576" xr:uid="{5AE9BDB9-F5EE-471B-968B-DED970952C36}"/>
    <cellStyle name="Vírgula 13 4 2" xfId="1577" xr:uid="{C0B35135-F7C4-428C-A6CF-8F43E425FCB6}"/>
    <cellStyle name="Vírgula 13 4 2 2" xfId="1578" xr:uid="{D94B5FD5-3B70-4409-99D8-8A817864A6B1}"/>
    <cellStyle name="Vírgula 13 4 2 2 2" xfId="1579" xr:uid="{C7EBB422-18A5-4A6F-A71C-B1C9BF7438E3}"/>
    <cellStyle name="Vírgula 13 4 2 2 3" xfId="7003" xr:uid="{2C4CD429-865F-4590-9BE6-41F0D2803157}"/>
    <cellStyle name="Vírgula 13 4 2 3" xfId="1580" xr:uid="{1F6A851B-8879-4F5B-8386-4503A615B131}"/>
    <cellStyle name="Vírgula 13 4 2 4" xfId="7002" xr:uid="{9E31D37F-CB6C-4A34-A4A6-8A83256B86AD}"/>
    <cellStyle name="Vírgula 13 4 3" xfId="1581" xr:uid="{CECFDC60-4741-4517-A6CC-4865924CC902}"/>
    <cellStyle name="Vírgula 13 4 3 2" xfId="1582" xr:uid="{05803418-447C-4C90-A2D8-F74044E293F8}"/>
    <cellStyle name="Vírgula 13 4 3 2 2" xfId="1583" xr:uid="{EFAE4543-F3A4-46F7-83F7-EA8A46615E3F}"/>
    <cellStyle name="Vírgula 13 4 3 2 3" xfId="7005" xr:uid="{930DC096-FD8A-425A-98BE-616A6E627419}"/>
    <cellStyle name="Vírgula 13 4 3 3" xfId="1584" xr:uid="{13FA21E5-FC43-4E84-BEF5-6ED5D0B1461F}"/>
    <cellStyle name="Vírgula 13 4 3 4" xfId="7004" xr:uid="{3F469932-036D-49DD-A432-3E3FD5B5BD45}"/>
    <cellStyle name="Vírgula 13 4 4" xfId="1585" xr:uid="{FE1AD81B-0FD3-4A6D-A744-6419820FD6DE}"/>
    <cellStyle name="Vírgula 13 4 4 2" xfId="1586" xr:uid="{4603A8EE-1147-42C3-9736-6E2C17929BA8}"/>
    <cellStyle name="Vírgula 13 4 4 3" xfId="7006" xr:uid="{DF5E54B2-A3BA-446A-8338-83D62E74D6AC}"/>
    <cellStyle name="Vírgula 13 4 5" xfId="1587" xr:uid="{EC2C699D-15B2-4CDF-A1F9-16BF4EE4392A}"/>
    <cellStyle name="Vírgula 13 4 6" xfId="7001" xr:uid="{CB0D92CC-81E8-4B0B-BBE3-A549930DAEC1}"/>
    <cellStyle name="Vírgula 13 5" xfId="1588" xr:uid="{781A0F05-2210-4AD9-BC2C-093C802E7CA3}"/>
    <cellStyle name="Vírgula 13 5 2" xfId="1589" xr:uid="{B3822A0A-1F44-4B78-B6BC-A699C6DE0D40}"/>
    <cellStyle name="Vírgula 13 5 2 2" xfId="1590" xr:uid="{4FF86B55-4CC9-428D-BEF6-F910C1B87C54}"/>
    <cellStyle name="Vírgula 13 5 2 3" xfId="7008" xr:uid="{62C0B10C-6E71-4DAD-9552-4F182383E842}"/>
    <cellStyle name="Vírgula 13 5 3" xfId="1591" xr:uid="{4D0D14FC-37C0-45C7-9730-EF84800B70A5}"/>
    <cellStyle name="Vírgula 13 5 4" xfId="7007" xr:uid="{E10517F4-8106-48A8-BCB7-8A00357AA8FE}"/>
    <cellStyle name="Vírgula 13 6" xfId="1592" xr:uid="{C9A9FEBA-87B1-4BEE-A689-B7BECC482F70}"/>
    <cellStyle name="Vírgula 13 6 2" xfId="1593" xr:uid="{F29898A6-2416-4A5E-838C-43C7EAF11243}"/>
    <cellStyle name="Vírgula 13 6 2 2" xfId="1594" xr:uid="{0BF298B1-EE8F-42B8-BA87-A1780EB08976}"/>
    <cellStyle name="Vírgula 13 6 2 3" xfId="7010" xr:uid="{6F9D5D73-461B-407A-8313-BF402820A723}"/>
    <cellStyle name="Vírgula 13 6 3" xfId="1595" xr:uid="{CAD19E64-B25D-4413-90D8-CB09F55536DD}"/>
    <cellStyle name="Vírgula 13 6 4" xfId="7009" xr:uid="{3CC149C9-7E92-4730-933D-509D1533EBFA}"/>
    <cellStyle name="Vírgula 13 7" xfId="1596" xr:uid="{B680C657-A11F-4386-AD3F-BF0F47EDD69D}"/>
    <cellStyle name="Vírgula 13 7 2" xfId="1597" xr:uid="{3F2E4F5D-CC45-42EE-B1FC-573EE9CC6CD5}"/>
    <cellStyle name="Vírgula 13 7 3" xfId="7011" xr:uid="{C59E0543-B1CB-4C1D-9ED1-CF7BD6EBC56E}"/>
    <cellStyle name="Vírgula 13 8" xfId="1598" xr:uid="{C8003380-EB43-4CAC-A22E-BAB7D2485DB7}"/>
    <cellStyle name="Vírgula 13 9" xfId="6976" xr:uid="{32E2A265-09D8-4367-A083-784871FABDC0}"/>
    <cellStyle name="Vírgula 14" xfId="1599" xr:uid="{DCC475A0-8578-4A8B-AC59-F0347087895F}"/>
    <cellStyle name="Vírgula 14 2" xfId="1600" xr:uid="{A2D1F0F0-B4D4-4227-BFC3-4BDFFE5D9578}"/>
    <cellStyle name="Vírgula 14 2 2" xfId="1601" xr:uid="{C8A5153D-E5EE-4DCE-951C-BC165194EEB5}"/>
    <cellStyle name="Vírgula 14 2 3" xfId="7013" xr:uid="{49999F75-7DE1-4303-80CC-E80558F96061}"/>
    <cellStyle name="Vírgula 14 3" xfId="1602" xr:uid="{DE00AFAC-65FF-489F-AB5D-56DBF42A1FA8}"/>
    <cellStyle name="Vírgula 14 4" xfId="7012" xr:uid="{7175503B-60C1-4788-A8D6-2907EBD2CEFF}"/>
    <cellStyle name="Vírgula 15" xfId="1603" xr:uid="{01C0C930-038C-405E-9663-E698D3C49BD0}"/>
    <cellStyle name="Vírgula 2" xfId="1604" xr:uid="{3910A054-1DC7-445C-9623-46C39EBE5F2F}"/>
    <cellStyle name="Vírgula 2 2" xfId="1605" xr:uid="{D2E8345F-91F6-4608-BA64-1B7A5F121B49}"/>
    <cellStyle name="Vírgula 2 2 10" xfId="1606" xr:uid="{CB02DECE-4758-412D-B6EA-55EB0B0ABFED}"/>
    <cellStyle name="Vírgula 2 2 10 2" xfId="1607" xr:uid="{5238CF19-D7D8-4D6D-AFE1-F9EBE96F00C5}"/>
    <cellStyle name="Vírgula 2 2 10 2 2" xfId="1608" xr:uid="{A674DF47-CD13-41FA-98B8-5F08BE6E203A}"/>
    <cellStyle name="Vírgula 2 2 10 2 3" xfId="7016" xr:uid="{5BD2C5CA-0F72-4047-8307-B1BFC19A1E5C}"/>
    <cellStyle name="Vírgula 2 2 10 3" xfId="1609" xr:uid="{C9597DB4-828E-46BE-9605-A8F3ED7484F1}"/>
    <cellStyle name="Vírgula 2 2 10 4" xfId="7015" xr:uid="{58F72278-60FD-431A-BC95-4B9BB761B7A1}"/>
    <cellStyle name="Vírgula 2 2 11" xfId="1610" xr:uid="{7CB764B7-5A73-4B2E-AF8A-A3A662D9E28D}"/>
    <cellStyle name="Vírgula 2 2 11 2" xfId="1611" xr:uid="{AE492394-FEA8-425A-B3AD-8871156C7ADE}"/>
    <cellStyle name="Vírgula 2 2 11 3" xfId="7017" xr:uid="{78F7FE9B-B940-4377-8D9A-576FAB5E571D}"/>
    <cellStyle name="Vírgula 2 2 12" xfId="1612" xr:uid="{41679232-DF44-4F04-9A7B-BC6573619DFE}"/>
    <cellStyle name="Vírgula 2 2 13" xfId="7014" xr:uid="{25D4C6D4-3675-4C44-AC04-28821D40764A}"/>
    <cellStyle name="Vírgula 2 2 2" xfId="1613" xr:uid="{F919EC49-1C63-4BAB-943A-BB3CE0FDF6CB}"/>
    <cellStyle name="Vírgula 2 2 2 10" xfId="1614" xr:uid="{14413137-B617-4B39-8C35-0B1B73F37174}"/>
    <cellStyle name="Vírgula 2 2 2 10 2" xfId="1615" xr:uid="{C6E64BE7-8F77-4CB7-AAE3-A5D2DCD85DD8}"/>
    <cellStyle name="Vírgula 2 2 2 10 3" xfId="7019" xr:uid="{6A97FF10-3180-4CDA-85EE-29F313595781}"/>
    <cellStyle name="Vírgula 2 2 2 11" xfId="1616" xr:uid="{C4991A2E-F4DB-4E34-8298-5522B6DF4B19}"/>
    <cellStyle name="Vírgula 2 2 2 12" xfId="7018" xr:uid="{A9F681D6-475B-407F-A195-1736E7EE2390}"/>
    <cellStyle name="Vírgula 2 2 2 2" xfId="1617" xr:uid="{5C4960A6-1B36-40A5-AF5E-1869D9F836B7}"/>
    <cellStyle name="Vírgula 2 2 2 2 2" xfId="1618" xr:uid="{BE0530AD-59ED-4168-83AB-6CC9676F33A6}"/>
    <cellStyle name="Vírgula 2 2 2 2 2 2" xfId="1619" xr:uid="{84E0BD7E-679A-4968-83F5-53030960F850}"/>
    <cellStyle name="Vírgula 2 2 2 2 2 2 2" xfId="1620" xr:uid="{E3662378-13EB-4038-92BC-F9D3A81A55BA}"/>
    <cellStyle name="Vírgula 2 2 2 2 2 2 2 2" xfId="1621" xr:uid="{80D9A60A-078A-415B-80A7-1128B1E036EA}"/>
    <cellStyle name="Vírgula 2 2 2 2 2 2 2 2 2" xfId="1622" xr:uid="{ADC09775-486C-4999-BFF8-D32145D99E81}"/>
    <cellStyle name="Vírgula 2 2 2 2 2 2 2 2 3" xfId="7024" xr:uid="{64EE8D51-9B6A-4485-B463-6796D7FDF3D6}"/>
    <cellStyle name="Vírgula 2 2 2 2 2 2 2 3" xfId="1623" xr:uid="{2CAB0DF5-34F1-437D-BB8F-3972B0C42B9C}"/>
    <cellStyle name="Vírgula 2 2 2 2 2 2 2 4" xfId="7023" xr:uid="{0B84B065-B536-4940-A71A-99D4BC4F4947}"/>
    <cellStyle name="Vírgula 2 2 2 2 2 2 3" xfId="1624" xr:uid="{5E3E3C05-AFFB-4076-AD1F-698784A45D78}"/>
    <cellStyle name="Vírgula 2 2 2 2 2 2 3 2" xfId="1625" xr:uid="{0C677D1E-F6E6-437A-8069-FB44414ECBED}"/>
    <cellStyle name="Vírgula 2 2 2 2 2 2 3 2 2" xfId="1626" xr:uid="{9C5E6493-0FD0-49B0-A43D-E146A3CB9A3F}"/>
    <cellStyle name="Vírgula 2 2 2 2 2 2 3 2 3" xfId="7026" xr:uid="{BC524375-9E2C-44C6-A175-CC7D2AC067C0}"/>
    <cellStyle name="Vírgula 2 2 2 2 2 2 3 3" xfId="1627" xr:uid="{A38C796C-F785-4A18-AB1C-4D3236BF8DA6}"/>
    <cellStyle name="Vírgula 2 2 2 2 2 2 3 4" xfId="7025" xr:uid="{90352541-B437-4C86-930B-AB7D95DA96BE}"/>
    <cellStyle name="Vírgula 2 2 2 2 2 2 4" xfId="1628" xr:uid="{86EE84E7-DC20-467B-9632-48C00AEDECF3}"/>
    <cellStyle name="Vírgula 2 2 2 2 2 2 4 2" xfId="1629" xr:uid="{98AF0858-5616-403C-8002-5A6CA65A39E4}"/>
    <cellStyle name="Vírgula 2 2 2 2 2 2 4 3" xfId="7027" xr:uid="{74552362-9E06-4B7D-9753-C50C5451C3E5}"/>
    <cellStyle name="Vírgula 2 2 2 2 2 2 5" xfId="1630" xr:uid="{DB8841FB-193F-4EA9-BC05-44154E65649D}"/>
    <cellStyle name="Vírgula 2 2 2 2 2 2 6" xfId="7022" xr:uid="{8AD39EA4-1C49-4FDD-AD02-CF371BC973F5}"/>
    <cellStyle name="Vírgula 2 2 2 2 2 3" xfId="1631" xr:uid="{74D6D24E-22BC-4F5C-A61D-2221EB8ADA4C}"/>
    <cellStyle name="Vírgula 2 2 2 2 2 3 2" xfId="1632" xr:uid="{F1DAA214-100E-45E0-A66F-32769460F572}"/>
    <cellStyle name="Vírgula 2 2 2 2 2 3 2 2" xfId="1633" xr:uid="{F16173E7-8EFB-49EA-9971-46108F297EE7}"/>
    <cellStyle name="Vírgula 2 2 2 2 2 3 2 3" xfId="7029" xr:uid="{1110D9C2-158A-4A5B-9294-D71E0DDBA305}"/>
    <cellStyle name="Vírgula 2 2 2 2 2 3 3" xfId="1634" xr:uid="{1368DCC0-8933-405B-AF80-583CA543DB6C}"/>
    <cellStyle name="Vírgula 2 2 2 2 2 3 4" xfId="7028" xr:uid="{661B65F6-EC1A-49E2-B9F2-56C1533092AB}"/>
    <cellStyle name="Vírgula 2 2 2 2 2 4" xfId="1635" xr:uid="{A6119B17-BF35-48BF-9F08-04BB9215FC19}"/>
    <cellStyle name="Vírgula 2 2 2 2 2 4 2" xfId="1636" xr:uid="{8EC9AE13-B898-4363-BF53-8A2FB63BDB7D}"/>
    <cellStyle name="Vírgula 2 2 2 2 2 4 2 2" xfId="1637" xr:uid="{7B54738F-549B-4E01-B847-1FC89082E8F2}"/>
    <cellStyle name="Vírgula 2 2 2 2 2 4 2 3" xfId="7031" xr:uid="{52C24A37-4CC3-4063-B3DF-E2918D8C071B}"/>
    <cellStyle name="Vírgula 2 2 2 2 2 4 3" xfId="1638" xr:uid="{C6C7F23C-FC10-445C-844D-D547359A834A}"/>
    <cellStyle name="Vírgula 2 2 2 2 2 4 4" xfId="7030" xr:uid="{4194F4C7-740B-479E-8CDC-3CAF528C520F}"/>
    <cellStyle name="Vírgula 2 2 2 2 2 5" xfId="1639" xr:uid="{5BAA6F12-DE8D-440C-BE70-AF5B55011206}"/>
    <cellStyle name="Vírgula 2 2 2 2 2 5 2" xfId="1640" xr:uid="{5A0ED8B8-016B-40B3-9287-42E373439543}"/>
    <cellStyle name="Vírgula 2 2 2 2 2 5 3" xfId="7032" xr:uid="{C32851D3-29D9-4631-9CA1-8ABA11E332F0}"/>
    <cellStyle name="Vírgula 2 2 2 2 2 6" xfId="1641" xr:uid="{E3237306-58E0-488B-B7D0-5FF0B9868A48}"/>
    <cellStyle name="Vírgula 2 2 2 2 2 7" xfId="7021" xr:uid="{9BCE68B1-5967-436E-8C7A-39DAC3A3D638}"/>
    <cellStyle name="Vírgula 2 2 2 2 3" xfId="1642" xr:uid="{B62815BA-1702-4A4C-B08F-8628C5844CC4}"/>
    <cellStyle name="Vírgula 2 2 2 2 3 2" xfId="1643" xr:uid="{446CB882-235B-4BEC-B395-E1F9BDC3F820}"/>
    <cellStyle name="Vírgula 2 2 2 2 3 2 2" xfId="1644" xr:uid="{FD3BB39E-F7FE-45B2-A3A1-DA5359489112}"/>
    <cellStyle name="Vírgula 2 2 2 2 3 2 2 2" xfId="1645" xr:uid="{AD8E08C7-8468-42F3-90F4-F660238D1EAD}"/>
    <cellStyle name="Vírgula 2 2 2 2 3 2 2 2 2" xfId="1646" xr:uid="{AAE884C4-DCC4-4DB3-B84C-94A25686CA8F}"/>
    <cellStyle name="Vírgula 2 2 2 2 3 2 2 2 3" xfId="7036" xr:uid="{783A055E-DDCF-4FE8-8F23-080515F9F5E9}"/>
    <cellStyle name="Vírgula 2 2 2 2 3 2 2 3" xfId="1647" xr:uid="{C3BDAF96-FCB5-4D5F-B7B4-A306A2D7B963}"/>
    <cellStyle name="Vírgula 2 2 2 2 3 2 2 4" xfId="7035" xr:uid="{DE00C8D1-50C6-4745-B279-0F408340448C}"/>
    <cellStyle name="Vírgula 2 2 2 2 3 2 3" xfId="1648" xr:uid="{7027E231-39C7-4168-B392-73D9F9A3684B}"/>
    <cellStyle name="Vírgula 2 2 2 2 3 2 3 2" xfId="1649" xr:uid="{6D6C4FFE-AE30-47C4-9A7E-575C7FCEF949}"/>
    <cellStyle name="Vírgula 2 2 2 2 3 2 3 2 2" xfId="1650" xr:uid="{6E3D5FFE-94D9-40B3-88C6-F7C51D67DBD9}"/>
    <cellStyle name="Vírgula 2 2 2 2 3 2 3 2 3" xfId="7038" xr:uid="{2102C6FE-1EC2-4D3B-9E4B-794CEDF3290D}"/>
    <cellStyle name="Vírgula 2 2 2 2 3 2 3 3" xfId="1651" xr:uid="{6582F9B5-F689-48BE-93CE-381CF25259E2}"/>
    <cellStyle name="Vírgula 2 2 2 2 3 2 3 4" xfId="7037" xr:uid="{F0083D08-4819-4C64-B82C-D9244CA7E3EF}"/>
    <cellStyle name="Vírgula 2 2 2 2 3 2 4" xfId="1652" xr:uid="{8A8ADF5F-E1F9-461A-880C-EED766748E88}"/>
    <cellStyle name="Vírgula 2 2 2 2 3 2 4 2" xfId="1653" xr:uid="{BB207F88-7C5D-4D92-8E39-E16882CE165F}"/>
    <cellStyle name="Vírgula 2 2 2 2 3 2 4 3" xfId="7039" xr:uid="{C1C637B3-8AF6-4451-8728-6015A3184936}"/>
    <cellStyle name="Vírgula 2 2 2 2 3 2 5" xfId="1654" xr:uid="{B76A0212-E544-4F8C-A90C-1D599C208019}"/>
    <cellStyle name="Vírgula 2 2 2 2 3 2 6" xfId="7034" xr:uid="{289758BD-7A3C-4E03-85E2-9DC67EE8F755}"/>
    <cellStyle name="Vírgula 2 2 2 2 3 3" xfId="1655" xr:uid="{7788707F-FCBB-491F-8916-8290D37375A6}"/>
    <cellStyle name="Vírgula 2 2 2 2 3 3 2" xfId="1656" xr:uid="{1E68350A-B3D9-44D6-B543-737E840E1D95}"/>
    <cellStyle name="Vírgula 2 2 2 2 3 3 2 2" xfId="1657" xr:uid="{F0A82C0A-A86A-46EF-8995-5EA650ACED42}"/>
    <cellStyle name="Vírgula 2 2 2 2 3 3 2 3" xfId="7041" xr:uid="{DBCFBB74-D133-49AD-82EA-F50E7F6C2707}"/>
    <cellStyle name="Vírgula 2 2 2 2 3 3 3" xfId="1658" xr:uid="{B782F863-717C-46C6-90CE-6AECA9B5F101}"/>
    <cellStyle name="Vírgula 2 2 2 2 3 3 4" xfId="7040" xr:uid="{36F69B1B-F809-418A-867B-64CCC423500F}"/>
    <cellStyle name="Vírgula 2 2 2 2 3 4" xfId="1659" xr:uid="{558F6665-F8E5-4D5E-B7B9-7D9484D87FEC}"/>
    <cellStyle name="Vírgula 2 2 2 2 3 4 2" xfId="1660" xr:uid="{BF7F67FD-16B0-4516-B914-772048762A5D}"/>
    <cellStyle name="Vírgula 2 2 2 2 3 4 2 2" xfId="1661" xr:uid="{D4D4029A-BABD-4EA1-85EC-E00DC76F5058}"/>
    <cellStyle name="Vírgula 2 2 2 2 3 4 2 3" xfId="7043" xr:uid="{52A4EE78-A584-4DD7-88D9-785EDB1D2454}"/>
    <cellStyle name="Vírgula 2 2 2 2 3 4 3" xfId="1662" xr:uid="{066FD738-4DF8-4E89-9D59-29A1179946C8}"/>
    <cellStyle name="Vírgula 2 2 2 2 3 4 4" xfId="7042" xr:uid="{22BFAEFC-CC24-4550-A012-0B14637C4D3E}"/>
    <cellStyle name="Vírgula 2 2 2 2 3 5" xfId="1663" xr:uid="{176C7849-FFBE-4D72-80BF-3DFAEDD761AC}"/>
    <cellStyle name="Vírgula 2 2 2 2 3 5 2" xfId="1664" xr:uid="{3F995D69-8707-4AE2-B1CA-D35EA6F98266}"/>
    <cellStyle name="Vírgula 2 2 2 2 3 5 3" xfId="7044" xr:uid="{05A1B051-3BF4-411D-933E-9D4E557DFC7E}"/>
    <cellStyle name="Vírgula 2 2 2 2 3 6" xfId="1665" xr:uid="{9B057D76-9201-49CD-AEB7-513FE0298464}"/>
    <cellStyle name="Vírgula 2 2 2 2 3 7" xfId="7033" xr:uid="{5083C84C-EC7B-45CF-867C-6954C5AD443B}"/>
    <cellStyle name="Vírgula 2 2 2 2 4" xfId="1666" xr:uid="{2EBDBD2E-569B-4288-9FCE-03F27FFC32F7}"/>
    <cellStyle name="Vírgula 2 2 2 2 4 2" xfId="1667" xr:uid="{A1BF0404-9909-4ACC-BAD7-679497491582}"/>
    <cellStyle name="Vírgula 2 2 2 2 4 2 2" xfId="1668" xr:uid="{132899A4-4868-4BAE-BA15-95725F158DE8}"/>
    <cellStyle name="Vírgula 2 2 2 2 4 2 2 2" xfId="1669" xr:uid="{FD3F3663-E9AB-4D50-B964-0841C0FD186E}"/>
    <cellStyle name="Vírgula 2 2 2 2 4 2 2 3" xfId="7047" xr:uid="{1F03BD6F-84EE-4A9E-A701-6CD32E09348A}"/>
    <cellStyle name="Vírgula 2 2 2 2 4 2 3" xfId="1670" xr:uid="{9B1D32E9-6777-4E89-9F3D-26ED9F57653C}"/>
    <cellStyle name="Vírgula 2 2 2 2 4 2 4" xfId="7046" xr:uid="{B8FC0875-6F14-481E-955C-90EED968A0FC}"/>
    <cellStyle name="Vírgula 2 2 2 2 4 3" xfId="1671" xr:uid="{2E05E4F0-76FE-4994-967C-BA16BF0D73C0}"/>
    <cellStyle name="Vírgula 2 2 2 2 4 3 2" xfId="1672" xr:uid="{3D2DFC7F-7BF1-4F72-8C4B-BE2824E93ACD}"/>
    <cellStyle name="Vírgula 2 2 2 2 4 3 2 2" xfId="1673" xr:uid="{F5BB2F6A-1C7C-47CA-B72E-259FB2227BC4}"/>
    <cellStyle name="Vírgula 2 2 2 2 4 3 2 3" xfId="7049" xr:uid="{FAE9F3E4-83F5-4610-8052-3EB88A292ED1}"/>
    <cellStyle name="Vírgula 2 2 2 2 4 3 3" xfId="1674" xr:uid="{C37535B1-2481-4DA6-B981-F122C57BF808}"/>
    <cellStyle name="Vírgula 2 2 2 2 4 3 4" xfId="7048" xr:uid="{1393301C-9B7E-46CE-B53E-C3F4A6DD930E}"/>
    <cellStyle name="Vírgula 2 2 2 2 4 4" xfId="1675" xr:uid="{CB42563C-9589-46EC-A293-1862D015DBCE}"/>
    <cellStyle name="Vírgula 2 2 2 2 4 4 2" xfId="1676" xr:uid="{95C82113-6F86-47EE-B7B2-2887208B816D}"/>
    <cellStyle name="Vírgula 2 2 2 2 4 4 3" xfId="7050" xr:uid="{0B1AE2F4-AFD8-48CB-BF44-A90BC327775F}"/>
    <cellStyle name="Vírgula 2 2 2 2 4 5" xfId="1677" xr:uid="{BD278A6C-6F10-4A4C-92DB-68A40B0F90A9}"/>
    <cellStyle name="Vírgula 2 2 2 2 4 6" xfId="7045" xr:uid="{1F6FD50C-A993-4547-B560-40A8E1A21517}"/>
    <cellStyle name="Vírgula 2 2 2 2 5" xfId="1678" xr:uid="{059149E8-37D3-43B8-B72C-FAD18F78893B}"/>
    <cellStyle name="Vírgula 2 2 2 2 5 2" xfId="1679" xr:uid="{6777FFC9-BB09-4CF4-BDBC-432772F7838C}"/>
    <cellStyle name="Vírgula 2 2 2 2 5 2 2" xfId="1680" xr:uid="{9490D5FA-D025-4657-8B4F-69A88AFCE756}"/>
    <cellStyle name="Vírgula 2 2 2 2 5 2 3" xfId="7052" xr:uid="{BAB5B6DC-921C-4AA7-BA7B-FE33B6D48D0E}"/>
    <cellStyle name="Vírgula 2 2 2 2 5 3" xfId="1681" xr:uid="{081DBDC2-5D98-4E9C-94F9-3CA0EDB6DC5E}"/>
    <cellStyle name="Vírgula 2 2 2 2 5 4" xfId="7051" xr:uid="{62BAD5AF-25B5-4FEA-A48B-26EDC3965AE7}"/>
    <cellStyle name="Vírgula 2 2 2 2 6" xfId="1682" xr:uid="{36B23C95-52D7-42DA-AC79-9F1754DCB82A}"/>
    <cellStyle name="Vírgula 2 2 2 2 6 2" xfId="1683" xr:uid="{BB039168-6F6C-4462-ADBE-CD8267C0EEDE}"/>
    <cellStyle name="Vírgula 2 2 2 2 6 2 2" xfId="1684" xr:uid="{2E81F5DB-8F05-4F7F-93B2-7D62DC4B2485}"/>
    <cellStyle name="Vírgula 2 2 2 2 6 2 3" xfId="7054" xr:uid="{448BB034-C3F5-43F2-ADA9-2FA4D2311E86}"/>
    <cellStyle name="Vírgula 2 2 2 2 6 3" xfId="1685" xr:uid="{9C3FDB86-7A65-4DD0-8ABD-2F99B6D11C55}"/>
    <cellStyle name="Vírgula 2 2 2 2 6 4" xfId="7053" xr:uid="{9A3A3DD1-434A-4162-BDE4-E781B8AD476A}"/>
    <cellStyle name="Vírgula 2 2 2 2 7" xfId="1686" xr:uid="{F3E6CE41-9571-4042-80F6-B26757C8C0D0}"/>
    <cellStyle name="Vírgula 2 2 2 2 7 2" xfId="1687" xr:uid="{15ED8001-F4A2-4641-AAED-AC033F5FA0C4}"/>
    <cellStyle name="Vírgula 2 2 2 2 7 3" xfId="7055" xr:uid="{F5D667F0-A31D-4668-A67B-16925B025E55}"/>
    <cellStyle name="Vírgula 2 2 2 2 8" xfId="1688" xr:uid="{03BC182E-C720-4CB6-9E3F-CFC262D9E953}"/>
    <cellStyle name="Vírgula 2 2 2 2 9" xfId="7020" xr:uid="{DF41D6D5-DA34-4B40-9D05-A260952D7EA4}"/>
    <cellStyle name="Vírgula 2 2 2 3" xfId="1689" xr:uid="{CCD5AC2F-9617-4650-BD4B-0F486FC23532}"/>
    <cellStyle name="Vírgula 2 2 2 3 2" xfId="1690" xr:uid="{10403EB0-16A5-4D34-9CC2-3FAB2E1EAC9E}"/>
    <cellStyle name="Vírgula 2 2 2 3 2 2" xfId="1691" xr:uid="{7EAD4B07-44AE-4372-8404-2B6AE8224909}"/>
    <cellStyle name="Vírgula 2 2 2 3 2 2 2" xfId="1692" xr:uid="{D45EBB26-BEEF-40B0-9D87-18B233025EF2}"/>
    <cellStyle name="Vírgula 2 2 2 3 2 2 2 2" xfId="1693" xr:uid="{6D4DEFB6-EB29-4E5B-BF0D-E147A640547C}"/>
    <cellStyle name="Vírgula 2 2 2 3 2 2 2 2 2" xfId="1694" xr:uid="{86E587B9-018B-4FAF-B09C-7348C6B00CDF}"/>
    <cellStyle name="Vírgula 2 2 2 3 2 2 2 2 3" xfId="7060" xr:uid="{D7F8AE0D-5067-4FF0-89C9-87F3BCFA523D}"/>
    <cellStyle name="Vírgula 2 2 2 3 2 2 2 3" xfId="1695" xr:uid="{701E8B37-1653-4D28-AC38-83549C3969EA}"/>
    <cellStyle name="Vírgula 2 2 2 3 2 2 2 4" xfId="7059" xr:uid="{FF4CDA9C-ECE2-40F4-A50B-0F92F06E1BC9}"/>
    <cellStyle name="Vírgula 2 2 2 3 2 2 3" xfId="1696" xr:uid="{50A5FCB4-3647-4749-B569-0847995C64A2}"/>
    <cellStyle name="Vírgula 2 2 2 3 2 2 3 2" xfId="1697" xr:uid="{4D0DC4FA-479B-4399-9D5D-09A1C27A3204}"/>
    <cellStyle name="Vírgula 2 2 2 3 2 2 3 2 2" xfId="1698" xr:uid="{D72BB1CD-3A65-4AB8-8EF8-0E83D0214A2C}"/>
    <cellStyle name="Vírgula 2 2 2 3 2 2 3 2 3" xfId="7062" xr:uid="{E135D276-D25E-4C7A-B5DE-BE4395937211}"/>
    <cellStyle name="Vírgula 2 2 2 3 2 2 3 3" xfId="1699" xr:uid="{55717812-200F-475F-ADD3-29B0FB1B7194}"/>
    <cellStyle name="Vírgula 2 2 2 3 2 2 3 4" xfId="7061" xr:uid="{7F0E0A91-3A65-4C92-A787-92A81CD72015}"/>
    <cellStyle name="Vírgula 2 2 2 3 2 2 4" xfId="1700" xr:uid="{0568C998-9FA7-4770-92E1-6636FA745CBC}"/>
    <cellStyle name="Vírgula 2 2 2 3 2 2 4 2" xfId="1701" xr:uid="{6E8F2DEB-A1A1-46AB-8901-B4D56FFBC15B}"/>
    <cellStyle name="Vírgula 2 2 2 3 2 2 4 3" xfId="7063" xr:uid="{BE90B48C-28BD-48FF-B803-94618E0D3C96}"/>
    <cellStyle name="Vírgula 2 2 2 3 2 2 5" xfId="1702" xr:uid="{CD94DC47-437B-4870-9BDF-62DC0631618A}"/>
    <cellStyle name="Vírgula 2 2 2 3 2 2 6" xfId="7058" xr:uid="{9C62DBAF-7F91-4E46-BA45-449453EBC039}"/>
    <cellStyle name="Vírgula 2 2 2 3 2 3" xfId="1703" xr:uid="{DD558352-9C8B-498C-8B70-77A4914A1F23}"/>
    <cellStyle name="Vírgula 2 2 2 3 2 3 2" xfId="1704" xr:uid="{6327DFE5-32EB-41B5-AC93-0A114C3029B6}"/>
    <cellStyle name="Vírgula 2 2 2 3 2 3 2 2" xfId="1705" xr:uid="{423DCB37-2EA8-42CA-9F8C-E7CACEF1CFB0}"/>
    <cellStyle name="Vírgula 2 2 2 3 2 3 2 3" xfId="7065" xr:uid="{E2F7CD93-FB91-4262-8454-70BFBB807A2F}"/>
    <cellStyle name="Vírgula 2 2 2 3 2 3 3" xfId="1706" xr:uid="{4E5BBABA-2DB7-43F3-9B6A-B156DDEBC4D5}"/>
    <cellStyle name="Vírgula 2 2 2 3 2 3 4" xfId="7064" xr:uid="{192E2EBA-B085-4D47-8F8A-D1C225A56E6B}"/>
    <cellStyle name="Vírgula 2 2 2 3 2 4" xfId="1707" xr:uid="{066C9EE9-4BDB-46BA-B451-FA2D68FE0D55}"/>
    <cellStyle name="Vírgula 2 2 2 3 2 4 2" xfId="1708" xr:uid="{6D139598-E3EE-42A3-B33D-27C4A57B552B}"/>
    <cellStyle name="Vírgula 2 2 2 3 2 4 2 2" xfId="1709" xr:uid="{4280FD83-6067-4967-AC3D-EC29B34530CF}"/>
    <cellStyle name="Vírgula 2 2 2 3 2 4 2 3" xfId="7067" xr:uid="{FEAAEA9E-269F-414B-BA9C-A29E4F37F486}"/>
    <cellStyle name="Vírgula 2 2 2 3 2 4 3" xfId="1710" xr:uid="{3691CFF0-D324-42E9-BE5B-9E041705CE8D}"/>
    <cellStyle name="Vírgula 2 2 2 3 2 4 4" xfId="7066" xr:uid="{12D7F362-946D-491F-92EF-44C7CC2D5ECB}"/>
    <cellStyle name="Vírgula 2 2 2 3 2 5" xfId="1711" xr:uid="{A5BA520A-15BC-4E6D-B35F-8670E6A1ABF9}"/>
    <cellStyle name="Vírgula 2 2 2 3 2 5 2" xfId="1712" xr:uid="{D1E8304C-4D7A-49B6-B0AC-DD99956D529C}"/>
    <cellStyle name="Vírgula 2 2 2 3 2 5 3" xfId="7068" xr:uid="{7DA74FA2-CEFC-4E97-A95B-4959733A99F1}"/>
    <cellStyle name="Vírgula 2 2 2 3 2 6" xfId="1713" xr:uid="{43BC1FC2-8CB7-40E9-AA05-30794E66BA12}"/>
    <cellStyle name="Vírgula 2 2 2 3 2 7" xfId="7057" xr:uid="{00A4C693-F223-4373-ADF7-200F8693C762}"/>
    <cellStyle name="Vírgula 2 2 2 3 3" xfId="1714" xr:uid="{03A5FBA4-1C0B-4BDB-9C19-376733555267}"/>
    <cellStyle name="Vírgula 2 2 2 3 3 2" xfId="1715" xr:uid="{53ED7C00-B735-461D-98F7-B093CE200FE9}"/>
    <cellStyle name="Vírgula 2 2 2 3 3 2 2" xfId="1716" xr:uid="{BB49211D-EA2A-45FD-888F-2E2350F03E7C}"/>
    <cellStyle name="Vírgula 2 2 2 3 3 2 2 2" xfId="1717" xr:uid="{46398371-B882-4F97-9169-076A046BF0A3}"/>
    <cellStyle name="Vírgula 2 2 2 3 3 2 2 2 2" xfId="1718" xr:uid="{C3BCEF12-9EB4-4638-9B56-4AAFC8C0135E}"/>
    <cellStyle name="Vírgula 2 2 2 3 3 2 2 2 3" xfId="7072" xr:uid="{C4CAF223-BD1C-464A-A52B-CF582E4959B3}"/>
    <cellStyle name="Vírgula 2 2 2 3 3 2 2 3" xfId="1719" xr:uid="{16A8612E-0E8E-49EE-BAAB-EDA0FDF2ACF0}"/>
    <cellStyle name="Vírgula 2 2 2 3 3 2 2 4" xfId="7071" xr:uid="{3C779154-C538-40A7-BFCE-0CED9196AC5E}"/>
    <cellStyle name="Vírgula 2 2 2 3 3 2 3" xfId="1720" xr:uid="{E04D079F-6FEC-44A3-8FA0-699FD90E8FFD}"/>
    <cellStyle name="Vírgula 2 2 2 3 3 2 3 2" xfId="1721" xr:uid="{C5750B7C-E6D4-4399-BC7F-B7A86D6427C7}"/>
    <cellStyle name="Vírgula 2 2 2 3 3 2 3 2 2" xfId="1722" xr:uid="{4CC676EA-6187-468D-9C3F-A9F9FD71BDA7}"/>
    <cellStyle name="Vírgula 2 2 2 3 3 2 3 2 3" xfId="7074" xr:uid="{DF49083A-2D24-49E7-9BFD-7ED47420808D}"/>
    <cellStyle name="Vírgula 2 2 2 3 3 2 3 3" xfId="1723" xr:uid="{81338C08-7500-417B-9FA0-892DDC0170F4}"/>
    <cellStyle name="Vírgula 2 2 2 3 3 2 3 4" xfId="7073" xr:uid="{93A7D08F-F8FD-4621-BE17-8F19D8E4B282}"/>
    <cellStyle name="Vírgula 2 2 2 3 3 2 4" xfId="1724" xr:uid="{60CA954F-9CE6-435A-8D60-9600B98B754E}"/>
    <cellStyle name="Vírgula 2 2 2 3 3 2 4 2" xfId="1725" xr:uid="{FF97FF4C-C726-4DC2-A891-D52742AD2B40}"/>
    <cellStyle name="Vírgula 2 2 2 3 3 2 4 3" xfId="7075" xr:uid="{08A3E873-30D0-4813-BB67-0C0CB3A003FE}"/>
    <cellStyle name="Vírgula 2 2 2 3 3 2 5" xfId="1726" xr:uid="{45A38D64-BE26-4DD8-83F9-C1B58158AEF8}"/>
    <cellStyle name="Vírgula 2 2 2 3 3 2 6" xfId="7070" xr:uid="{F068D0C5-498E-458C-A290-B681A7A34DFC}"/>
    <cellStyle name="Vírgula 2 2 2 3 3 3" xfId="1727" xr:uid="{7FFFD535-753F-40C1-9658-FB6F3C436E18}"/>
    <cellStyle name="Vírgula 2 2 2 3 3 3 2" xfId="1728" xr:uid="{8D3AD25D-0C2D-4A69-B2B5-E43F7AE2E17F}"/>
    <cellStyle name="Vírgula 2 2 2 3 3 3 2 2" xfId="1729" xr:uid="{CAB83868-523B-4C62-9B65-E9A096DC6008}"/>
    <cellStyle name="Vírgula 2 2 2 3 3 3 2 3" xfId="7077" xr:uid="{83C99452-4D4C-4BFF-81D9-B57A34120E55}"/>
    <cellStyle name="Vírgula 2 2 2 3 3 3 3" xfId="1730" xr:uid="{20D17F62-6577-4836-9BB3-DB71C45A5C28}"/>
    <cellStyle name="Vírgula 2 2 2 3 3 3 4" xfId="7076" xr:uid="{105F8E35-E2F8-47EB-AE96-8FDD16CF2871}"/>
    <cellStyle name="Vírgula 2 2 2 3 3 4" xfId="1731" xr:uid="{8AEAB7AD-D2B9-4C1B-8ED9-5BC5415DD13A}"/>
    <cellStyle name="Vírgula 2 2 2 3 3 4 2" xfId="1732" xr:uid="{ED4B77C8-E41D-4B2E-91A0-700A166F0618}"/>
    <cellStyle name="Vírgula 2 2 2 3 3 4 2 2" xfId="1733" xr:uid="{EFC5ED9B-0563-495D-A212-DAFB050CB3F2}"/>
    <cellStyle name="Vírgula 2 2 2 3 3 4 2 3" xfId="7079" xr:uid="{17C4156C-76BA-4E44-A9E3-104756264A41}"/>
    <cellStyle name="Vírgula 2 2 2 3 3 4 3" xfId="1734" xr:uid="{F67F3D2A-2EA5-45A6-804C-407C60F19B28}"/>
    <cellStyle name="Vírgula 2 2 2 3 3 4 4" xfId="7078" xr:uid="{147B7AC1-FADA-42FF-9BE6-C8DD94A25D8E}"/>
    <cellStyle name="Vírgula 2 2 2 3 3 5" xfId="1735" xr:uid="{0A8E1AD3-D608-428C-A8D3-5FF6D2D2CF96}"/>
    <cellStyle name="Vírgula 2 2 2 3 3 5 2" xfId="1736" xr:uid="{597B5130-1532-49CD-B57F-DB26842467E2}"/>
    <cellStyle name="Vírgula 2 2 2 3 3 5 3" xfId="7080" xr:uid="{F574E3BB-976E-42D2-8E37-318C4FE00FD0}"/>
    <cellStyle name="Vírgula 2 2 2 3 3 6" xfId="1737" xr:uid="{73EB90B7-2B0A-44F8-9113-CB83C9D9CD83}"/>
    <cellStyle name="Vírgula 2 2 2 3 3 7" xfId="7069" xr:uid="{15E4B009-5E26-4AC4-885B-018A16958C50}"/>
    <cellStyle name="Vírgula 2 2 2 3 4" xfId="1738" xr:uid="{99D143C3-3B8A-45B7-B704-2672582898F1}"/>
    <cellStyle name="Vírgula 2 2 2 3 4 2" xfId="1739" xr:uid="{C4624461-918E-47B1-9ADB-C1CF17CE57F7}"/>
    <cellStyle name="Vírgula 2 2 2 3 4 2 2" xfId="1740" xr:uid="{190E6F3B-FCD4-4D49-A0D1-595DF4CE8AFE}"/>
    <cellStyle name="Vírgula 2 2 2 3 4 2 2 2" xfId="1741" xr:uid="{5C9AD193-A3D8-4ABC-96F5-5A0B9D023DB5}"/>
    <cellStyle name="Vírgula 2 2 2 3 4 2 2 3" xfId="7083" xr:uid="{EE60EF80-B430-4F03-930D-6743C25BB990}"/>
    <cellStyle name="Vírgula 2 2 2 3 4 2 3" xfId="1742" xr:uid="{3E4E2E5A-489E-4658-99FE-F598B1C94F97}"/>
    <cellStyle name="Vírgula 2 2 2 3 4 2 4" xfId="7082" xr:uid="{07BFBB15-2FA7-4A8B-A8E9-1B27E9EA4842}"/>
    <cellStyle name="Vírgula 2 2 2 3 4 3" xfId="1743" xr:uid="{61FBEFE8-13AE-496C-B505-601DA748E312}"/>
    <cellStyle name="Vírgula 2 2 2 3 4 3 2" xfId="1744" xr:uid="{D00EF953-35DF-460D-8640-C2A57BD9D042}"/>
    <cellStyle name="Vírgula 2 2 2 3 4 3 2 2" xfId="1745" xr:uid="{1AD89D5E-37A5-4043-8B8D-6ADA56261CEC}"/>
    <cellStyle name="Vírgula 2 2 2 3 4 3 2 3" xfId="7085" xr:uid="{9CA6476D-8669-4DDF-93E6-00BF9FBD9D07}"/>
    <cellStyle name="Vírgula 2 2 2 3 4 3 3" xfId="1746" xr:uid="{F553EF6F-7889-406C-889A-119A3A43C1D0}"/>
    <cellStyle name="Vírgula 2 2 2 3 4 3 4" xfId="7084" xr:uid="{35C08812-F92E-4CEE-B02E-EE97A7995260}"/>
    <cellStyle name="Vírgula 2 2 2 3 4 4" xfId="1747" xr:uid="{5F77630A-E79C-4071-B041-AD7E1E14340D}"/>
    <cellStyle name="Vírgula 2 2 2 3 4 4 2" xfId="1748" xr:uid="{48CBB2FB-6B80-45D7-8693-357A8BBAFD71}"/>
    <cellStyle name="Vírgula 2 2 2 3 4 4 3" xfId="7086" xr:uid="{F03075C9-AFF2-42F9-B1FC-B993E183FB9B}"/>
    <cellStyle name="Vírgula 2 2 2 3 4 5" xfId="1749" xr:uid="{570D1154-269E-465D-8971-6146758EDB87}"/>
    <cellStyle name="Vírgula 2 2 2 3 4 6" xfId="7081" xr:uid="{B1A8C792-BE34-427C-90A6-9730875A7FA9}"/>
    <cellStyle name="Vírgula 2 2 2 3 5" xfId="1750" xr:uid="{D5425D77-C641-422A-93A6-C5DD24D64B6B}"/>
    <cellStyle name="Vírgula 2 2 2 3 5 2" xfId="1751" xr:uid="{484AAEC0-AF0B-4D74-B6C6-C5CF6CA042EF}"/>
    <cellStyle name="Vírgula 2 2 2 3 5 2 2" xfId="1752" xr:uid="{25A00448-C95E-4BC1-A873-41FC1B5AC0BB}"/>
    <cellStyle name="Vírgula 2 2 2 3 5 2 3" xfId="7088" xr:uid="{51844762-3C29-4C89-A846-563C50C80031}"/>
    <cellStyle name="Vírgula 2 2 2 3 5 3" xfId="1753" xr:uid="{ED06A7FA-31A3-4160-BBB2-8B4CF5247E39}"/>
    <cellStyle name="Vírgula 2 2 2 3 5 4" xfId="7087" xr:uid="{90B7C5ED-1A60-48BB-9A4E-17482B89856C}"/>
    <cellStyle name="Vírgula 2 2 2 3 6" xfId="1754" xr:uid="{CF1B657D-58D5-4DA6-96B2-296B8C8A2D39}"/>
    <cellStyle name="Vírgula 2 2 2 3 6 2" xfId="1755" xr:uid="{FAA79C3C-04C6-44C0-9EA4-BB8D1C7081FC}"/>
    <cellStyle name="Vírgula 2 2 2 3 6 2 2" xfId="1756" xr:uid="{47BDBAF7-AA34-4680-BC40-A78BB0742608}"/>
    <cellStyle name="Vírgula 2 2 2 3 6 2 3" xfId="7090" xr:uid="{43AD478E-BFCB-4C00-8987-3BAE06F9D043}"/>
    <cellStyle name="Vírgula 2 2 2 3 6 3" xfId="1757" xr:uid="{E8A44DEA-CD3C-4B00-BAA9-E26284481D71}"/>
    <cellStyle name="Vírgula 2 2 2 3 6 4" xfId="7089" xr:uid="{DAA71A78-30C8-4C43-ACBE-45B8FA11ED4B}"/>
    <cellStyle name="Vírgula 2 2 2 3 7" xfId="1758" xr:uid="{5A62B070-D0EA-49D4-AA91-0B4FF178CCB4}"/>
    <cellStyle name="Vírgula 2 2 2 3 7 2" xfId="1759" xr:uid="{43921849-04CC-4F15-A69A-6757B9B57F94}"/>
    <cellStyle name="Vírgula 2 2 2 3 7 3" xfId="7091" xr:uid="{5DE8209D-8DAF-40A0-8F38-07003FBADE0C}"/>
    <cellStyle name="Vírgula 2 2 2 3 8" xfId="1760" xr:uid="{9054DB55-EBC9-493C-B400-96FE85BB8E4C}"/>
    <cellStyle name="Vírgula 2 2 2 3 9" xfId="7056" xr:uid="{88360463-3764-46E4-88D7-EBC49D9354BF}"/>
    <cellStyle name="Vírgula 2 2 2 4" xfId="1761" xr:uid="{6265822C-65DA-4FB4-AFE1-F572F4EA748B}"/>
    <cellStyle name="Vírgula 2 2 2 4 2" xfId="1762" xr:uid="{D9F6CA93-3588-4150-B3AF-66D4701C667E}"/>
    <cellStyle name="Vírgula 2 2 2 4 2 2" xfId="1763" xr:uid="{887E86CD-BD3F-44EF-A51D-241963A5B84C}"/>
    <cellStyle name="Vírgula 2 2 2 4 2 2 2" xfId="1764" xr:uid="{787549BF-1015-4DEE-A4F9-A8DB1249280A}"/>
    <cellStyle name="Vírgula 2 2 2 4 2 2 2 2" xfId="1765" xr:uid="{25168D20-A61D-46E5-9A2C-0C73AF395332}"/>
    <cellStyle name="Vírgula 2 2 2 4 2 2 2 2 2" xfId="1766" xr:uid="{6B659512-6729-4994-B88B-43CAE8DD1701}"/>
    <cellStyle name="Vírgula 2 2 2 4 2 2 2 2 3" xfId="7096" xr:uid="{A6D458AE-4CA3-4460-BCEF-01CD219A6E66}"/>
    <cellStyle name="Vírgula 2 2 2 4 2 2 2 3" xfId="1767" xr:uid="{4DEA5660-E9B5-453E-8A35-DA01B36F0574}"/>
    <cellStyle name="Vírgula 2 2 2 4 2 2 2 4" xfId="7095" xr:uid="{EC725399-552E-4A94-AA5C-FEE661D2B5B9}"/>
    <cellStyle name="Vírgula 2 2 2 4 2 2 3" xfId="1768" xr:uid="{31A519CE-CAC5-4D8C-9731-4D80DB052C5D}"/>
    <cellStyle name="Vírgula 2 2 2 4 2 2 3 2" xfId="1769" xr:uid="{AF1A6A1A-E47D-4EC0-A156-B2B2F9354282}"/>
    <cellStyle name="Vírgula 2 2 2 4 2 2 3 2 2" xfId="1770" xr:uid="{5E11E8DB-2BBD-470C-B863-001F1E2A7855}"/>
    <cellStyle name="Vírgula 2 2 2 4 2 2 3 2 3" xfId="7098" xr:uid="{9314AE4A-CE2E-4DA0-B823-AAF91D854FCA}"/>
    <cellStyle name="Vírgula 2 2 2 4 2 2 3 3" xfId="1771" xr:uid="{65324CDC-BB5A-4A06-AB9C-363F2E8D99C8}"/>
    <cellStyle name="Vírgula 2 2 2 4 2 2 3 4" xfId="7097" xr:uid="{06B0F02F-54A9-401E-A7A1-DE8AB293BE8B}"/>
    <cellStyle name="Vírgula 2 2 2 4 2 2 4" xfId="1772" xr:uid="{DDFE9E28-D26C-49DE-8EEE-DA925F5CF518}"/>
    <cellStyle name="Vírgula 2 2 2 4 2 2 4 2" xfId="1773" xr:uid="{16E07505-EC5A-4D01-8B85-FBAD6FD40A26}"/>
    <cellStyle name="Vírgula 2 2 2 4 2 2 4 3" xfId="7099" xr:uid="{1F4FEFF3-3C17-4F9E-B44F-40D03673C79D}"/>
    <cellStyle name="Vírgula 2 2 2 4 2 2 5" xfId="1774" xr:uid="{87DFECFD-063D-45C0-9DD6-6160B5316E67}"/>
    <cellStyle name="Vírgula 2 2 2 4 2 2 6" xfId="7094" xr:uid="{E128E4AF-602D-49F6-A815-B4E37CE0BA5B}"/>
    <cellStyle name="Vírgula 2 2 2 4 2 3" xfId="1775" xr:uid="{080FCC01-C25F-4235-8A0A-EAB13DF4652A}"/>
    <cellStyle name="Vírgula 2 2 2 4 2 3 2" xfId="1776" xr:uid="{DD497AFB-D78A-4A35-9F08-841FCED804FA}"/>
    <cellStyle name="Vírgula 2 2 2 4 2 3 2 2" xfId="1777" xr:uid="{C3D175A9-DA0E-4F00-B621-1235F15EE219}"/>
    <cellStyle name="Vírgula 2 2 2 4 2 3 2 3" xfId="7101" xr:uid="{76BF2B5A-97FD-43D4-8465-58FE4E18C61A}"/>
    <cellStyle name="Vírgula 2 2 2 4 2 3 3" xfId="1778" xr:uid="{1C99B9DF-CF25-40CB-B9F5-D4510A02D0BF}"/>
    <cellStyle name="Vírgula 2 2 2 4 2 3 4" xfId="7100" xr:uid="{F92EE580-CBB1-4565-84E7-618ECFACC9C6}"/>
    <cellStyle name="Vírgula 2 2 2 4 2 4" xfId="1779" xr:uid="{E485622E-E013-4E92-A4AE-64A512CE5330}"/>
    <cellStyle name="Vírgula 2 2 2 4 2 4 2" xfId="1780" xr:uid="{14D4A96A-BE3C-4C61-806A-D8E44EE5C098}"/>
    <cellStyle name="Vírgula 2 2 2 4 2 4 2 2" xfId="1781" xr:uid="{0ED8EC94-B2AD-4788-B67A-1B9B17EEC1C0}"/>
    <cellStyle name="Vírgula 2 2 2 4 2 4 2 3" xfId="7103" xr:uid="{6C549043-491F-4693-B28B-FD06F14068B9}"/>
    <cellStyle name="Vírgula 2 2 2 4 2 4 3" xfId="1782" xr:uid="{51AFCECC-D134-4AA6-B2B1-E329A237AF03}"/>
    <cellStyle name="Vírgula 2 2 2 4 2 4 4" xfId="7102" xr:uid="{18B7FBB5-3B57-41EC-AC8B-E418B67FD18E}"/>
    <cellStyle name="Vírgula 2 2 2 4 2 5" xfId="1783" xr:uid="{0B9A5FE1-334D-4BDD-8717-9DC8C5CB6515}"/>
    <cellStyle name="Vírgula 2 2 2 4 2 5 2" xfId="1784" xr:uid="{F3621E7D-C232-4932-9789-2B1900392503}"/>
    <cellStyle name="Vírgula 2 2 2 4 2 5 3" xfId="7104" xr:uid="{B8AF08FE-79B1-4736-8F71-74651408D478}"/>
    <cellStyle name="Vírgula 2 2 2 4 2 6" xfId="1785" xr:uid="{3230888A-492E-4D28-B03D-6885643381B8}"/>
    <cellStyle name="Vírgula 2 2 2 4 2 7" xfId="7093" xr:uid="{21779A0A-ABE2-40A6-9828-4D409DBE4024}"/>
    <cellStyle name="Vírgula 2 2 2 4 3" xfId="1786" xr:uid="{21FC1277-5358-49F2-9C86-1581FE9AAA7B}"/>
    <cellStyle name="Vírgula 2 2 2 4 3 2" xfId="1787" xr:uid="{4B8889B4-CCB3-48E1-8995-2351F59179D2}"/>
    <cellStyle name="Vírgula 2 2 2 4 3 2 2" xfId="1788" xr:uid="{B343B0A2-10E7-4A93-A86D-05D302DE3165}"/>
    <cellStyle name="Vírgula 2 2 2 4 3 2 2 2" xfId="1789" xr:uid="{68C6C046-0EAB-43F7-B365-71C337BBEC51}"/>
    <cellStyle name="Vírgula 2 2 2 4 3 2 2 2 2" xfId="1790" xr:uid="{B266BAED-2DB9-4DEE-BF92-64F27DF3EB42}"/>
    <cellStyle name="Vírgula 2 2 2 4 3 2 2 2 3" xfId="7108" xr:uid="{AB57A454-B5E4-4F25-9F0D-866418CE0C06}"/>
    <cellStyle name="Vírgula 2 2 2 4 3 2 2 3" xfId="1791" xr:uid="{A3918F62-A5C9-4466-8CB1-DB84C3EC5EBA}"/>
    <cellStyle name="Vírgula 2 2 2 4 3 2 2 4" xfId="7107" xr:uid="{94763EB6-FE88-493C-876D-823F27B23201}"/>
    <cellStyle name="Vírgula 2 2 2 4 3 2 3" xfId="1792" xr:uid="{2CE8FED9-7830-4B91-BF62-E70A375A3605}"/>
    <cellStyle name="Vírgula 2 2 2 4 3 2 3 2" xfId="1793" xr:uid="{A5F25AD3-1BAB-41B6-80E4-82C65CE686A4}"/>
    <cellStyle name="Vírgula 2 2 2 4 3 2 3 2 2" xfId="1794" xr:uid="{823CEC93-E064-467C-B5AE-D4313AA17A02}"/>
    <cellStyle name="Vírgula 2 2 2 4 3 2 3 2 3" xfId="7110" xr:uid="{2120D5FF-FE73-4BE4-B9CD-5EC6B2093684}"/>
    <cellStyle name="Vírgula 2 2 2 4 3 2 3 3" xfId="1795" xr:uid="{84638E85-3821-49FD-A114-9DE2B5E765CD}"/>
    <cellStyle name="Vírgula 2 2 2 4 3 2 3 4" xfId="7109" xr:uid="{26DA34C1-0A53-4FC5-A6B0-A39C7D477D0F}"/>
    <cellStyle name="Vírgula 2 2 2 4 3 2 4" xfId="1796" xr:uid="{30424005-EC81-40CF-A213-6B61762A6B3F}"/>
    <cellStyle name="Vírgula 2 2 2 4 3 2 4 2" xfId="1797" xr:uid="{31652853-7007-4E80-BD7C-34E719087B2D}"/>
    <cellStyle name="Vírgula 2 2 2 4 3 2 4 3" xfId="7111" xr:uid="{57CC85E4-C0BB-4ADA-920E-9D41D73FE4B8}"/>
    <cellStyle name="Vírgula 2 2 2 4 3 2 5" xfId="1798" xr:uid="{25D809F6-D655-4C34-917C-E829623C28FB}"/>
    <cellStyle name="Vírgula 2 2 2 4 3 2 6" xfId="7106" xr:uid="{9B385D37-E7CA-452C-9B24-685C5E34002F}"/>
    <cellStyle name="Vírgula 2 2 2 4 3 3" xfId="1799" xr:uid="{C7EB2204-58C9-4DB4-9825-7C43B1E55C0A}"/>
    <cellStyle name="Vírgula 2 2 2 4 3 3 2" xfId="1800" xr:uid="{0A6C4599-031C-46B4-875A-ACFCD2D888E1}"/>
    <cellStyle name="Vírgula 2 2 2 4 3 3 2 2" xfId="1801" xr:uid="{8BEC72B3-B857-485C-9AEC-8B30D835148A}"/>
    <cellStyle name="Vírgula 2 2 2 4 3 3 2 3" xfId="7113" xr:uid="{FD7CBC92-A3DE-46A4-88A1-C2730533FAA5}"/>
    <cellStyle name="Vírgula 2 2 2 4 3 3 3" xfId="1802" xr:uid="{B37EA1FF-2D19-43F9-951B-1964CDCA9684}"/>
    <cellStyle name="Vírgula 2 2 2 4 3 3 4" xfId="7112" xr:uid="{97397E48-9AA6-4EDF-A43E-31C598F4E987}"/>
    <cellStyle name="Vírgula 2 2 2 4 3 4" xfId="1803" xr:uid="{FC9D99DC-741F-441D-BB94-8DC14A963F29}"/>
    <cellStyle name="Vírgula 2 2 2 4 3 4 2" xfId="1804" xr:uid="{5C2EEE7D-B461-4689-B9BD-C611E7A2D7FD}"/>
    <cellStyle name="Vírgula 2 2 2 4 3 4 2 2" xfId="1805" xr:uid="{40F42BAB-F973-4A39-B0D0-7621EFA06DF5}"/>
    <cellStyle name="Vírgula 2 2 2 4 3 4 2 3" xfId="7115" xr:uid="{DA400C98-6F4C-4F9E-AD73-D5CD6868B9A0}"/>
    <cellStyle name="Vírgula 2 2 2 4 3 4 3" xfId="1806" xr:uid="{D3FB7475-427F-4E60-8E1F-F148462F2C5C}"/>
    <cellStyle name="Vírgula 2 2 2 4 3 4 4" xfId="7114" xr:uid="{C984FC86-F94D-408E-B39D-047411ABE1D5}"/>
    <cellStyle name="Vírgula 2 2 2 4 3 5" xfId="1807" xr:uid="{8D250BD7-0AAF-4728-9047-F9C6DF423EA7}"/>
    <cellStyle name="Vírgula 2 2 2 4 3 5 2" xfId="1808" xr:uid="{EDB31731-1545-4122-972A-9C79BD0BEBFC}"/>
    <cellStyle name="Vírgula 2 2 2 4 3 5 3" xfId="7116" xr:uid="{51589D2A-CC53-498C-BB72-FADAAB98E8FE}"/>
    <cellStyle name="Vírgula 2 2 2 4 3 6" xfId="1809" xr:uid="{15F7F6C6-8677-463A-97A0-A113E5ABD91F}"/>
    <cellStyle name="Vírgula 2 2 2 4 3 7" xfId="7105" xr:uid="{0885FB97-7933-4856-8B28-FF14F9F884DC}"/>
    <cellStyle name="Vírgula 2 2 2 4 4" xfId="1810" xr:uid="{29E6A50B-BA65-4C12-95BA-49AFAC0F9A68}"/>
    <cellStyle name="Vírgula 2 2 2 4 4 2" xfId="1811" xr:uid="{7F599DBA-5322-4992-80E3-BCDEBA2303B7}"/>
    <cellStyle name="Vírgula 2 2 2 4 4 2 2" xfId="1812" xr:uid="{18709FC2-C1DB-483F-B08B-BFA6908D95C7}"/>
    <cellStyle name="Vírgula 2 2 2 4 4 2 2 2" xfId="1813" xr:uid="{27A21503-C77C-478A-A6E3-E37BAD9641F7}"/>
    <cellStyle name="Vírgula 2 2 2 4 4 2 2 3" xfId="7119" xr:uid="{7DA43413-7F5C-4773-80D1-416AE05DAAB5}"/>
    <cellStyle name="Vírgula 2 2 2 4 4 2 3" xfId="1814" xr:uid="{ADE00C18-C316-47A5-B744-CE6254F5051B}"/>
    <cellStyle name="Vírgula 2 2 2 4 4 2 4" xfId="7118" xr:uid="{A08934C0-970D-40FD-91DB-5367812FEF06}"/>
    <cellStyle name="Vírgula 2 2 2 4 4 3" xfId="1815" xr:uid="{2D577536-B5FC-421B-ADC5-B56C2D5668C5}"/>
    <cellStyle name="Vírgula 2 2 2 4 4 3 2" xfId="1816" xr:uid="{43BB114B-AFA7-443E-80E3-5919CB451C04}"/>
    <cellStyle name="Vírgula 2 2 2 4 4 3 2 2" xfId="1817" xr:uid="{E50DAB74-3C9F-45EC-9AE8-22A613CF0BC3}"/>
    <cellStyle name="Vírgula 2 2 2 4 4 3 2 3" xfId="7121" xr:uid="{EC090F94-5E5E-4D4C-B892-334CE006D060}"/>
    <cellStyle name="Vírgula 2 2 2 4 4 3 3" xfId="1818" xr:uid="{78F52314-CC69-48C1-892D-B425A1CAE709}"/>
    <cellStyle name="Vírgula 2 2 2 4 4 3 4" xfId="7120" xr:uid="{4C2FC516-3085-4178-81D9-0FFCB10BF2F2}"/>
    <cellStyle name="Vírgula 2 2 2 4 4 4" xfId="1819" xr:uid="{A67CC003-F0E2-4846-8973-17125103BFB7}"/>
    <cellStyle name="Vírgula 2 2 2 4 4 4 2" xfId="1820" xr:uid="{DB869E63-EA83-47C4-99AB-76E795ACFD14}"/>
    <cellStyle name="Vírgula 2 2 2 4 4 4 3" xfId="7122" xr:uid="{71AA06A6-8983-4942-999F-ED13ED48546A}"/>
    <cellStyle name="Vírgula 2 2 2 4 4 5" xfId="1821" xr:uid="{DCA7091A-C639-4485-A834-6A0504101CEE}"/>
    <cellStyle name="Vírgula 2 2 2 4 4 6" xfId="7117" xr:uid="{02B50D5C-91EF-4BF1-ADE0-EB1CE5D838FF}"/>
    <cellStyle name="Vírgula 2 2 2 4 5" xfId="1822" xr:uid="{E234DABC-B2BB-4D25-91D5-C57AE70205BA}"/>
    <cellStyle name="Vírgula 2 2 2 4 5 2" xfId="1823" xr:uid="{CB04F67E-C6ED-48E6-A049-FD9C3F6F82B5}"/>
    <cellStyle name="Vírgula 2 2 2 4 5 2 2" xfId="1824" xr:uid="{7572674A-CF2C-4DC3-8862-B7AAC3994DC6}"/>
    <cellStyle name="Vírgula 2 2 2 4 5 2 3" xfId="7124" xr:uid="{B457F239-08D2-43E9-A7F9-8568183F8904}"/>
    <cellStyle name="Vírgula 2 2 2 4 5 3" xfId="1825" xr:uid="{B0741EC7-6103-4D7B-8B43-6366C8663F39}"/>
    <cellStyle name="Vírgula 2 2 2 4 5 4" xfId="7123" xr:uid="{694C1AC0-4E0C-4603-A784-52638FF03F58}"/>
    <cellStyle name="Vírgula 2 2 2 4 6" xfId="1826" xr:uid="{4004D57E-CBA9-40A5-B0D3-6EA0EBBCF916}"/>
    <cellStyle name="Vírgula 2 2 2 4 6 2" xfId="1827" xr:uid="{78DB9E9E-3EDB-4684-BF25-8705A4DEEAE6}"/>
    <cellStyle name="Vírgula 2 2 2 4 6 2 2" xfId="1828" xr:uid="{A5298CAD-C7FF-40A7-9A6A-B6167A923115}"/>
    <cellStyle name="Vírgula 2 2 2 4 6 2 3" xfId="7126" xr:uid="{8F57870F-3537-4C5F-B0BC-EE732E651D8E}"/>
    <cellStyle name="Vírgula 2 2 2 4 6 3" xfId="1829" xr:uid="{51C9859C-AB7E-4D4A-B281-D7AC68B43310}"/>
    <cellStyle name="Vírgula 2 2 2 4 6 4" xfId="7125" xr:uid="{52823A59-D443-49D2-B0C0-3B0B42DB0557}"/>
    <cellStyle name="Vírgula 2 2 2 4 7" xfId="1830" xr:uid="{D1B90079-44CF-448D-9DF3-BD6793BC6389}"/>
    <cellStyle name="Vírgula 2 2 2 4 7 2" xfId="1831" xr:uid="{DE7240AB-77D7-4212-9E10-6665BA047FE6}"/>
    <cellStyle name="Vírgula 2 2 2 4 7 3" xfId="7127" xr:uid="{A9AB2CA9-FA2C-4D8B-91B2-A3F9D9E80C62}"/>
    <cellStyle name="Vírgula 2 2 2 4 8" xfId="1832" xr:uid="{799D97A8-A284-4FAA-979A-3D54BE3D82A9}"/>
    <cellStyle name="Vírgula 2 2 2 4 9" xfId="7092" xr:uid="{74229D81-BA97-4F2D-B436-12F7E6A4457D}"/>
    <cellStyle name="Vírgula 2 2 2 5" xfId="1833" xr:uid="{A1BFBD35-FB5A-45A5-9D04-4D2D23F7FDFA}"/>
    <cellStyle name="Vírgula 2 2 2 5 2" xfId="1834" xr:uid="{F5688227-D7E8-4284-BD57-D935A9C1345A}"/>
    <cellStyle name="Vírgula 2 2 2 5 2 2" xfId="1835" xr:uid="{850108AE-923E-405C-AE05-685F9794D291}"/>
    <cellStyle name="Vírgula 2 2 2 5 2 2 2" xfId="1836" xr:uid="{638A1175-6E88-495F-9161-1D1195382238}"/>
    <cellStyle name="Vírgula 2 2 2 5 2 2 2 2" xfId="1837" xr:uid="{F0B777F9-4ADD-4545-92EF-E26083ED927B}"/>
    <cellStyle name="Vírgula 2 2 2 5 2 2 2 3" xfId="7131" xr:uid="{8D39E757-40F0-4F0B-A58F-7F37CF1F75AE}"/>
    <cellStyle name="Vírgula 2 2 2 5 2 2 3" xfId="1838" xr:uid="{2215E9F7-B744-4B31-A538-B9E2E7BE01E9}"/>
    <cellStyle name="Vírgula 2 2 2 5 2 2 4" xfId="7130" xr:uid="{9616D73D-0632-4880-8E71-2A62D6455662}"/>
    <cellStyle name="Vírgula 2 2 2 5 2 3" xfId="1839" xr:uid="{599F4C7A-4B92-48AF-AA6F-AB5269C26D58}"/>
    <cellStyle name="Vírgula 2 2 2 5 2 3 2" xfId="1840" xr:uid="{B5234C61-7511-4F7A-AC56-5FDF4471C329}"/>
    <cellStyle name="Vírgula 2 2 2 5 2 3 2 2" xfId="1841" xr:uid="{50DADB31-19FF-41DC-9CFF-1F66CFF6596C}"/>
    <cellStyle name="Vírgula 2 2 2 5 2 3 2 3" xfId="7133" xr:uid="{42B9A2F5-BDEA-49FD-90E6-FAE7E4FC2AFE}"/>
    <cellStyle name="Vírgula 2 2 2 5 2 3 3" xfId="1842" xr:uid="{F658B76A-53C8-4D2C-9660-6D55BE828987}"/>
    <cellStyle name="Vírgula 2 2 2 5 2 3 4" xfId="7132" xr:uid="{4916ABDF-2E3A-43E5-9F5A-3AC1A5689F30}"/>
    <cellStyle name="Vírgula 2 2 2 5 2 4" xfId="1843" xr:uid="{08F0A8E4-D910-485F-AF68-31EED46A18D4}"/>
    <cellStyle name="Vírgula 2 2 2 5 2 4 2" xfId="1844" xr:uid="{CCC9B28B-20F2-4A38-A000-EB71475F29ED}"/>
    <cellStyle name="Vírgula 2 2 2 5 2 4 3" xfId="7134" xr:uid="{93A293DF-68EA-42D5-AC7A-259F62F738A1}"/>
    <cellStyle name="Vírgula 2 2 2 5 2 5" xfId="1845" xr:uid="{45F69D27-25E0-48D2-96D9-B857FC53890A}"/>
    <cellStyle name="Vírgula 2 2 2 5 2 6" xfId="7129" xr:uid="{5B62FB01-0DA3-4BAB-8860-02A333459C55}"/>
    <cellStyle name="Vírgula 2 2 2 5 3" xfId="1846" xr:uid="{53B1B1F0-8F81-4018-ABC9-4ACAA7350E39}"/>
    <cellStyle name="Vírgula 2 2 2 5 3 2" xfId="1847" xr:uid="{4AF60C79-B6DD-4425-BE45-0CC5B5BDAE51}"/>
    <cellStyle name="Vírgula 2 2 2 5 3 2 2" xfId="1848" xr:uid="{7E161883-F35A-4514-9310-3CC572FFB056}"/>
    <cellStyle name="Vírgula 2 2 2 5 3 2 3" xfId="7136" xr:uid="{3E01F4EE-51DC-466C-9B8A-A6D133D6D093}"/>
    <cellStyle name="Vírgula 2 2 2 5 3 3" xfId="1849" xr:uid="{09B1D5D4-AE96-495B-9DDF-39E525E9D0C7}"/>
    <cellStyle name="Vírgula 2 2 2 5 3 4" xfId="7135" xr:uid="{C475BF86-46EC-488D-8DD1-F22B2B4D6AF3}"/>
    <cellStyle name="Vírgula 2 2 2 5 4" xfId="1850" xr:uid="{93A6D087-F702-4418-A372-4848D6737DCE}"/>
    <cellStyle name="Vírgula 2 2 2 5 4 2" xfId="1851" xr:uid="{01563B0B-A829-4DD5-BBC0-FD4C7A8A8E07}"/>
    <cellStyle name="Vírgula 2 2 2 5 4 2 2" xfId="1852" xr:uid="{1FFF8EC9-D71A-484D-A06C-67D0137E8FBE}"/>
    <cellStyle name="Vírgula 2 2 2 5 4 2 3" xfId="7138" xr:uid="{0B9C8921-3F30-4F2D-B5D8-130D7C3D0C13}"/>
    <cellStyle name="Vírgula 2 2 2 5 4 3" xfId="1853" xr:uid="{EFFF788B-FAE8-4833-971D-94A5F87CF0BF}"/>
    <cellStyle name="Vírgula 2 2 2 5 4 4" xfId="7137" xr:uid="{5190F8D6-D8D3-4C91-87C3-0FB4B973FF74}"/>
    <cellStyle name="Vírgula 2 2 2 5 5" xfId="1854" xr:uid="{FCEDEDA1-6B7E-44F0-A954-0817E31F7B15}"/>
    <cellStyle name="Vírgula 2 2 2 5 5 2" xfId="1855" xr:uid="{9767EDAF-AA24-4C37-A3D4-B23B08E60EA0}"/>
    <cellStyle name="Vírgula 2 2 2 5 5 3" xfId="7139" xr:uid="{511A939A-0723-4B69-BDD0-ADAAC9DEE652}"/>
    <cellStyle name="Vírgula 2 2 2 5 6" xfId="1856" xr:uid="{0354EB0A-B644-4A9B-8D63-33EA96BF6203}"/>
    <cellStyle name="Vírgula 2 2 2 5 7" xfId="7128" xr:uid="{29E14DFB-6047-4F3D-A9AF-047D325710B6}"/>
    <cellStyle name="Vírgula 2 2 2 6" xfId="1857" xr:uid="{13678964-0CE4-4F7E-B72A-BDA1C14F8C02}"/>
    <cellStyle name="Vírgula 2 2 2 6 2" xfId="1858" xr:uid="{7F6C1BAC-02AB-43D0-9217-89F18C576C20}"/>
    <cellStyle name="Vírgula 2 2 2 6 2 2" xfId="1859" xr:uid="{36BD57A3-1863-490F-B49D-1B90F41A9AE1}"/>
    <cellStyle name="Vírgula 2 2 2 6 2 2 2" xfId="1860" xr:uid="{3D422BB4-EB53-476F-AC97-8BA336F7D0A9}"/>
    <cellStyle name="Vírgula 2 2 2 6 2 2 2 2" xfId="1861" xr:uid="{58F904EB-56CC-4624-BCDD-812FD51BF73E}"/>
    <cellStyle name="Vírgula 2 2 2 6 2 2 2 3" xfId="7143" xr:uid="{9039A27F-88BA-4552-B86E-FDE4B6C6B0B4}"/>
    <cellStyle name="Vírgula 2 2 2 6 2 2 3" xfId="1862" xr:uid="{A768FFB8-1C31-4483-9753-3DE70317FC9D}"/>
    <cellStyle name="Vírgula 2 2 2 6 2 2 4" xfId="7142" xr:uid="{F64F3677-1147-445F-A796-D8FC46F26C1C}"/>
    <cellStyle name="Vírgula 2 2 2 6 2 3" xfId="1863" xr:uid="{4D3AD88F-1D90-4275-9476-7ED130066381}"/>
    <cellStyle name="Vírgula 2 2 2 6 2 3 2" xfId="1864" xr:uid="{3E4C39C9-699A-4C0D-A168-753A6C97EB58}"/>
    <cellStyle name="Vírgula 2 2 2 6 2 3 2 2" xfId="1865" xr:uid="{B0D29A5F-CFE5-4954-9069-5CD702C6B76F}"/>
    <cellStyle name="Vírgula 2 2 2 6 2 3 2 3" xfId="7145" xr:uid="{9229DEED-54D5-4960-9324-8341215E187B}"/>
    <cellStyle name="Vírgula 2 2 2 6 2 3 3" xfId="1866" xr:uid="{82AC6609-6BBE-490A-81FE-06104A3381AF}"/>
    <cellStyle name="Vírgula 2 2 2 6 2 3 4" xfId="7144" xr:uid="{C14F62E4-F1B9-47CB-BB1E-528C6357FEE8}"/>
    <cellStyle name="Vírgula 2 2 2 6 2 4" xfId="1867" xr:uid="{149C4164-F27F-4245-AA89-65223BCB3E8F}"/>
    <cellStyle name="Vírgula 2 2 2 6 2 4 2" xfId="1868" xr:uid="{0884FFCC-0B71-4B20-9CFD-3F8CC51D06CF}"/>
    <cellStyle name="Vírgula 2 2 2 6 2 4 3" xfId="7146" xr:uid="{469682BF-9AA1-41BE-89B3-0E3C16AB5040}"/>
    <cellStyle name="Vírgula 2 2 2 6 2 5" xfId="1869" xr:uid="{94964BA0-AC68-4CE0-8715-8F3906F9DE18}"/>
    <cellStyle name="Vírgula 2 2 2 6 2 6" xfId="7141" xr:uid="{C45E9B26-E814-4E89-97B0-AB86A8BA21A2}"/>
    <cellStyle name="Vírgula 2 2 2 6 3" xfId="1870" xr:uid="{133A0FB3-C606-4F58-B89D-CF2C5D1936AB}"/>
    <cellStyle name="Vírgula 2 2 2 6 3 2" xfId="1871" xr:uid="{6254C820-85C1-4596-94A4-EB8023A7F41D}"/>
    <cellStyle name="Vírgula 2 2 2 6 3 2 2" xfId="1872" xr:uid="{483642B5-9E06-4173-BB1C-536957879AD4}"/>
    <cellStyle name="Vírgula 2 2 2 6 3 2 3" xfId="7148" xr:uid="{13043F43-0085-430E-8D7F-8461B7B9443A}"/>
    <cellStyle name="Vírgula 2 2 2 6 3 3" xfId="1873" xr:uid="{DA098643-9110-4123-865A-EAD2D754A0C4}"/>
    <cellStyle name="Vírgula 2 2 2 6 3 4" xfId="7147" xr:uid="{705421D4-9267-46D8-8F22-568829FB2DC1}"/>
    <cellStyle name="Vírgula 2 2 2 6 4" xfId="1874" xr:uid="{9C8BE20B-4A0A-4F21-9953-0F6215742EB9}"/>
    <cellStyle name="Vírgula 2 2 2 6 4 2" xfId="1875" xr:uid="{36330751-DD91-411B-8B53-188D6BEAFF5C}"/>
    <cellStyle name="Vírgula 2 2 2 6 4 2 2" xfId="1876" xr:uid="{1E8686B2-4BEF-47B3-BB81-66E67A8ECFE1}"/>
    <cellStyle name="Vírgula 2 2 2 6 4 2 3" xfId="7150" xr:uid="{89A3DA20-5E00-49CD-91C7-D5EFB8E9890B}"/>
    <cellStyle name="Vírgula 2 2 2 6 4 3" xfId="1877" xr:uid="{4F884C94-AE09-44DD-8F8A-15AA41CF0C22}"/>
    <cellStyle name="Vírgula 2 2 2 6 4 4" xfId="7149" xr:uid="{7C5BC9FF-57C1-4151-8A79-E918ED8BA30C}"/>
    <cellStyle name="Vírgula 2 2 2 6 5" xfId="1878" xr:uid="{BFBC1F09-A2DE-4447-98A6-5EA7FFEB339F}"/>
    <cellStyle name="Vírgula 2 2 2 6 5 2" xfId="1879" xr:uid="{5490C0D7-DD21-4AB1-9637-51641BA6A100}"/>
    <cellStyle name="Vírgula 2 2 2 6 5 3" xfId="7151" xr:uid="{DC170DF2-ECE3-4734-9462-3AAECEB58E7C}"/>
    <cellStyle name="Vírgula 2 2 2 6 6" xfId="1880" xr:uid="{371C30BE-D6A7-4842-96F0-5437E3615ADB}"/>
    <cellStyle name="Vírgula 2 2 2 6 7" xfId="7140" xr:uid="{307E90D3-1964-417D-A87F-95B739713789}"/>
    <cellStyle name="Vírgula 2 2 2 7" xfId="1881" xr:uid="{BA5A171B-C742-475B-A097-8A17BB523D6F}"/>
    <cellStyle name="Vírgula 2 2 2 7 2" xfId="1882" xr:uid="{11293DC8-8845-4689-954A-954BB291BA67}"/>
    <cellStyle name="Vírgula 2 2 2 7 2 2" xfId="1883" xr:uid="{CCFB9D8F-1913-434C-959D-BFCED080A3F0}"/>
    <cellStyle name="Vírgula 2 2 2 7 2 2 2" xfId="1884" xr:uid="{782682FC-E107-4F31-8A2B-2C0C6BF14979}"/>
    <cellStyle name="Vírgula 2 2 2 7 2 2 3" xfId="7154" xr:uid="{1AC8D35B-1074-4BBB-B140-53A050949A3B}"/>
    <cellStyle name="Vírgula 2 2 2 7 2 3" xfId="1885" xr:uid="{06CD9520-A7C3-4B11-934F-17C7BBF150BC}"/>
    <cellStyle name="Vírgula 2 2 2 7 2 4" xfId="7153" xr:uid="{C7C5EBE6-9FEC-42CC-85E0-B08B114EBF71}"/>
    <cellStyle name="Vírgula 2 2 2 7 3" xfId="1886" xr:uid="{0020899E-50CC-4E90-8902-63270EDC2AB9}"/>
    <cellStyle name="Vírgula 2 2 2 7 3 2" xfId="1887" xr:uid="{9B280016-4D27-418F-8136-E78A020D5A8A}"/>
    <cellStyle name="Vírgula 2 2 2 7 3 2 2" xfId="1888" xr:uid="{4F82D26D-9BFD-4F01-821F-6FCAA427DD62}"/>
    <cellStyle name="Vírgula 2 2 2 7 3 2 3" xfId="7156" xr:uid="{965FB41C-F35B-4D64-A685-6EE2D97AACE3}"/>
    <cellStyle name="Vírgula 2 2 2 7 3 3" xfId="1889" xr:uid="{013C2FB0-9950-4B7D-BDE9-DA322AAAF339}"/>
    <cellStyle name="Vírgula 2 2 2 7 3 4" xfId="7155" xr:uid="{6F94DA11-128D-4BCE-BD05-30F8D151D2B6}"/>
    <cellStyle name="Vírgula 2 2 2 7 4" xfId="1890" xr:uid="{FAFE4169-4B61-4931-858B-DB394F6F5E1D}"/>
    <cellStyle name="Vírgula 2 2 2 7 4 2" xfId="1891" xr:uid="{0C81E14D-F057-4EA1-9A9D-B0B8F161FC51}"/>
    <cellStyle name="Vírgula 2 2 2 7 4 3" xfId="7157" xr:uid="{548BCCF9-A963-48F7-92DE-8B7EB6E0228A}"/>
    <cellStyle name="Vírgula 2 2 2 7 5" xfId="1892" xr:uid="{B86AD272-D4A4-42F4-92BE-88B2C7881455}"/>
    <cellStyle name="Vírgula 2 2 2 7 6" xfId="7152" xr:uid="{ED637512-2DF8-4BC5-AB5A-B3EF5F26475D}"/>
    <cellStyle name="Vírgula 2 2 2 8" xfId="1893" xr:uid="{5232ABEC-4B10-441B-8EA6-CFB3E38EBC8A}"/>
    <cellStyle name="Vírgula 2 2 2 8 2" xfId="1894" xr:uid="{5E829132-0F94-4142-9F56-5F89F9C874FD}"/>
    <cellStyle name="Vírgula 2 2 2 8 2 2" xfId="1895" xr:uid="{20D30B34-0EE8-40B8-B452-BBD24B01ECCB}"/>
    <cellStyle name="Vírgula 2 2 2 8 2 3" xfId="7159" xr:uid="{84227FBE-57DF-436D-83E0-1F43B8A8C75D}"/>
    <cellStyle name="Vírgula 2 2 2 8 3" xfId="1896" xr:uid="{E0BC9432-D331-4F8F-BA84-9BFE7E12D44F}"/>
    <cellStyle name="Vírgula 2 2 2 8 4" xfId="7158" xr:uid="{58C2C930-C439-4FBA-8268-54CD86C7917F}"/>
    <cellStyle name="Vírgula 2 2 2 9" xfId="1897" xr:uid="{D4F5E925-7372-4710-B061-02AFD50FD8B5}"/>
    <cellStyle name="Vírgula 2 2 2 9 2" xfId="1898" xr:uid="{E4444609-BEEF-45CF-98AF-02C15FD260C8}"/>
    <cellStyle name="Vírgula 2 2 2 9 2 2" xfId="1899" xr:uid="{2F002D76-E9FF-4D2F-A1C4-8D74749CEE9A}"/>
    <cellStyle name="Vírgula 2 2 2 9 2 3" xfId="7161" xr:uid="{5621ED35-9585-487A-9CD8-8B68A07F7281}"/>
    <cellStyle name="Vírgula 2 2 2 9 3" xfId="1900" xr:uid="{DE05DB92-37E4-4573-9820-ED1D027786F5}"/>
    <cellStyle name="Vírgula 2 2 2 9 4" xfId="7160" xr:uid="{EC50955C-C45C-4367-B400-46209516F126}"/>
    <cellStyle name="Vírgula 2 2 3" xfId="1901" xr:uid="{980A19A1-273A-4D10-8A2C-9F926E3F4C11}"/>
    <cellStyle name="Vírgula 2 2 3 2" xfId="1902" xr:uid="{DFE05182-DD46-4766-9347-3A7D352A622D}"/>
    <cellStyle name="Vírgula 2 2 3 2 2" xfId="1903" xr:uid="{B7869A98-D938-4D9E-9F83-E5AE3CA88DCD}"/>
    <cellStyle name="Vírgula 2 2 3 2 2 2" xfId="1904" xr:uid="{6130B65D-BC27-4BA7-81B6-09A712E3D5B4}"/>
    <cellStyle name="Vírgula 2 2 3 2 2 2 2" xfId="1905" xr:uid="{F3E9875B-B17E-48C1-A320-5E5FC0C59C08}"/>
    <cellStyle name="Vírgula 2 2 3 2 2 2 2 2" xfId="1906" xr:uid="{713D4749-9B69-4E7D-BAA6-3279876F738B}"/>
    <cellStyle name="Vírgula 2 2 3 2 2 2 2 3" xfId="7166" xr:uid="{678DCD73-7781-4498-B509-07BA680E8637}"/>
    <cellStyle name="Vírgula 2 2 3 2 2 2 3" xfId="1907" xr:uid="{FED811D6-03BF-448D-8DF3-B2DA194807A4}"/>
    <cellStyle name="Vírgula 2 2 3 2 2 2 4" xfId="7165" xr:uid="{54212858-21F4-4B3F-9DB0-1557CF858FC4}"/>
    <cellStyle name="Vírgula 2 2 3 2 2 3" xfId="1908" xr:uid="{8BFABF72-5DF9-4588-8471-EA274FF6C2E5}"/>
    <cellStyle name="Vírgula 2 2 3 2 2 3 2" xfId="1909" xr:uid="{B8F6E682-8E67-46E0-9FEB-DCA4CF480E66}"/>
    <cellStyle name="Vírgula 2 2 3 2 2 3 2 2" xfId="1910" xr:uid="{DDDDA67B-F17D-4FAE-A46F-6B663138AFB3}"/>
    <cellStyle name="Vírgula 2 2 3 2 2 3 2 3" xfId="7168" xr:uid="{8CFA1A33-9EF2-479D-A8E0-683C98E5C48B}"/>
    <cellStyle name="Vírgula 2 2 3 2 2 3 3" xfId="1911" xr:uid="{F1A445F1-A563-48A0-90E3-5336F2C21A5F}"/>
    <cellStyle name="Vírgula 2 2 3 2 2 3 4" xfId="7167" xr:uid="{FAB2E020-D7A1-48DA-850E-F4946F319095}"/>
    <cellStyle name="Vírgula 2 2 3 2 2 4" xfId="1912" xr:uid="{A1D17550-BB4A-4580-B93D-F607FD3D8DB0}"/>
    <cellStyle name="Vírgula 2 2 3 2 2 4 2" xfId="1913" xr:uid="{DDBECABE-A260-41F8-B359-1372B66FF991}"/>
    <cellStyle name="Vírgula 2 2 3 2 2 4 3" xfId="7169" xr:uid="{5617570B-0B9E-4CCB-B513-C3F0F5DDE39B}"/>
    <cellStyle name="Vírgula 2 2 3 2 2 5" xfId="1914" xr:uid="{2692896B-C49D-47A8-B57E-4948FBE1BADA}"/>
    <cellStyle name="Vírgula 2 2 3 2 2 6" xfId="7164" xr:uid="{C6B68F8C-4841-4ACC-A789-3E95D9AB7363}"/>
    <cellStyle name="Vírgula 2 2 3 2 3" xfId="1915" xr:uid="{59536B18-CE94-468E-9E96-AA7B1644505F}"/>
    <cellStyle name="Vírgula 2 2 3 2 3 2" xfId="1916" xr:uid="{DDE568EF-777C-4C43-B648-C256FD76FEA7}"/>
    <cellStyle name="Vírgula 2 2 3 2 3 2 2" xfId="1917" xr:uid="{E61E4168-D4DC-40A1-8267-40FD000250E8}"/>
    <cellStyle name="Vírgula 2 2 3 2 3 2 3" xfId="7171" xr:uid="{3477302E-AA8C-4F56-8A29-5031D65F671A}"/>
    <cellStyle name="Vírgula 2 2 3 2 3 3" xfId="1918" xr:uid="{148D1F24-6298-458A-B1ED-751378E98E46}"/>
    <cellStyle name="Vírgula 2 2 3 2 3 4" xfId="7170" xr:uid="{98B888E5-26EB-4B0A-8484-31EE10AB4C30}"/>
    <cellStyle name="Vírgula 2 2 3 2 4" xfId="1919" xr:uid="{BF3D3802-2E9B-4DE2-A371-1AD2C9321677}"/>
    <cellStyle name="Vírgula 2 2 3 2 4 2" xfId="1920" xr:uid="{5DA6E634-CCA4-4B1B-8BAC-D6500D790FCC}"/>
    <cellStyle name="Vírgula 2 2 3 2 4 2 2" xfId="1921" xr:uid="{36DFC56F-9798-4132-8822-CF9031DF9831}"/>
    <cellStyle name="Vírgula 2 2 3 2 4 2 3" xfId="7173" xr:uid="{422C8405-5721-4687-8D63-E885AF63DEC7}"/>
    <cellStyle name="Vírgula 2 2 3 2 4 3" xfId="1922" xr:uid="{262FA9AC-BF8E-46F1-B9AB-B8E67BEB89D4}"/>
    <cellStyle name="Vírgula 2 2 3 2 4 4" xfId="7172" xr:uid="{5A604D89-54EF-4393-83CD-467303746A30}"/>
    <cellStyle name="Vírgula 2 2 3 2 5" xfId="1923" xr:uid="{6E97DEBD-90F8-4F89-9EAF-37214287E806}"/>
    <cellStyle name="Vírgula 2 2 3 2 5 2" xfId="1924" xr:uid="{5B8CE811-FA41-44E5-BEA4-348B1FD61EC9}"/>
    <cellStyle name="Vírgula 2 2 3 2 5 3" xfId="7174" xr:uid="{E1479FDC-5F16-432A-8C3C-D3A3D2501E3F}"/>
    <cellStyle name="Vírgula 2 2 3 2 6" xfId="1925" xr:uid="{5DEDE70C-C704-4FF1-9921-DA6207A69C11}"/>
    <cellStyle name="Vírgula 2 2 3 2 7" xfId="7163" xr:uid="{BE7D69BB-4E0F-42B1-8244-0556D2CC710C}"/>
    <cellStyle name="Vírgula 2 2 3 3" xfId="1926" xr:uid="{67324DAE-3418-4D64-B7E8-6771DD1933B6}"/>
    <cellStyle name="Vírgula 2 2 3 3 2" xfId="1927" xr:uid="{35D38FF1-B3B6-4411-8F78-2A3F85AD6BFD}"/>
    <cellStyle name="Vírgula 2 2 3 3 2 2" xfId="1928" xr:uid="{974C0BC4-6A33-448B-A784-2757B70661A5}"/>
    <cellStyle name="Vírgula 2 2 3 3 2 2 2" xfId="1929" xr:uid="{F8E042C7-5085-4804-8171-40DF37ACBD02}"/>
    <cellStyle name="Vírgula 2 2 3 3 2 2 2 2" xfId="1930" xr:uid="{C6A4F59A-8A94-4F37-869D-B5891E1A559D}"/>
    <cellStyle name="Vírgula 2 2 3 3 2 2 2 3" xfId="7178" xr:uid="{7BE19C5D-B554-4C77-BE01-3744A2344BD4}"/>
    <cellStyle name="Vírgula 2 2 3 3 2 2 3" xfId="1931" xr:uid="{A54E46F7-1F39-4516-B3C4-2B9AC26D62E1}"/>
    <cellStyle name="Vírgula 2 2 3 3 2 2 4" xfId="7177" xr:uid="{763541D7-60AA-49AE-91FA-7C30C15BC58F}"/>
    <cellStyle name="Vírgula 2 2 3 3 2 3" xfId="1932" xr:uid="{084B2E7E-9C43-4523-8969-9F8C798EBADB}"/>
    <cellStyle name="Vírgula 2 2 3 3 2 3 2" xfId="1933" xr:uid="{58529567-013A-418D-9D0A-6BC375041F3B}"/>
    <cellStyle name="Vírgula 2 2 3 3 2 3 2 2" xfId="1934" xr:uid="{0844377E-0327-4B91-99D6-FD805B0DD267}"/>
    <cellStyle name="Vírgula 2 2 3 3 2 3 2 3" xfId="7180" xr:uid="{FA32F3EE-70ED-4E7B-A08A-60F72247E924}"/>
    <cellStyle name="Vírgula 2 2 3 3 2 3 3" xfId="1935" xr:uid="{95A42942-9906-4E0B-A2BA-6D34EABB335C}"/>
    <cellStyle name="Vírgula 2 2 3 3 2 3 4" xfId="7179" xr:uid="{8AD384C0-DDB9-4472-828F-0B10103FF714}"/>
    <cellStyle name="Vírgula 2 2 3 3 2 4" xfId="1936" xr:uid="{700C4580-2D1B-47A4-8FC0-FE84C00EAFEC}"/>
    <cellStyle name="Vírgula 2 2 3 3 2 4 2" xfId="1937" xr:uid="{83607538-9768-4B43-A1D3-AA19665BA052}"/>
    <cellStyle name="Vírgula 2 2 3 3 2 4 3" xfId="7181" xr:uid="{70C7BA8C-0A8C-442B-B6D4-20E08DA68DA8}"/>
    <cellStyle name="Vírgula 2 2 3 3 2 5" xfId="1938" xr:uid="{F95BC258-3219-4645-93A7-CB422085C1A0}"/>
    <cellStyle name="Vírgula 2 2 3 3 2 6" xfId="7176" xr:uid="{1C9D730A-4B6A-4461-B63A-93992C9BCFAE}"/>
    <cellStyle name="Vírgula 2 2 3 3 3" xfId="1939" xr:uid="{36678919-0B1C-4ED0-9944-C9ECD7B50EC5}"/>
    <cellStyle name="Vírgula 2 2 3 3 3 2" xfId="1940" xr:uid="{8471AA39-6538-4D6D-8AA8-43422E0CC059}"/>
    <cellStyle name="Vírgula 2 2 3 3 3 2 2" xfId="1941" xr:uid="{A97BB7AD-34EE-451B-AF50-81A95352327E}"/>
    <cellStyle name="Vírgula 2 2 3 3 3 2 3" xfId="7183" xr:uid="{7BD3911D-A477-4A36-8B32-1AEA874BFA44}"/>
    <cellStyle name="Vírgula 2 2 3 3 3 3" xfId="1942" xr:uid="{98610596-4A43-4A72-A79F-3D443D311773}"/>
    <cellStyle name="Vírgula 2 2 3 3 3 4" xfId="7182" xr:uid="{9CA00C27-80F7-47E3-9BCE-713F3FD66640}"/>
    <cellStyle name="Vírgula 2 2 3 3 4" xfId="1943" xr:uid="{41D0D81B-2C4D-450C-B7AD-90E317FBE378}"/>
    <cellStyle name="Vírgula 2 2 3 3 4 2" xfId="1944" xr:uid="{6A72C0E9-3D9A-4404-BFCC-063A4A320C7F}"/>
    <cellStyle name="Vírgula 2 2 3 3 4 2 2" xfId="1945" xr:uid="{D3F00551-28E5-45FE-ABDD-02647E28F98A}"/>
    <cellStyle name="Vírgula 2 2 3 3 4 2 3" xfId="7185" xr:uid="{E41B6627-33BA-4CED-A69D-9AD404CD8123}"/>
    <cellStyle name="Vírgula 2 2 3 3 4 3" xfId="1946" xr:uid="{B9E744F9-A7C4-4F1F-8539-7CFF43FE663D}"/>
    <cellStyle name="Vírgula 2 2 3 3 4 4" xfId="7184" xr:uid="{60CD5C25-A778-4C6D-AD31-23938196B359}"/>
    <cellStyle name="Vírgula 2 2 3 3 5" xfId="1947" xr:uid="{7569ADF9-83F7-41C3-A82B-36D7D7F1BA59}"/>
    <cellStyle name="Vírgula 2 2 3 3 5 2" xfId="1948" xr:uid="{367726FA-CB4C-40C0-AADA-CD07AE1A2E5C}"/>
    <cellStyle name="Vírgula 2 2 3 3 5 3" xfId="7186" xr:uid="{3D5DAC36-DAA9-4AAB-82A8-457C4B541037}"/>
    <cellStyle name="Vírgula 2 2 3 3 6" xfId="1949" xr:uid="{FEB7DDC1-9CD2-4CEF-97F6-9AB0064EEBBD}"/>
    <cellStyle name="Vírgula 2 2 3 3 7" xfId="7175" xr:uid="{8FBCDDBF-FF0D-4858-B6B0-8C0C30F1A74C}"/>
    <cellStyle name="Vírgula 2 2 3 4" xfId="1950" xr:uid="{604DCA25-054A-4320-B11E-E57C1576A8AC}"/>
    <cellStyle name="Vírgula 2 2 3 4 2" xfId="1951" xr:uid="{C7F04678-FADF-49BF-8774-8E8EB506C950}"/>
    <cellStyle name="Vírgula 2 2 3 4 2 2" xfId="1952" xr:uid="{6142C683-2D32-4DC2-B049-70BCFC4D248A}"/>
    <cellStyle name="Vírgula 2 2 3 4 2 2 2" xfId="1953" xr:uid="{56EC37A3-9213-41CD-A2C1-47E1FB02BAC1}"/>
    <cellStyle name="Vírgula 2 2 3 4 2 2 3" xfId="7189" xr:uid="{A27EAC1F-397F-428D-8B01-BB2851D32F60}"/>
    <cellStyle name="Vírgula 2 2 3 4 2 3" xfId="1954" xr:uid="{372FE59F-CF4C-44A5-AA98-AD086AFBF064}"/>
    <cellStyle name="Vírgula 2 2 3 4 2 4" xfId="7188" xr:uid="{4DA6A67E-843D-48D5-92C9-7F59E7272DBC}"/>
    <cellStyle name="Vírgula 2 2 3 4 3" xfId="1955" xr:uid="{4017B7F7-8C92-4E75-B24F-856FDBB27107}"/>
    <cellStyle name="Vírgula 2 2 3 4 3 2" xfId="1956" xr:uid="{F85BC773-11A3-406D-968F-EC33D49B8978}"/>
    <cellStyle name="Vírgula 2 2 3 4 3 2 2" xfId="1957" xr:uid="{727E75FA-F31D-473E-AA79-A2F6B342C40C}"/>
    <cellStyle name="Vírgula 2 2 3 4 3 2 3" xfId="7191" xr:uid="{92692A71-7EB1-42EC-93CE-B124B141810C}"/>
    <cellStyle name="Vírgula 2 2 3 4 3 3" xfId="1958" xr:uid="{ABF24F58-3CD3-40DA-8839-73F1B22D5429}"/>
    <cellStyle name="Vírgula 2 2 3 4 3 4" xfId="7190" xr:uid="{70938959-4FA2-4DFB-8535-93533E8C07A3}"/>
    <cellStyle name="Vírgula 2 2 3 4 4" xfId="1959" xr:uid="{65E36801-09FB-418A-85B8-4BD074DB7BD8}"/>
    <cellStyle name="Vírgula 2 2 3 4 4 2" xfId="1960" xr:uid="{CB1490BC-E578-458C-BA6A-1DD3AC92A9BA}"/>
    <cellStyle name="Vírgula 2 2 3 4 4 3" xfId="7192" xr:uid="{3D8EF0BA-5031-43D2-86F6-8F8F9F4A46F6}"/>
    <cellStyle name="Vírgula 2 2 3 4 5" xfId="1961" xr:uid="{B09D08F2-DCF1-40DB-A39E-D9A57A3B9B86}"/>
    <cellStyle name="Vírgula 2 2 3 4 6" xfId="7187" xr:uid="{0717BAD3-A5DD-4397-8816-59074AD90071}"/>
    <cellStyle name="Vírgula 2 2 3 5" xfId="1962" xr:uid="{4690E36B-FA20-4488-AD62-BCD251AD988B}"/>
    <cellStyle name="Vírgula 2 2 3 5 2" xfId="1963" xr:uid="{11B561D9-1F3B-48EB-8C67-A9F0B91E0735}"/>
    <cellStyle name="Vírgula 2 2 3 5 2 2" xfId="1964" xr:uid="{C396D884-5DD7-4E82-B196-6535DC14D2A2}"/>
    <cellStyle name="Vírgula 2 2 3 5 2 3" xfId="7194" xr:uid="{B75C2B39-8982-4B05-AC1B-882F163D2249}"/>
    <cellStyle name="Vírgula 2 2 3 5 3" xfId="1965" xr:uid="{FB47A0E0-4C9A-4B13-B4B6-7CFF594C43DF}"/>
    <cellStyle name="Vírgula 2 2 3 5 4" xfId="7193" xr:uid="{DD452B87-C3D4-472E-BD06-A737258B644E}"/>
    <cellStyle name="Vírgula 2 2 3 6" xfId="1966" xr:uid="{0B9B3A23-ED38-47E1-AAF7-1883B650B7A2}"/>
    <cellStyle name="Vírgula 2 2 3 6 2" xfId="1967" xr:uid="{F192C565-FABE-4622-871D-6C8B116B2719}"/>
    <cellStyle name="Vírgula 2 2 3 6 2 2" xfId="1968" xr:uid="{88A11D09-1B3D-46F0-AB33-3367CB6C4E00}"/>
    <cellStyle name="Vírgula 2 2 3 6 2 3" xfId="7196" xr:uid="{8B96DF0E-9475-4648-BCF0-D2907025B066}"/>
    <cellStyle name="Vírgula 2 2 3 6 3" xfId="1969" xr:uid="{F98E83EC-F1DB-4906-ACDE-ED38326AF40C}"/>
    <cellStyle name="Vírgula 2 2 3 6 4" xfId="7195" xr:uid="{37EBF2FC-4CD9-45C0-94BC-6B93F1C68E43}"/>
    <cellStyle name="Vírgula 2 2 3 7" xfId="1970" xr:uid="{94E9085A-DB79-4EAE-9ADB-E2838EBC34ED}"/>
    <cellStyle name="Vírgula 2 2 3 7 2" xfId="1971" xr:uid="{94E6EB61-89A7-46FF-8CF8-768B14735F99}"/>
    <cellStyle name="Vírgula 2 2 3 7 3" xfId="7197" xr:uid="{F897AEFA-EAFA-4B56-89B4-C77889F3221C}"/>
    <cellStyle name="Vírgula 2 2 3 8" xfId="1972" xr:uid="{C364967F-654E-44BB-AD6D-DB8C5F9FE069}"/>
    <cellStyle name="Vírgula 2 2 3 9" xfId="7162" xr:uid="{C5DF47BF-CD0B-4831-8612-EC22A6D24741}"/>
    <cellStyle name="Vírgula 2 2 4" xfId="1973" xr:uid="{07CE0998-3693-4F91-8523-933474B93044}"/>
    <cellStyle name="Vírgula 2 2 4 2" xfId="1974" xr:uid="{C7BDD250-097B-4B89-BDA9-2C6AC654DB2E}"/>
    <cellStyle name="Vírgula 2 2 4 2 2" xfId="1975" xr:uid="{5DCBFFEB-83A6-488E-BDFB-345C1025D352}"/>
    <cellStyle name="Vírgula 2 2 4 2 2 2" xfId="1976" xr:uid="{6057DC07-6368-48B9-8EA0-977048CCCE32}"/>
    <cellStyle name="Vírgula 2 2 4 2 2 2 2" xfId="1977" xr:uid="{B6F8BDCB-A6BA-42DA-AED4-38B68DAF967C}"/>
    <cellStyle name="Vírgula 2 2 4 2 2 2 2 2" xfId="1978" xr:uid="{640BEAB5-72BC-4E29-97E8-0087E82B4A89}"/>
    <cellStyle name="Vírgula 2 2 4 2 2 2 2 3" xfId="7202" xr:uid="{A4EDAD8E-F7A6-4CF6-A885-DB3A165FDE15}"/>
    <cellStyle name="Vírgula 2 2 4 2 2 2 3" xfId="1979" xr:uid="{3F3A996C-DFF7-4A2B-9369-C3D530045894}"/>
    <cellStyle name="Vírgula 2 2 4 2 2 2 4" xfId="7201" xr:uid="{AC3CFDA2-5DD2-484F-BF00-B0AB21809039}"/>
    <cellStyle name="Vírgula 2 2 4 2 2 3" xfId="1980" xr:uid="{85FE3980-9809-48D1-B998-25D48562B2C2}"/>
    <cellStyle name="Vírgula 2 2 4 2 2 3 2" xfId="1981" xr:uid="{10FACD65-14AD-44B0-83D6-190C986BF9D6}"/>
    <cellStyle name="Vírgula 2 2 4 2 2 3 2 2" xfId="1982" xr:uid="{339DF618-4FCC-4821-B9A8-BD2DD3B4F63E}"/>
    <cellStyle name="Vírgula 2 2 4 2 2 3 2 3" xfId="7204" xr:uid="{93867154-218D-4312-8027-17E64F96AF92}"/>
    <cellStyle name="Vírgula 2 2 4 2 2 3 3" xfId="1983" xr:uid="{0391F473-98CC-4D6F-8254-5CEB7ADCDCE1}"/>
    <cellStyle name="Vírgula 2 2 4 2 2 3 4" xfId="7203" xr:uid="{41CE7B7C-0A0B-402B-BD2D-7DE9810D42D6}"/>
    <cellStyle name="Vírgula 2 2 4 2 2 4" xfId="1984" xr:uid="{86634735-7C08-46DA-87C2-CED57EA55BBA}"/>
    <cellStyle name="Vírgula 2 2 4 2 2 4 2" xfId="1985" xr:uid="{85283707-3EC0-45FC-A76E-A18452C22195}"/>
    <cellStyle name="Vírgula 2 2 4 2 2 4 3" xfId="7205" xr:uid="{639F4E0E-4FEF-4D1A-B55C-3263C3D2936E}"/>
    <cellStyle name="Vírgula 2 2 4 2 2 5" xfId="1986" xr:uid="{5AFB9136-37C7-4C6D-85B6-048724F66F35}"/>
    <cellStyle name="Vírgula 2 2 4 2 2 6" xfId="7200" xr:uid="{8712A8EA-2797-4088-BE85-09A0A9CE5F47}"/>
    <cellStyle name="Vírgula 2 2 4 2 3" xfId="1987" xr:uid="{AE587122-F5A3-41B1-A62A-D8F457767695}"/>
    <cellStyle name="Vírgula 2 2 4 2 3 2" xfId="1988" xr:uid="{EF90D958-A836-4EAE-9303-9095212D2CAF}"/>
    <cellStyle name="Vírgula 2 2 4 2 3 2 2" xfId="1989" xr:uid="{0C8C65ED-643A-4340-B293-A13B9A328B08}"/>
    <cellStyle name="Vírgula 2 2 4 2 3 2 3" xfId="7207" xr:uid="{389A0B3F-3456-4AB0-81A5-F7EFC654E72F}"/>
    <cellStyle name="Vírgula 2 2 4 2 3 3" xfId="1990" xr:uid="{150EE757-8C6F-4EB5-BED4-8DE94D3D2EEF}"/>
    <cellStyle name="Vírgula 2 2 4 2 3 4" xfId="7206" xr:uid="{5AE2765A-D3B1-48B7-A04A-A0C515211441}"/>
    <cellStyle name="Vírgula 2 2 4 2 4" xfId="1991" xr:uid="{DCE54ACC-6A66-4EDD-BDDC-6880B09BE5B8}"/>
    <cellStyle name="Vírgula 2 2 4 2 4 2" xfId="1992" xr:uid="{F9DE1834-5891-4808-9648-9227E595FEE0}"/>
    <cellStyle name="Vírgula 2 2 4 2 4 2 2" xfId="1993" xr:uid="{1961F0F5-222A-47A5-8E75-970DA05D0F47}"/>
    <cellStyle name="Vírgula 2 2 4 2 4 2 3" xfId="7209" xr:uid="{7F5C1884-550F-48C0-A0A8-C0A9D624EA7D}"/>
    <cellStyle name="Vírgula 2 2 4 2 4 3" xfId="1994" xr:uid="{AF9B9BE2-002E-47E4-BB8A-4E0F306EA48D}"/>
    <cellStyle name="Vírgula 2 2 4 2 4 4" xfId="7208" xr:uid="{BA89F081-B0B1-4C05-B9F4-46D3D0D8E1B9}"/>
    <cellStyle name="Vírgula 2 2 4 2 5" xfId="1995" xr:uid="{0A25ACAD-9B7D-4D51-B558-462DCEBBF664}"/>
    <cellStyle name="Vírgula 2 2 4 2 5 2" xfId="1996" xr:uid="{F9937B6D-4CE7-4356-8B1C-434AD8F7DBA5}"/>
    <cellStyle name="Vírgula 2 2 4 2 5 3" xfId="7210" xr:uid="{A6F0BE68-A035-4984-96D7-26A753E14FD5}"/>
    <cellStyle name="Vírgula 2 2 4 2 6" xfId="1997" xr:uid="{F162CA8E-47B5-4DB6-A270-33CD49A65D7B}"/>
    <cellStyle name="Vírgula 2 2 4 2 7" xfId="7199" xr:uid="{EA146655-7A77-4B40-A9BB-139907EE24FB}"/>
    <cellStyle name="Vírgula 2 2 4 3" xfId="1998" xr:uid="{C1EC44A3-42BE-464C-8426-F163E8E840D6}"/>
    <cellStyle name="Vírgula 2 2 4 3 2" xfId="1999" xr:uid="{31DF24CA-205A-4B55-8E97-CF0BBFEF87C2}"/>
    <cellStyle name="Vírgula 2 2 4 3 2 2" xfId="2000" xr:uid="{300CA6E0-3E6E-4983-9688-A24B73596F15}"/>
    <cellStyle name="Vírgula 2 2 4 3 2 2 2" xfId="2001" xr:uid="{DEF9AFB7-C99F-4381-977E-5467FCDEFE9D}"/>
    <cellStyle name="Vírgula 2 2 4 3 2 2 2 2" xfId="2002" xr:uid="{B740DF79-C38D-4077-81F4-3DAD6C417857}"/>
    <cellStyle name="Vírgula 2 2 4 3 2 2 2 3" xfId="7214" xr:uid="{2B47025A-E563-45E2-AA53-3DC5186D9537}"/>
    <cellStyle name="Vírgula 2 2 4 3 2 2 3" xfId="2003" xr:uid="{0C71E289-0C64-46FB-B7DE-0AF066AAA3E7}"/>
    <cellStyle name="Vírgula 2 2 4 3 2 2 4" xfId="7213" xr:uid="{EAF59DC6-0FD6-4961-BA74-C5ED77A46C1D}"/>
    <cellStyle name="Vírgula 2 2 4 3 2 3" xfId="2004" xr:uid="{0B29C466-983B-4C3D-870A-61806E7B6577}"/>
    <cellStyle name="Vírgula 2 2 4 3 2 3 2" xfId="2005" xr:uid="{56707690-1D2E-447E-ADEC-B3950DAE00F1}"/>
    <cellStyle name="Vírgula 2 2 4 3 2 3 2 2" xfId="2006" xr:uid="{D73FA2DA-B5BC-4AF5-85EC-8673AD83B9BA}"/>
    <cellStyle name="Vírgula 2 2 4 3 2 3 2 3" xfId="7216" xr:uid="{E2177EBF-5E31-40FA-A32C-C4A1553B9F2E}"/>
    <cellStyle name="Vírgula 2 2 4 3 2 3 3" xfId="2007" xr:uid="{29C35F1B-098D-4B08-8629-0D97CF848D22}"/>
    <cellStyle name="Vírgula 2 2 4 3 2 3 4" xfId="7215" xr:uid="{E8F1373D-E9FF-46C5-878E-B33FD1C344C5}"/>
    <cellStyle name="Vírgula 2 2 4 3 2 4" xfId="2008" xr:uid="{6E03EAA3-4A84-4296-A8A8-80C8751233FA}"/>
    <cellStyle name="Vírgula 2 2 4 3 2 4 2" xfId="2009" xr:uid="{DC820C6F-FFD9-4A4A-A725-554C12BA049A}"/>
    <cellStyle name="Vírgula 2 2 4 3 2 4 3" xfId="7217" xr:uid="{020F12C0-8BD9-4871-B460-2444994364D3}"/>
    <cellStyle name="Vírgula 2 2 4 3 2 5" xfId="2010" xr:uid="{0CE251AF-6B9F-4C82-98A7-F5926A37D02A}"/>
    <cellStyle name="Vírgula 2 2 4 3 2 6" xfId="7212" xr:uid="{6FE4AD6B-03E1-4EC0-8A06-CCC53E40B102}"/>
    <cellStyle name="Vírgula 2 2 4 3 3" xfId="2011" xr:uid="{BC1E225D-69DC-417B-A40C-5D5466048861}"/>
    <cellStyle name="Vírgula 2 2 4 3 3 2" xfId="2012" xr:uid="{EDE85A92-84AA-40EC-9B8F-3D42A5FF351C}"/>
    <cellStyle name="Vírgula 2 2 4 3 3 2 2" xfId="2013" xr:uid="{4E139F48-3899-45B5-AC4A-4D104C99ACE6}"/>
    <cellStyle name="Vírgula 2 2 4 3 3 2 3" xfId="7219" xr:uid="{CBF7075A-A9E3-42B1-8F6E-ECFBEC4866F0}"/>
    <cellStyle name="Vírgula 2 2 4 3 3 3" xfId="2014" xr:uid="{8C9CA9FF-0014-418F-8160-BB1FD48BFCD6}"/>
    <cellStyle name="Vírgula 2 2 4 3 3 4" xfId="7218" xr:uid="{690253E1-5FC4-411F-BB8E-F608C70560D8}"/>
    <cellStyle name="Vírgula 2 2 4 3 4" xfId="2015" xr:uid="{F187F1C2-7981-4966-B583-70E0C0E05094}"/>
    <cellStyle name="Vírgula 2 2 4 3 4 2" xfId="2016" xr:uid="{6BAC98DA-2693-4F7B-B091-B68E8B013501}"/>
    <cellStyle name="Vírgula 2 2 4 3 4 2 2" xfId="2017" xr:uid="{FA9B6496-B400-4B27-8FBB-0D8CE24598F9}"/>
    <cellStyle name="Vírgula 2 2 4 3 4 2 3" xfId="7221" xr:uid="{27F2B0ED-AE5E-4905-A560-151FC25F33D1}"/>
    <cellStyle name="Vírgula 2 2 4 3 4 3" xfId="2018" xr:uid="{5295D5CE-507E-488A-A29C-611A1DE0EE14}"/>
    <cellStyle name="Vírgula 2 2 4 3 4 4" xfId="7220" xr:uid="{0AE5B7D2-E50F-49A3-8077-BFAF2EE5181E}"/>
    <cellStyle name="Vírgula 2 2 4 3 5" xfId="2019" xr:uid="{6E1B86F4-0419-4938-B037-76D054B06526}"/>
    <cellStyle name="Vírgula 2 2 4 3 5 2" xfId="2020" xr:uid="{40092F5C-D9F4-4E13-8208-9792028D1ABF}"/>
    <cellStyle name="Vírgula 2 2 4 3 5 3" xfId="7222" xr:uid="{A702DCE1-3860-4FC2-8ECC-4D23C66A1817}"/>
    <cellStyle name="Vírgula 2 2 4 3 6" xfId="2021" xr:uid="{8E0738CA-BE8F-4D43-B8FB-A69AADA01574}"/>
    <cellStyle name="Vírgula 2 2 4 3 7" xfId="7211" xr:uid="{98599AFA-00AF-4358-AAF6-6390FAAFBD29}"/>
    <cellStyle name="Vírgula 2 2 4 4" xfId="2022" xr:uid="{31A8A906-628C-4D38-9BB5-F2737A6900D6}"/>
    <cellStyle name="Vírgula 2 2 4 4 2" xfId="2023" xr:uid="{35787035-C0AA-446C-8654-7C55B02EBB60}"/>
    <cellStyle name="Vírgula 2 2 4 4 2 2" xfId="2024" xr:uid="{D9F5AE4D-7273-4CA7-AFB9-11DD58572A3A}"/>
    <cellStyle name="Vírgula 2 2 4 4 2 2 2" xfId="2025" xr:uid="{7E8A2D44-8197-4A54-B17D-762289B1DFC0}"/>
    <cellStyle name="Vírgula 2 2 4 4 2 2 3" xfId="7225" xr:uid="{8E311E9C-3DE5-4B38-847F-6BEB7DF0FE8F}"/>
    <cellStyle name="Vírgula 2 2 4 4 2 3" xfId="2026" xr:uid="{C6AC3C14-11D5-41BF-A5EB-26809479FA51}"/>
    <cellStyle name="Vírgula 2 2 4 4 2 4" xfId="7224" xr:uid="{8881B8CE-FC98-4DBB-A7F8-683FC21A764E}"/>
    <cellStyle name="Vírgula 2 2 4 4 3" xfId="2027" xr:uid="{AFFF1099-A2DD-47F0-97AD-9B7DFB2EB725}"/>
    <cellStyle name="Vírgula 2 2 4 4 3 2" xfId="2028" xr:uid="{80CA4753-C69D-4D88-A369-94A9667146C3}"/>
    <cellStyle name="Vírgula 2 2 4 4 3 2 2" xfId="2029" xr:uid="{F3E7B041-62AA-440C-B80F-058C52191F8E}"/>
    <cellStyle name="Vírgula 2 2 4 4 3 2 3" xfId="7227" xr:uid="{C2B15969-BBE8-4E0E-920C-D3B667C74D15}"/>
    <cellStyle name="Vírgula 2 2 4 4 3 3" xfId="2030" xr:uid="{529AF228-2A5C-4EFA-A9DC-7E30869DF9F8}"/>
    <cellStyle name="Vírgula 2 2 4 4 3 4" xfId="7226" xr:uid="{1C5CDCF1-3495-4CDB-AB89-C76F9C7000FA}"/>
    <cellStyle name="Vírgula 2 2 4 4 4" xfId="2031" xr:uid="{F4E74214-78ED-476C-8548-08CBBE970416}"/>
    <cellStyle name="Vírgula 2 2 4 4 4 2" xfId="2032" xr:uid="{B35F5C57-9C7F-4170-9029-3B6181E6BE6C}"/>
    <cellStyle name="Vírgula 2 2 4 4 4 3" xfId="7228" xr:uid="{B1431ED4-5C0F-413B-972C-EB0613B27F37}"/>
    <cellStyle name="Vírgula 2 2 4 4 5" xfId="2033" xr:uid="{8412952C-B37A-44C7-9ECF-DDC16A61CE84}"/>
    <cellStyle name="Vírgula 2 2 4 4 6" xfId="7223" xr:uid="{CDA69E9A-CEEF-47B0-B98D-6D3B74252D87}"/>
    <cellStyle name="Vírgula 2 2 4 5" xfId="2034" xr:uid="{FFDF76AB-FA46-48D4-B935-90A84EB7D931}"/>
    <cellStyle name="Vírgula 2 2 4 5 2" xfId="2035" xr:uid="{154C2A89-9877-4FE1-BCF8-E7D4DF5F146B}"/>
    <cellStyle name="Vírgula 2 2 4 5 2 2" xfId="2036" xr:uid="{7A131AE9-3A8F-4793-AEE1-49971433C57E}"/>
    <cellStyle name="Vírgula 2 2 4 5 2 3" xfId="7230" xr:uid="{38A8B4C2-9CA1-4B86-80A8-58801F95C448}"/>
    <cellStyle name="Vírgula 2 2 4 5 3" xfId="2037" xr:uid="{112CB91C-17A4-402A-9160-684C7E2E15DD}"/>
    <cellStyle name="Vírgula 2 2 4 5 4" xfId="7229" xr:uid="{3A1256DC-068E-4A71-AFDF-C61114C57292}"/>
    <cellStyle name="Vírgula 2 2 4 6" xfId="2038" xr:uid="{CB1E8EAE-BBB8-4099-B239-29C68CECEBA0}"/>
    <cellStyle name="Vírgula 2 2 4 6 2" xfId="2039" xr:uid="{798474FD-D536-4735-876B-66210FF1A8B4}"/>
    <cellStyle name="Vírgula 2 2 4 6 2 2" xfId="2040" xr:uid="{9A363399-81C6-4D83-B4FA-C580F24264D8}"/>
    <cellStyle name="Vírgula 2 2 4 6 2 3" xfId="7232" xr:uid="{653C5565-F391-4F4A-B5D4-B168DFB99A47}"/>
    <cellStyle name="Vírgula 2 2 4 6 3" xfId="2041" xr:uid="{CE96DF89-9886-4AA7-B4FB-B778B674161A}"/>
    <cellStyle name="Vírgula 2 2 4 6 4" xfId="7231" xr:uid="{CA58DCBE-F7D5-4AE6-A365-FA4E4D498C47}"/>
    <cellStyle name="Vírgula 2 2 4 7" xfId="2042" xr:uid="{CAB62238-834A-46AF-965E-39F65B033EFE}"/>
    <cellStyle name="Vírgula 2 2 4 7 2" xfId="2043" xr:uid="{C44D5A64-47C5-4023-8626-D381902111CA}"/>
    <cellStyle name="Vírgula 2 2 4 7 3" xfId="7233" xr:uid="{10C0D9AD-BFAE-415E-88E6-19C9DFA4424F}"/>
    <cellStyle name="Vírgula 2 2 4 8" xfId="2044" xr:uid="{B2FB5A1C-08FA-48A8-821E-8ABA52503656}"/>
    <cellStyle name="Vírgula 2 2 4 9" xfId="7198" xr:uid="{BADB63EA-51CF-4FDA-A4B7-5DFAEA54FC86}"/>
    <cellStyle name="Vírgula 2 2 5" xfId="2045" xr:uid="{A359EE71-5A83-4BCD-A7B4-665735E122D8}"/>
    <cellStyle name="Vírgula 2 2 5 2" xfId="2046" xr:uid="{D2F6DE59-9265-41A6-A0FB-A41D074AFADB}"/>
    <cellStyle name="Vírgula 2 2 5 2 2" xfId="2047" xr:uid="{04DA22D7-D446-45B3-AF5C-F66A12DDD3BF}"/>
    <cellStyle name="Vírgula 2 2 5 2 2 2" xfId="2048" xr:uid="{6B287D20-D7D2-481F-852C-8E2E4ED0E6DD}"/>
    <cellStyle name="Vírgula 2 2 5 2 2 2 2" xfId="2049" xr:uid="{E06772B9-A10E-4443-AA97-DA10EE047257}"/>
    <cellStyle name="Vírgula 2 2 5 2 2 2 2 2" xfId="2050" xr:uid="{F02143C3-7CCE-41E7-8B44-582157EF64C2}"/>
    <cellStyle name="Vírgula 2 2 5 2 2 2 2 3" xfId="7238" xr:uid="{A5E9876B-6FD3-4176-946B-FA3F271A72B4}"/>
    <cellStyle name="Vírgula 2 2 5 2 2 2 3" xfId="2051" xr:uid="{538633FA-8CFB-4340-8325-D80259AA743B}"/>
    <cellStyle name="Vírgula 2 2 5 2 2 2 4" xfId="7237" xr:uid="{B52C3CDE-8FBA-44BD-A642-50CA1F8A06BF}"/>
    <cellStyle name="Vírgula 2 2 5 2 2 3" xfId="2052" xr:uid="{D43B15D6-B3B8-49FD-A112-15F49DD6A762}"/>
    <cellStyle name="Vírgula 2 2 5 2 2 3 2" xfId="2053" xr:uid="{C960569E-594D-4126-AB03-9E7934CFC7A4}"/>
    <cellStyle name="Vírgula 2 2 5 2 2 3 2 2" xfId="2054" xr:uid="{8DF56A06-E51D-4EE3-92BF-AEB79D86580D}"/>
    <cellStyle name="Vírgula 2 2 5 2 2 3 2 3" xfId="7240" xr:uid="{9DA08084-45B3-4A09-B2A3-AA27A1C24594}"/>
    <cellStyle name="Vírgula 2 2 5 2 2 3 3" xfId="2055" xr:uid="{5764EA1E-E3C9-43F0-A3F9-762647DC3AAA}"/>
    <cellStyle name="Vírgula 2 2 5 2 2 3 4" xfId="7239" xr:uid="{4376FDB1-5B8B-4323-B9C2-6D124DFEE954}"/>
    <cellStyle name="Vírgula 2 2 5 2 2 4" xfId="2056" xr:uid="{A6AA28AA-7C78-4861-AAE2-8A33705BED83}"/>
    <cellStyle name="Vírgula 2 2 5 2 2 4 2" xfId="2057" xr:uid="{CAE36A5B-82E2-4AFC-AB89-8335DC5FAF94}"/>
    <cellStyle name="Vírgula 2 2 5 2 2 4 3" xfId="7241" xr:uid="{415F0F51-BAE6-44CA-BD18-1F9A82FD0E7E}"/>
    <cellStyle name="Vírgula 2 2 5 2 2 5" xfId="2058" xr:uid="{51C0FFAB-9642-46BA-8806-31B79D7E87F1}"/>
    <cellStyle name="Vírgula 2 2 5 2 2 6" xfId="7236" xr:uid="{D9302590-571C-42EE-9517-C7C1E4A3B9F9}"/>
    <cellStyle name="Vírgula 2 2 5 2 3" xfId="2059" xr:uid="{DC3B4E91-35E9-450A-A072-D95EDA964B3D}"/>
    <cellStyle name="Vírgula 2 2 5 2 3 2" xfId="2060" xr:uid="{6AA01A10-F92E-46A0-8497-EBDE373EA0D1}"/>
    <cellStyle name="Vírgula 2 2 5 2 3 2 2" xfId="2061" xr:uid="{D958D727-EB53-4A48-AF43-9E16FD0CC3DE}"/>
    <cellStyle name="Vírgula 2 2 5 2 3 2 3" xfId="7243" xr:uid="{237FE541-A5CF-4BF8-A8D9-8BE037145999}"/>
    <cellStyle name="Vírgula 2 2 5 2 3 3" xfId="2062" xr:uid="{B7D44112-3E09-4789-A45D-7EFCF09D0804}"/>
    <cellStyle name="Vírgula 2 2 5 2 3 4" xfId="7242" xr:uid="{558B8F70-4C14-4169-BF3C-6D41F961E0FB}"/>
    <cellStyle name="Vírgula 2 2 5 2 4" xfId="2063" xr:uid="{C963C1E2-DB6D-4D48-AD4F-E32951B9BFD7}"/>
    <cellStyle name="Vírgula 2 2 5 2 4 2" xfId="2064" xr:uid="{982C1B47-46A9-466E-9435-1982CA03FA04}"/>
    <cellStyle name="Vírgula 2 2 5 2 4 2 2" xfId="2065" xr:uid="{5A1D495F-EA56-4625-A4D6-F651504E830E}"/>
    <cellStyle name="Vírgula 2 2 5 2 4 2 3" xfId="7245" xr:uid="{27ED30BD-3B67-455A-AB27-C3D9B9721A05}"/>
    <cellStyle name="Vírgula 2 2 5 2 4 3" xfId="2066" xr:uid="{C59D731B-6EE5-4C4D-B37B-DA92B3A9BA55}"/>
    <cellStyle name="Vírgula 2 2 5 2 4 4" xfId="7244" xr:uid="{5BC9ADEC-337D-415E-8849-9A674FA07FDB}"/>
    <cellStyle name="Vírgula 2 2 5 2 5" xfId="2067" xr:uid="{0169DD49-1D8A-409F-8628-F77956E3E393}"/>
    <cellStyle name="Vírgula 2 2 5 2 5 2" xfId="2068" xr:uid="{3FAA5E43-45F6-4BA7-94D8-0954168DF8FF}"/>
    <cellStyle name="Vírgula 2 2 5 2 5 3" xfId="7246" xr:uid="{7512FCF9-F12E-457D-8A41-8E2A630B9B46}"/>
    <cellStyle name="Vírgula 2 2 5 2 6" xfId="2069" xr:uid="{64550AFA-F027-453E-8412-AF1D791CFA9C}"/>
    <cellStyle name="Vírgula 2 2 5 2 7" xfId="7235" xr:uid="{84BC5DE0-273D-4293-A54D-712425491C8F}"/>
    <cellStyle name="Vírgula 2 2 5 3" xfId="2070" xr:uid="{AD5C69A9-8234-4E5C-A796-E31EFC7D46BD}"/>
    <cellStyle name="Vírgula 2 2 5 3 2" xfId="2071" xr:uid="{45852474-FD2F-4893-BCCE-E3A9D1C3B82B}"/>
    <cellStyle name="Vírgula 2 2 5 3 2 2" xfId="2072" xr:uid="{8A9EB2C0-9D61-4F24-A506-175BA678B721}"/>
    <cellStyle name="Vírgula 2 2 5 3 2 2 2" xfId="2073" xr:uid="{2BD4E0ED-B158-4FF0-8A28-9D1E07051D9C}"/>
    <cellStyle name="Vírgula 2 2 5 3 2 2 2 2" xfId="2074" xr:uid="{D410C4B8-84E8-458F-8576-E022466FFF1D}"/>
    <cellStyle name="Vírgula 2 2 5 3 2 2 2 3" xfId="7250" xr:uid="{55B6BB8B-5D04-4DEE-80D9-D5A2B71A2E07}"/>
    <cellStyle name="Vírgula 2 2 5 3 2 2 3" xfId="2075" xr:uid="{F915D57C-E293-44AD-A6A9-756F8EF0B1FB}"/>
    <cellStyle name="Vírgula 2 2 5 3 2 2 4" xfId="7249" xr:uid="{AD59853D-0332-4DB9-9A71-319337DA6832}"/>
    <cellStyle name="Vírgula 2 2 5 3 2 3" xfId="2076" xr:uid="{ED7C4583-702B-4246-A620-4F0165F36702}"/>
    <cellStyle name="Vírgula 2 2 5 3 2 3 2" xfId="2077" xr:uid="{AAE1FC47-E8BD-446A-B7E8-42E195F31563}"/>
    <cellStyle name="Vírgula 2 2 5 3 2 3 2 2" xfId="2078" xr:uid="{87F5873D-6139-4C31-A245-F898CE02AD67}"/>
    <cellStyle name="Vírgula 2 2 5 3 2 3 2 3" xfId="7252" xr:uid="{17BDD3E2-DAD7-4C38-882B-C15E62DAC609}"/>
    <cellStyle name="Vírgula 2 2 5 3 2 3 3" xfId="2079" xr:uid="{3690B9C8-3CD8-4C22-BAE7-3685EBF274EB}"/>
    <cellStyle name="Vírgula 2 2 5 3 2 3 4" xfId="7251" xr:uid="{D4C11D30-F4B7-465F-8CCD-FF83E1070396}"/>
    <cellStyle name="Vírgula 2 2 5 3 2 4" xfId="2080" xr:uid="{951B2287-A8A5-4C64-AC33-85B483859AB1}"/>
    <cellStyle name="Vírgula 2 2 5 3 2 4 2" xfId="2081" xr:uid="{0A0656C9-146A-4F16-8A3E-E422C6D14468}"/>
    <cellStyle name="Vírgula 2 2 5 3 2 4 3" xfId="7253" xr:uid="{10723052-4000-45BF-8504-62C683659F4E}"/>
    <cellStyle name="Vírgula 2 2 5 3 2 5" xfId="2082" xr:uid="{72C9C938-41A0-4CAF-AC52-DB5C1DC207CC}"/>
    <cellStyle name="Vírgula 2 2 5 3 2 6" xfId="7248" xr:uid="{10209D09-2C14-453B-81FA-6A5ACD80D47F}"/>
    <cellStyle name="Vírgula 2 2 5 3 3" xfId="2083" xr:uid="{CA67F006-DEDF-48F7-B40F-BD5C2A77415B}"/>
    <cellStyle name="Vírgula 2 2 5 3 3 2" xfId="2084" xr:uid="{D538534E-8FDE-4051-A7F2-500ACD8F1287}"/>
    <cellStyle name="Vírgula 2 2 5 3 3 2 2" xfId="2085" xr:uid="{8193FFDC-3572-4AD7-A141-44BBE31E80F1}"/>
    <cellStyle name="Vírgula 2 2 5 3 3 2 3" xfId="7255" xr:uid="{932BF5C4-F25E-4BF2-BF04-7630B7F9CCB5}"/>
    <cellStyle name="Vírgula 2 2 5 3 3 3" xfId="2086" xr:uid="{10681A3A-A8AD-4AB9-8D9A-40F1BADDEB78}"/>
    <cellStyle name="Vírgula 2 2 5 3 3 4" xfId="7254" xr:uid="{C7E43F13-5DB3-45CB-A194-249E404F4E2A}"/>
    <cellStyle name="Vírgula 2 2 5 3 4" xfId="2087" xr:uid="{6015EDD6-AB7A-4075-8387-529ACCDBB6C1}"/>
    <cellStyle name="Vírgula 2 2 5 3 4 2" xfId="2088" xr:uid="{06DD131A-895D-4A16-8754-B7751BD42F26}"/>
    <cellStyle name="Vírgula 2 2 5 3 4 2 2" xfId="2089" xr:uid="{5385ED44-24CD-46F5-9CAB-BF7EA72E6671}"/>
    <cellStyle name="Vírgula 2 2 5 3 4 2 3" xfId="7257" xr:uid="{E2EE6D04-B13B-47E8-9C8A-B8161D893FE6}"/>
    <cellStyle name="Vírgula 2 2 5 3 4 3" xfId="2090" xr:uid="{F063F966-B142-4E9A-A685-E4BDAB78D104}"/>
    <cellStyle name="Vírgula 2 2 5 3 4 4" xfId="7256" xr:uid="{B8CB5FF7-1371-421C-B251-94092D6EFE05}"/>
    <cellStyle name="Vírgula 2 2 5 3 5" xfId="2091" xr:uid="{0BA0620E-3172-4FAA-BF01-D3E7EC07E43E}"/>
    <cellStyle name="Vírgula 2 2 5 3 5 2" xfId="2092" xr:uid="{953626DA-D3D6-4F9F-BFB4-86BF02E8B0F4}"/>
    <cellStyle name="Vírgula 2 2 5 3 5 3" xfId="7258" xr:uid="{69D5B12C-DFD3-440B-BC94-2399DB13466F}"/>
    <cellStyle name="Vírgula 2 2 5 3 6" xfId="2093" xr:uid="{A87ADFF8-FEAB-4510-BC01-8F4312542C8A}"/>
    <cellStyle name="Vírgula 2 2 5 3 7" xfId="7247" xr:uid="{EC320BAF-905F-4F44-BE65-787243D48098}"/>
    <cellStyle name="Vírgula 2 2 5 4" xfId="2094" xr:uid="{9394A1AB-48A6-42E1-B3C2-D199471B44BD}"/>
    <cellStyle name="Vírgula 2 2 5 4 2" xfId="2095" xr:uid="{62BE1329-46A9-435D-8469-2FB1B6A79D37}"/>
    <cellStyle name="Vírgula 2 2 5 4 2 2" xfId="2096" xr:uid="{B275110E-FBE9-40F2-B0F7-891461FB696E}"/>
    <cellStyle name="Vírgula 2 2 5 4 2 2 2" xfId="2097" xr:uid="{2E0906BE-F39F-4938-9E2B-5354077E63DB}"/>
    <cellStyle name="Vírgula 2 2 5 4 2 2 3" xfId="7261" xr:uid="{4EAE3E1A-71E5-46C4-B175-610D1F47B1C0}"/>
    <cellStyle name="Vírgula 2 2 5 4 2 3" xfId="2098" xr:uid="{BAD95C8B-5D6F-4D0C-9E28-89F567950ACF}"/>
    <cellStyle name="Vírgula 2 2 5 4 2 4" xfId="7260" xr:uid="{6CE9FA7D-45BD-4933-B305-5536FCA4E87F}"/>
    <cellStyle name="Vírgula 2 2 5 4 3" xfId="2099" xr:uid="{F4F84420-CBCC-4EDB-9A61-BF25149FB142}"/>
    <cellStyle name="Vírgula 2 2 5 4 3 2" xfId="2100" xr:uid="{3A48C95B-CB97-4AD6-8B0F-1C26AEB9A1F6}"/>
    <cellStyle name="Vírgula 2 2 5 4 3 2 2" xfId="2101" xr:uid="{13DBA93A-3B27-42DA-8902-5AB3E107B950}"/>
    <cellStyle name="Vírgula 2 2 5 4 3 2 3" xfId="7263" xr:uid="{69DE3F13-AF9E-48C1-AEFD-BB72C4A40580}"/>
    <cellStyle name="Vírgula 2 2 5 4 3 3" xfId="2102" xr:uid="{D2B444D0-2422-45FF-8EF0-25BD903A01AC}"/>
    <cellStyle name="Vírgula 2 2 5 4 3 4" xfId="7262" xr:uid="{CBB79F89-26AF-45CF-ABA7-7691E2831083}"/>
    <cellStyle name="Vírgula 2 2 5 4 4" xfId="2103" xr:uid="{F5ED1170-4B34-466F-9D34-15F5BB6F3006}"/>
    <cellStyle name="Vírgula 2 2 5 4 4 2" xfId="2104" xr:uid="{1C063638-AC88-4663-A9B7-4C8A7ADA13D2}"/>
    <cellStyle name="Vírgula 2 2 5 4 4 3" xfId="7264" xr:uid="{5E6B6105-CAB8-430B-8BF3-9A49E7B16590}"/>
    <cellStyle name="Vírgula 2 2 5 4 5" xfId="2105" xr:uid="{709D3E66-553C-4D89-BF56-BE1E4BFCB153}"/>
    <cellStyle name="Vírgula 2 2 5 4 6" xfId="7259" xr:uid="{36C93EFC-6632-4F45-B94E-3D199DA54629}"/>
    <cellStyle name="Vírgula 2 2 5 5" xfId="2106" xr:uid="{4A82E8CC-22BA-4156-8E94-087323F704FF}"/>
    <cellStyle name="Vírgula 2 2 5 5 2" xfId="2107" xr:uid="{0891F114-6A7F-4B6A-B6FB-B4425EA85E46}"/>
    <cellStyle name="Vírgula 2 2 5 5 2 2" xfId="2108" xr:uid="{1E5E3034-971A-414F-A127-E53562812F2C}"/>
    <cellStyle name="Vírgula 2 2 5 5 2 3" xfId="7266" xr:uid="{FF638AC7-3298-4AB5-A135-18A0834A651A}"/>
    <cellStyle name="Vírgula 2 2 5 5 3" xfId="2109" xr:uid="{ED6D4F0F-2037-4123-8A1E-4F151B021839}"/>
    <cellStyle name="Vírgula 2 2 5 5 4" xfId="7265" xr:uid="{8B7F6DE1-A979-4908-B678-6DD80A7FD973}"/>
    <cellStyle name="Vírgula 2 2 5 6" xfId="2110" xr:uid="{75599B94-369A-4AFE-B84D-2D9B775294A6}"/>
    <cellStyle name="Vírgula 2 2 5 6 2" xfId="2111" xr:uid="{A60F3D29-684D-4CE6-B3FE-3FAF55CF9E72}"/>
    <cellStyle name="Vírgula 2 2 5 6 2 2" xfId="2112" xr:uid="{D38BF701-DA5C-43E3-8EF3-9ABAB3545C2E}"/>
    <cellStyle name="Vírgula 2 2 5 6 2 3" xfId="7268" xr:uid="{D26EC7EE-A073-4DCB-9BD5-F69F880D75C1}"/>
    <cellStyle name="Vírgula 2 2 5 6 3" xfId="2113" xr:uid="{13FDD4ED-3C8A-4100-9DD8-AF2588443D22}"/>
    <cellStyle name="Vírgula 2 2 5 6 4" xfId="7267" xr:uid="{D2D67221-FD25-49D5-9AC4-67136CC29CFB}"/>
    <cellStyle name="Vírgula 2 2 5 7" xfId="2114" xr:uid="{1E8B59CC-6701-41E8-B353-A5EC2B04AD77}"/>
    <cellStyle name="Vírgula 2 2 5 7 2" xfId="2115" xr:uid="{9CB0CE29-2C8B-48F5-BBDA-9DEC25C7D4E2}"/>
    <cellStyle name="Vírgula 2 2 5 7 3" xfId="7269" xr:uid="{22C3D868-8548-4B8D-B54C-66BBF1E29F8E}"/>
    <cellStyle name="Vírgula 2 2 5 8" xfId="2116" xr:uid="{ECAC1750-930E-45DA-B218-F5FF22A9C005}"/>
    <cellStyle name="Vírgula 2 2 5 9" xfId="7234" xr:uid="{A610D6C5-E69A-437C-8B5E-FA3A44BB511D}"/>
    <cellStyle name="Vírgula 2 2 6" xfId="2117" xr:uid="{1458140A-B834-4B80-B779-BC8CE48A72FD}"/>
    <cellStyle name="Vírgula 2 2 6 2" xfId="2118" xr:uid="{61958CE8-B2D8-4D81-A5F7-AD2AEF96169A}"/>
    <cellStyle name="Vírgula 2 2 6 2 2" xfId="2119" xr:uid="{74B36709-37AD-4E4F-9C6D-9CF3092F3F46}"/>
    <cellStyle name="Vírgula 2 2 6 2 2 2" xfId="2120" xr:uid="{C1CEA7B2-3B05-4522-9F6D-C579601E241D}"/>
    <cellStyle name="Vírgula 2 2 6 2 2 2 2" xfId="2121" xr:uid="{0FE9EADC-C6C1-4C2E-81A1-4C08D01FFE6A}"/>
    <cellStyle name="Vírgula 2 2 6 2 2 2 3" xfId="7273" xr:uid="{DEF5E538-9578-41D6-8151-181C723CF269}"/>
    <cellStyle name="Vírgula 2 2 6 2 2 3" xfId="2122" xr:uid="{86C24A3E-B6C8-4417-B5D6-896CFE8C14A3}"/>
    <cellStyle name="Vírgula 2 2 6 2 2 4" xfId="7272" xr:uid="{AC097CE7-D5A1-4BAF-846A-649E98D63A1D}"/>
    <cellStyle name="Vírgula 2 2 6 2 3" xfId="2123" xr:uid="{5D1184F0-5296-4982-9BB0-5F36EB36ADF4}"/>
    <cellStyle name="Vírgula 2 2 6 2 3 2" xfId="2124" xr:uid="{2AAE1C0C-3B4B-40C9-8B2D-E3C2BF915CF9}"/>
    <cellStyle name="Vírgula 2 2 6 2 3 2 2" xfId="2125" xr:uid="{AB744E16-89EA-4031-BCC1-D4C3C475FA22}"/>
    <cellStyle name="Vírgula 2 2 6 2 3 2 3" xfId="7275" xr:uid="{B3DC3104-26CD-47B7-B1D6-F07AF84D32C1}"/>
    <cellStyle name="Vírgula 2 2 6 2 3 3" xfId="2126" xr:uid="{7EEB7C20-3BEE-4D5F-8C7D-698BCCC92EFE}"/>
    <cellStyle name="Vírgula 2 2 6 2 3 4" xfId="7274" xr:uid="{E06FF765-CF99-44BB-9EF9-0C739BBDE80F}"/>
    <cellStyle name="Vírgula 2 2 6 2 4" xfId="2127" xr:uid="{6E1CBB21-F9E1-4B58-A360-3CAFBE2CD071}"/>
    <cellStyle name="Vírgula 2 2 6 2 4 2" xfId="2128" xr:uid="{FD3CF879-D3A2-4839-A30E-1621F2BC0594}"/>
    <cellStyle name="Vírgula 2 2 6 2 4 3" xfId="7276" xr:uid="{639F0D7A-DC3E-4293-A9A7-834EA9E1CD97}"/>
    <cellStyle name="Vírgula 2 2 6 2 5" xfId="2129" xr:uid="{E1462934-1F3D-4282-9169-C7261B26EDC4}"/>
    <cellStyle name="Vírgula 2 2 6 2 6" xfId="7271" xr:uid="{ED1CAF21-53D5-4E77-B2FF-4B2B52E17618}"/>
    <cellStyle name="Vírgula 2 2 6 3" xfId="2130" xr:uid="{FDBA1270-C31B-47A9-80CC-95C3E430F1D3}"/>
    <cellStyle name="Vírgula 2 2 6 3 2" xfId="2131" xr:uid="{9BABDD37-3458-462A-AA2E-759F1A653B21}"/>
    <cellStyle name="Vírgula 2 2 6 3 2 2" xfId="2132" xr:uid="{D70BB19C-380F-4EDC-8796-25D486163960}"/>
    <cellStyle name="Vírgula 2 2 6 3 2 3" xfId="7278" xr:uid="{51B7C62B-BF29-4C48-9155-3F6F4910F7F9}"/>
    <cellStyle name="Vírgula 2 2 6 3 3" xfId="2133" xr:uid="{CEBAD7F1-089E-4E16-A291-75B2EE6893F7}"/>
    <cellStyle name="Vírgula 2 2 6 3 4" xfId="7277" xr:uid="{5DB69ED1-45F0-490C-80EC-C676B1DE0A9D}"/>
    <cellStyle name="Vírgula 2 2 6 4" xfId="2134" xr:uid="{B483CF43-35C7-4A19-B53D-641D253AED8D}"/>
    <cellStyle name="Vírgula 2 2 6 4 2" xfId="2135" xr:uid="{153D983A-2DE3-465A-80F9-2FA45A31C3E9}"/>
    <cellStyle name="Vírgula 2 2 6 4 2 2" xfId="2136" xr:uid="{2536E29D-98D0-4AE3-B696-D4FAF8C160A5}"/>
    <cellStyle name="Vírgula 2 2 6 4 2 3" xfId="7280" xr:uid="{F8DC0BD2-2169-495A-82F6-93C84C08555D}"/>
    <cellStyle name="Vírgula 2 2 6 4 3" xfId="2137" xr:uid="{208AD958-A51F-442F-B9DE-D284FF6CEFB3}"/>
    <cellStyle name="Vírgula 2 2 6 4 4" xfId="7279" xr:uid="{C243331C-F84F-4410-9E6E-21BD6E50EE5E}"/>
    <cellStyle name="Vírgula 2 2 6 5" xfId="2138" xr:uid="{9F4156DF-D8C1-48F8-AF07-345715559B20}"/>
    <cellStyle name="Vírgula 2 2 6 5 2" xfId="2139" xr:uid="{1FD2FC95-D370-4D40-A1FE-9FD91CA83DAE}"/>
    <cellStyle name="Vírgula 2 2 6 5 3" xfId="7281" xr:uid="{38354965-73EE-48BF-9BB4-200694227F02}"/>
    <cellStyle name="Vírgula 2 2 6 6" xfId="2140" xr:uid="{9D31BC5B-5257-447A-958D-96426064F74F}"/>
    <cellStyle name="Vírgula 2 2 6 7" xfId="7270" xr:uid="{F65DDAC8-B8B8-4F29-8365-8EFD41A16983}"/>
    <cellStyle name="Vírgula 2 2 7" xfId="2141" xr:uid="{40E3DC6B-83DC-41C6-9F12-B056F2930FF4}"/>
    <cellStyle name="Vírgula 2 2 7 2" xfId="2142" xr:uid="{FDA23ED2-78C7-41F1-9A96-8B10CC15E69E}"/>
    <cellStyle name="Vírgula 2 2 7 2 2" xfId="2143" xr:uid="{CC299FC8-C0B5-435A-A7D6-45E0F8D4D1B6}"/>
    <cellStyle name="Vírgula 2 2 7 2 2 2" xfId="2144" xr:uid="{31D2E7F5-F077-4145-8C69-ED32B74D9C8C}"/>
    <cellStyle name="Vírgula 2 2 7 2 2 2 2" xfId="2145" xr:uid="{23707209-A133-4628-A98A-07E551E6AE71}"/>
    <cellStyle name="Vírgula 2 2 7 2 2 2 3" xfId="7285" xr:uid="{3A6CFF1C-9D27-4F69-BFBB-9ECC5142440B}"/>
    <cellStyle name="Vírgula 2 2 7 2 2 3" xfId="2146" xr:uid="{2867BD5F-1B05-4970-9069-BDE08099DC6B}"/>
    <cellStyle name="Vírgula 2 2 7 2 2 4" xfId="7284" xr:uid="{2E7F3656-9BF9-4958-93AB-A8DB83DB1868}"/>
    <cellStyle name="Vírgula 2 2 7 2 3" xfId="2147" xr:uid="{AB0F5907-D56A-440A-B86A-21E4C418F091}"/>
    <cellStyle name="Vírgula 2 2 7 2 3 2" xfId="2148" xr:uid="{869C643B-A64B-4014-815B-795258587961}"/>
    <cellStyle name="Vírgula 2 2 7 2 3 2 2" xfId="2149" xr:uid="{0CAE974A-B426-4B01-8CB2-512D45751931}"/>
    <cellStyle name="Vírgula 2 2 7 2 3 2 3" xfId="7287" xr:uid="{86762474-4FD2-488C-A670-A46930811645}"/>
    <cellStyle name="Vírgula 2 2 7 2 3 3" xfId="2150" xr:uid="{782CB8BC-DD4C-46EC-B27B-7E5FCE90509E}"/>
    <cellStyle name="Vírgula 2 2 7 2 3 4" xfId="7286" xr:uid="{260F0256-AE40-4718-AD88-7CB70813E58D}"/>
    <cellStyle name="Vírgula 2 2 7 2 4" xfId="2151" xr:uid="{7ABEDA2A-949E-41EC-8BEB-17E5F4ECE8F0}"/>
    <cellStyle name="Vírgula 2 2 7 2 4 2" xfId="2152" xr:uid="{B628593D-B8F7-4AE4-A4DB-21AB35965546}"/>
    <cellStyle name="Vírgula 2 2 7 2 4 3" xfId="7288" xr:uid="{DC594B9A-4E80-42CD-B3EA-D922D56DBDFD}"/>
    <cellStyle name="Vírgula 2 2 7 2 5" xfId="2153" xr:uid="{B228306F-4175-423F-9A66-15647C085BCE}"/>
    <cellStyle name="Vírgula 2 2 7 2 6" xfId="7283" xr:uid="{34786990-E7F5-4166-8652-BFBAF758CCDB}"/>
    <cellStyle name="Vírgula 2 2 7 3" xfId="2154" xr:uid="{B5B9355A-153E-428C-BBA8-31887E53EA93}"/>
    <cellStyle name="Vírgula 2 2 7 3 2" xfId="2155" xr:uid="{57FC9333-29E7-40F3-AE4D-A9BADAC7D008}"/>
    <cellStyle name="Vírgula 2 2 7 3 2 2" xfId="2156" xr:uid="{7C232E4A-D288-4F44-AE1B-9F6EA7B025B9}"/>
    <cellStyle name="Vírgula 2 2 7 3 2 3" xfId="7290" xr:uid="{CAAF4FFA-F960-4367-B592-F667041B0B09}"/>
    <cellStyle name="Vírgula 2 2 7 3 3" xfId="2157" xr:uid="{6F084749-08FD-40BA-9F8D-A8E90A21948F}"/>
    <cellStyle name="Vírgula 2 2 7 3 4" xfId="7289" xr:uid="{0630A930-0D45-4226-A8B7-51FB36CAD401}"/>
    <cellStyle name="Vírgula 2 2 7 4" xfId="2158" xr:uid="{D5FDD330-5A14-4D10-B9B9-2F98FC4C8C18}"/>
    <cellStyle name="Vírgula 2 2 7 4 2" xfId="2159" xr:uid="{9A7076EF-9169-488E-94EA-534235F7B28C}"/>
    <cellStyle name="Vírgula 2 2 7 4 2 2" xfId="2160" xr:uid="{0482F23E-9BBD-48A5-9026-BC1901D62EAA}"/>
    <cellStyle name="Vírgula 2 2 7 4 2 3" xfId="7292" xr:uid="{79C00B55-08D3-4358-BBF3-50F4BF07ED69}"/>
    <cellStyle name="Vírgula 2 2 7 4 3" xfId="2161" xr:uid="{155F4C8B-6F98-4FA7-8DB3-C2082DF32983}"/>
    <cellStyle name="Vírgula 2 2 7 4 4" xfId="7291" xr:uid="{51B2D15F-EE68-4D3B-ADD4-9831EE197A4D}"/>
    <cellStyle name="Vírgula 2 2 7 5" xfId="2162" xr:uid="{36A727E4-18DF-433B-A191-90EF3509AC09}"/>
    <cellStyle name="Vírgula 2 2 7 5 2" xfId="2163" xr:uid="{92DA1494-9F38-4FE8-A738-C8FF947EC737}"/>
    <cellStyle name="Vírgula 2 2 7 5 3" xfId="7293" xr:uid="{6A77BD10-C47A-42BE-B009-F196F7E74011}"/>
    <cellStyle name="Vírgula 2 2 7 6" xfId="2164" xr:uid="{A19AAAD6-6D3D-4BB2-8523-6386784B8D4E}"/>
    <cellStyle name="Vírgula 2 2 7 7" xfId="7282" xr:uid="{4414B6B6-2D74-4B01-AE49-BBADACB9AE2F}"/>
    <cellStyle name="Vírgula 2 2 8" xfId="2165" xr:uid="{92807B14-FAED-431A-95DD-EF8D2052E39E}"/>
    <cellStyle name="Vírgula 2 2 8 2" xfId="2166" xr:uid="{F556A8F6-3ED7-4FD7-8290-F30C895DA4AE}"/>
    <cellStyle name="Vírgula 2 2 8 2 2" xfId="2167" xr:uid="{C7D4D4D4-7228-4DF1-AA1D-3332151E8710}"/>
    <cellStyle name="Vírgula 2 2 8 2 2 2" xfId="2168" xr:uid="{C587F06A-AC5C-4CEB-B35B-E22EB1D3092B}"/>
    <cellStyle name="Vírgula 2 2 8 2 2 3" xfId="7296" xr:uid="{7ED5AE5A-280A-4099-9388-26C1AB1FC936}"/>
    <cellStyle name="Vírgula 2 2 8 2 3" xfId="2169" xr:uid="{8405E47D-78B9-4E4D-AE98-58A0F41C9FDA}"/>
    <cellStyle name="Vírgula 2 2 8 2 4" xfId="7295" xr:uid="{5782F950-56BC-44D6-8AF5-7036543922F3}"/>
    <cellStyle name="Vírgula 2 2 8 3" xfId="2170" xr:uid="{D7675863-00CE-4955-8B28-803ECFC89F0C}"/>
    <cellStyle name="Vírgula 2 2 8 3 2" xfId="2171" xr:uid="{6F5EF27A-349C-481E-9E10-EB58A584BF46}"/>
    <cellStyle name="Vírgula 2 2 8 3 2 2" xfId="2172" xr:uid="{84427BF1-61DF-4002-A31E-EB21FCA4DF70}"/>
    <cellStyle name="Vírgula 2 2 8 3 2 3" xfId="7298" xr:uid="{5E6F60CE-181A-4985-A436-D1F2D2AE6FB3}"/>
    <cellStyle name="Vírgula 2 2 8 3 3" xfId="2173" xr:uid="{2398B95E-2AF8-421F-8165-F07C7AD3D696}"/>
    <cellStyle name="Vírgula 2 2 8 3 4" xfId="7297" xr:uid="{1D422250-2902-478D-A30C-73844FA695BB}"/>
    <cellStyle name="Vírgula 2 2 8 4" xfId="2174" xr:uid="{2B447BC1-E69E-4DD6-9DBB-AE3898015859}"/>
    <cellStyle name="Vírgula 2 2 8 4 2" xfId="2175" xr:uid="{94A6C012-8927-49EE-B1CC-5952E60E8233}"/>
    <cellStyle name="Vírgula 2 2 8 4 3" xfId="7299" xr:uid="{A6B3BD36-8077-4AB0-B845-DB6955347618}"/>
    <cellStyle name="Vírgula 2 2 8 5" xfId="2176" xr:uid="{0A980B7D-FF07-4646-9E6A-AF1A5F3055D7}"/>
    <cellStyle name="Vírgula 2 2 8 6" xfId="7294" xr:uid="{79455899-89E2-4BE0-A3DB-42A5E048471D}"/>
    <cellStyle name="Vírgula 2 2 9" xfId="2177" xr:uid="{3B6F50A4-A142-4D64-B358-41B3FFBA2159}"/>
    <cellStyle name="Vírgula 2 2 9 2" xfId="2178" xr:uid="{7E179D58-9513-45B4-A173-3EE81C87A793}"/>
    <cellStyle name="Vírgula 2 2 9 2 2" xfId="2179" xr:uid="{7774A68A-4B4F-4D70-878F-2A8FE1DE0216}"/>
    <cellStyle name="Vírgula 2 2 9 2 3" xfId="7301" xr:uid="{9D26FA0B-A46E-4224-A46E-E297747ECB53}"/>
    <cellStyle name="Vírgula 2 2 9 3" xfId="2180" xr:uid="{65995CAA-795F-4683-905A-0466041E161F}"/>
    <cellStyle name="Vírgula 2 2 9 4" xfId="7300" xr:uid="{233E9188-8425-4765-BF92-E3FB18494CAA}"/>
    <cellStyle name="Vírgula 3" xfId="2181" xr:uid="{E49BE7ED-55F0-45F7-87F5-D55DDCE23849}"/>
    <cellStyle name="Vírgula 3 2" xfId="2182" xr:uid="{E9CE2679-B8BF-4C7E-AA7C-732D9ADD598E}"/>
    <cellStyle name="Vírgula 3 2 10" xfId="2183" xr:uid="{0D4AD3FB-2EAD-4C52-AF71-CB15096BE06E}"/>
    <cellStyle name="Vírgula 3 2 10 2" xfId="2184" xr:uid="{6A1FA4D4-DB6B-47C9-9069-92436FE77FAA}"/>
    <cellStyle name="Vírgula 3 2 10 2 2" xfId="2185" xr:uid="{18AAAF1E-1DB7-4D2F-990A-5DCC906EC47D}"/>
    <cellStyle name="Vírgula 3 2 10 2 3" xfId="7304" xr:uid="{9CC5EB90-5C2E-4BF5-BDA1-E1A4B7B5FB24}"/>
    <cellStyle name="Vírgula 3 2 10 3" xfId="2186" xr:uid="{0A9E5921-36CC-44B4-9BAD-D865E2EFE77E}"/>
    <cellStyle name="Vírgula 3 2 10 4" xfId="7303" xr:uid="{5144FB40-3DF0-4C36-8DBD-ADD3D27047DB}"/>
    <cellStyle name="Vírgula 3 2 11" xfId="2187" xr:uid="{B106FC68-563D-49E9-9953-0AA03F31226A}"/>
    <cellStyle name="Vírgula 3 2 11 2" xfId="2188" xr:uid="{A9EFD239-B9BB-439F-8339-3ED7279E8D94}"/>
    <cellStyle name="Vírgula 3 2 11 3" xfId="7305" xr:uid="{69F626C2-A487-4027-8A3A-8090920F2901}"/>
    <cellStyle name="Vírgula 3 2 12" xfId="2189" xr:uid="{C2ED9342-BF6C-4F36-89F2-21EFD99B9A32}"/>
    <cellStyle name="Vírgula 3 2 13" xfId="7302" xr:uid="{74A8A431-278A-42B4-B60D-E612522A1878}"/>
    <cellStyle name="Vírgula 3 2 2" xfId="2190" xr:uid="{528DEA07-2975-4AFB-90B5-D491459C71A5}"/>
    <cellStyle name="Vírgula 3 2 2 10" xfId="2191" xr:uid="{C5B2570E-FD51-4198-9D9A-AE87E3908BCD}"/>
    <cellStyle name="Vírgula 3 2 2 10 2" xfId="2192" xr:uid="{2D32856D-7751-459A-A2BE-49EC13C8F644}"/>
    <cellStyle name="Vírgula 3 2 2 10 3" xfId="7307" xr:uid="{469F3AEF-4632-449A-8FC8-84003FB91704}"/>
    <cellStyle name="Vírgula 3 2 2 11" xfId="2193" xr:uid="{C8B33C3C-9D73-43C0-9D3E-5F178787B124}"/>
    <cellStyle name="Vírgula 3 2 2 12" xfId="7306" xr:uid="{85A4D846-1393-46A3-8E87-BA749BAF50CA}"/>
    <cellStyle name="Vírgula 3 2 2 2" xfId="2194" xr:uid="{5D5993CD-1C75-4CF1-8ABA-B786F7223F78}"/>
    <cellStyle name="Vírgula 3 2 2 2 2" xfId="2195" xr:uid="{2D4E6949-0281-4C83-A673-49B9C2B37D63}"/>
    <cellStyle name="Vírgula 3 2 2 2 2 2" xfId="2196" xr:uid="{D03B8A08-6BD9-4D5E-B496-8EC2EC1F5EF6}"/>
    <cellStyle name="Vírgula 3 2 2 2 2 2 2" xfId="2197" xr:uid="{36C30410-CF53-4236-8CD2-523D0C66B6E2}"/>
    <cellStyle name="Vírgula 3 2 2 2 2 2 2 2" xfId="2198" xr:uid="{D8213522-6ECB-4D76-997B-A1D7C17082E5}"/>
    <cellStyle name="Vírgula 3 2 2 2 2 2 2 2 2" xfId="2199" xr:uid="{D789775D-3DF2-454F-B223-A31C460550BF}"/>
    <cellStyle name="Vírgula 3 2 2 2 2 2 2 2 3" xfId="7312" xr:uid="{66DB407D-5D44-4794-A753-39076B6B0DD4}"/>
    <cellStyle name="Vírgula 3 2 2 2 2 2 2 3" xfId="2200" xr:uid="{7D944E63-AFB2-4E03-907B-3DD8A7C931E1}"/>
    <cellStyle name="Vírgula 3 2 2 2 2 2 2 4" xfId="7311" xr:uid="{908FB203-595F-400F-AD65-5191256FF252}"/>
    <cellStyle name="Vírgula 3 2 2 2 2 2 3" xfId="2201" xr:uid="{87B14E3D-0A18-4924-BD1D-49863F8E8AB6}"/>
    <cellStyle name="Vírgula 3 2 2 2 2 2 3 2" xfId="2202" xr:uid="{242CC6DA-7D7D-46F7-9DC8-900C70C4F151}"/>
    <cellStyle name="Vírgula 3 2 2 2 2 2 3 2 2" xfId="2203" xr:uid="{5F4025F6-1ECF-4F47-99BF-8C32878A244B}"/>
    <cellStyle name="Vírgula 3 2 2 2 2 2 3 2 3" xfId="7314" xr:uid="{A861AF1B-5E5A-4920-83F0-B22D0134E9F7}"/>
    <cellStyle name="Vírgula 3 2 2 2 2 2 3 3" xfId="2204" xr:uid="{667E5B54-E7C1-40FF-A462-22BA217C9A4F}"/>
    <cellStyle name="Vírgula 3 2 2 2 2 2 3 4" xfId="7313" xr:uid="{95291F30-684F-4704-BD86-AB07C8702F03}"/>
    <cellStyle name="Vírgula 3 2 2 2 2 2 4" xfId="2205" xr:uid="{E03F0C48-064E-4222-9430-C745BFD6F5EE}"/>
    <cellStyle name="Vírgula 3 2 2 2 2 2 4 2" xfId="2206" xr:uid="{75D6988C-9265-4B5D-AFA4-52E3D8E323FA}"/>
    <cellStyle name="Vírgula 3 2 2 2 2 2 4 3" xfId="7315" xr:uid="{1A960B44-E3C6-49A3-953C-3A69F9A876A9}"/>
    <cellStyle name="Vírgula 3 2 2 2 2 2 5" xfId="2207" xr:uid="{494EF0D2-6B91-40C0-BA7F-E9EA479280A8}"/>
    <cellStyle name="Vírgula 3 2 2 2 2 2 6" xfId="7310" xr:uid="{627CE405-41D0-438A-B4C3-B87D6C090756}"/>
    <cellStyle name="Vírgula 3 2 2 2 2 3" xfId="2208" xr:uid="{1D773906-CA09-46D1-B94F-6B11ECC47E7B}"/>
    <cellStyle name="Vírgula 3 2 2 2 2 3 2" xfId="2209" xr:uid="{A82E3F23-15D1-4F8E-9735-D8189CDA1F0E}"/>
    <cellStyle name="Vírgula 3 2 2 2 2 3 2 2" xfId="2210" xr:uid="{F093E144-AC4E-487F-A73D-C7DB6D651C15}"/>
    <cellStyle name="Vírgula 3 2 2 2 2 3 2 3" xfId="7317" xr:uid="{0EF3032D-180F-4F43-8617-3409BE3FA8EB}"/>
    <cellStyle name="Vírgula 3 2 2 2 2 3 3" xfId="2211" xr:uid="{559A6B22-599A-414B-9473-59F6088E38D0}"/>
    <cellStyle name="Vírgula 3 2 2 2 2 3 4" xfId="7316" xr:uid="{941B0BDB-3CA0-4D91-8729-107D10B5372C}"/>
    <cellStyle name="Vírgula 3 2 2 2 2 4" xfId="2212" xr:uid="{C852947D-F40C-48F7-A72A-C63995B5A68C}"/>
    <cellStyle name="Vírgula 3 2 2 2 2 4 2" xfId="2213" xr:uid="{257B1000-77F8-4B09-B2D1-95E8C5EBB537}"/>
    <cellStyle name="Vírgula 3 2 2 2 2 4 2 2" xfId="2214" xr:uid="{FBC459EE-569E-47B3-8F10-520D69EBCFE9}"/>
    <cellStyle name="Vírgula 3 2 2 2 2 4 2 3" xfId="7319" xr:uid="{F78ED5E8-BBFA-4A9D-8740-6DB8D330244C}"/>
    <cellStyle name="Vírgula 3 2 2 2 2 4 3" xfId="2215" xr:uid="{4946CB64-A45F-47C0-B7E4-ED0B05B26EBC}"/>
    <cellStyle name="Vírgula 3 2 2 2 2 4 4" xfId="7318" xr:uid="{A80586A1-ACC2-4EC7-9478-7E7C9ADB2662}"/>
    <cellStyle name="Vírgula 3 2 2 2 2 5" xfId="2216" xr:uid="{6514A1D3-BA84-41D7-B092-A2D90B40F2A5}"/>
    <cellStyle name="Vírgula 3 2 2 2 2 5 2" xfId="2217" xr:uid="{C9C69858-58CE-4526-A571-9E1A48A2870E}"/>
    <cellStyle name="Vírgula 3 2 2 2 2 5 3" xfId="7320" xr:uid="{CDDCF9AF-0272-4888-9763-A0FEBC608401}"/>
    <cellStyle name="Vírgula 3 2 2 2 2 6" xfId="2218" xr:uid="{2133530B-49B0-4DB5-9F56-876BA58A2A37}"/>
    <cellStyle name="Vírgula 3 2 2 2 2 7" xfId="7309" xr:uid="{B0BF73F7-81DA-48AB-A3CB-5A72A80DF02E}"/>
    <cellStyle name="Vírgula 3 2 2 2 3" xfId="2219" xr:uid="{F7AF9B47-3317-4928-950C-3DCB232B9354}"/>
    <cellStyle name="Vírgula 3 2 2 2 3 2" xfId="2220" xr:uid="{B44B7E39-B6FA-468B-9CB1-EF70D63F6F41}"/>
    <cellStyle name="Vírgula 3 2 2 2 3 2 2" xfId="2221" xr:uid="{515F406F-6D28-4D25-9CF3-A43CC223D988}"/>
    <cellStyle name="Vírgula 3 2 2 2 3 2 2 2" xfId="2222" xr:uid="{AB431F44-8DE5-41E2-8EB3-AA0D343D0F70}"/>
    <cellStyle name="Vírgula 3 2 2 2 3 2 2 2 2" xfId="2223" xr:uid="{8CF2BBF7-F14B-4D70-BD7A-CE863016A6AD}"/>
    <cellStyle name="Vírgula 3 2 2 2 3 2 2 2 3" xfId="7324" xr:uid="{11705211-7439-410A-9D66-4616C0821ED3}"/>
    <cellStyle name="Vírgula 3 2 2 2 3 2 2 3" xfId="2224" xr:uid="{6267F9C6-0886-4148-B061-1F5025862B43}"/>
    <cellStyle name="Vírgula 3 2 2 2 3 2 2 4" xfId="7323" xr:uid="{DC4328AF-9FFF-40EA-AA09-77D7A3BF1F14}"/>
    <cellStyle name="Vírgula 3 2 2 2 3 2 3" xfId="2225" xr:uid="{7C706E48-365C-4835-B63D-4A31DB341576}"/>
    <cellStyle name="Vírgula 3 2 2 2 3 2 3 2" xfId="2226" xr:uid="{BF21C27B-052C-4AC2-AD3D-840B7071F46F}"/>
    <cellStyle name="Vírgula 3 2 2 2 3 2 3 2 2" xfId="2227" xr:uid="{FD1DF5B4-1DAC-4254-856A-99D1DCA2D18F}"/>
    <cellStyle name="Vírgula 3 2 2 2 3 2 3 2 3" xfId="7326" xr:uid="{085B6EC0-94C1-4F23-95EF-49187B699BD2}"/>
    <cellStyle name="Vírgula 3 2 2 2 3 2 3 3" xfId="2228" xr:uid="{31AB80FA-25D9-4CB9-A8DA-BF6FC7EFE062}"/>
    <cellStyle name="Vírgula 3 2 2 2 3 2 3 4" xfId="7325" xr:uid="{3B1DB79D-72CB-4A8D-B53D-86C80CC184CB}"/>
    <cellStyle name="Vírgula 3 2 2 2 3 2 4" xfId="2229" xr:uid="{842AF830-4EF7-4963-A520-42C5F3699350}"/>
    <cellStyle name="Vírgula 3 2 2 2 3 2 4 2" xfId="2230" xr:uid="{75923F1C-739B-4D1D-8956-5486D200672B}"/>
    <cellStyle name="Vírgula 3 2 2 2 3 2 4 3" xfId="7327" xr:uid="{B70FBD45-0A07-4839-9E2E-2123DCA2C012}"/>
    <cellStyle name="Vírgula 3 2 2 2 3 2 5" xfId="2231" xr:uid="{F0863E28-A8CF-46CF-B0DC-DB17CE83818D}"/>
    <cellStyle name="Vírgula 3 2 2 2 3 2 6" xfId="7322" xr:uid="{F7746334-341D-4E12-A0FE-06A31805C0F0}"/>
    <cellStyle name="Vírgula 3 2 2 2 3 3" xfId="2232" xr:uid="{7019D540-D770-4157-8330-A4118C5EA95A}"/>
    <cellStyle name="Vírgula 3 2 2 2 3 3 2" xfId="2233" xr:uid="{315D0583-CCE8-4389-BD92-5CFE9C0122CE}"/>
    <cellStyle name="Vírgula 3 2 2 2 3 3 2 2" xfId="2234" xr:uid="{D0C15FF9-7646-4160-9EEE-6FBB623F67CE}"/>
    <cellStyle name="Vírgula 3 2 2 2 3 3 2 3" xfId="7329" xr:uid="{7C74FEA0-BF03-4994-9510-9354A6DDFD02}"/>
    <cellStyle name="Vírgula 3 2 2 2 3 3 3" xfId="2235" xr:uid="{AACF234F-6655-425C-9CE4-50E61FC59FE3}"/>
    <cellStyle name="Vírgula 3 2 2 2 3 3 4" xfId="7328" xr:uid="{4370AAEC-0C41-47D4-BBFD-5C52B87A43D4}"/>
    <cellStyle name="Vírgula 3 2 2 2 3 4" xfId="2236" xr:uid="{56639B93-E60B-46CB-B428-72557EEC39CD}"/>
    <cellStyle name="Vírgula 3 2 2 2 3 4 2" xfId="2237" xr:uid="{9FD25F4C-6C4B-46C3-BFD9-4B7A474624D0}"/>
    <cellStyle name="Vírgula 3 2 2 2 3 4 2 2" xfId="2238" xr:uid="{E0D8BA8B-8713-403A-8668-3D52B182A1A3}"/>
    <cellStyle name="Vírgula 3 2 2 2 3 4 2 3" xfId="7331" xr:uid="{0858FC73-0A99-41F7-BCC6-5CD9961C3B4B}"/>
    <cellStyle name="Vírgula 3 2 2 2 3 4 3" xfId="2239" xr:uid="{C9F90578-0525-47AB-993C-82A0257516FA}"/>
    <cellStyle name="Vírgula 3 2 2 2 3 4 4" xfId="7330" xr:uid="{976582BB-6283-43CA-A1AC-398E155FA3C4}"/>
    <cellStyle name="Vírgula 3 2 2 2 3 5" xfId="2240" xr:uid="{F5490B19-8312-4666-8D28-F49CE153E2AA}"/>
    <cellStyle name="Vírgula 3 2 2 2 3 5 2" xfId="2241" xr:uid="{AA14C959-503C-4407-84CC-4AAA786E1569}"/>
    <cellStyle name="Vírgula 3 2 2 2 3 5 3" xfId="7332" xr:uid="{F0BE7C69-5038-4DC8-B43D-57016A2094CE}"/>
    <cellStyle name="Vírgula 3 2 2 2 3 6" xfId="2242" xr:uid="{732F4030-F53A-4CA2-8AD7-79011D700478}"/>
    <cellStyle name="Vírgula 3 2 2 2 3 7" xfId="7321" xr:uid="{6FBBBC4D-B211-4D50-8BA4-DAD5B8D16816}"/>
    <cellStyle name="Vírgula 3 2 2 2 4" xfId="2243" xr:uid="{7EC88200-5647-43E5-A763-228F72FEB37A}"/>
    <cellStyle name="Vírgula 3 2 2 2 4 2" xfId="2244" xr:uid="{E99DCDA3-8624-49F9-91A8-9F8DAC3EBAFA}"/>
    <cellStyle name="Vírgula 3 2 2 2 4 2 2" xfId="2245" xr:uid="{985068A8-A153-4849-A766-23CAB20B0F94}"/>
    <cellStyle name="Vírgula 3 2 2 2 4 2 2 2" xfId="2246" xr:uid="{391B92DD-48A9-42DF-8185-9CD71EE49B7B}"/>
    <cellStyle name="Vírgula 3 2 2 2 4 2 2 3" xfId="7335" xr:uid="{2A6E2E72-CBC0-4658-9498-9EA7204405BF}"/>
    <cellStyle name="Vírgula 3 2 2 2 4 2 3" xfId="2247" xr:uid="{0BF1F690-52C1-4C70-9728-F70AD6D08BDB}"/>
    <cellStyle name="Vírgula 3 2 2 2 4 2 4" xfId="7334" xr:uid="{4A22DE3C-5B52-4BF8-A51D-4ADDD1E34DEA}"/>
    <cellStyle name="Vírgula 3 2 2 2 4 3" xfId="2248" xr:uid="{60EE8FB3-CB41-4E71-AEFD-996FED367F3D}"/>
    <cellStyle name="Vírgula 3 2 2 2 4 3 2" xfId="2249" xr:uid="{6F4B7711-0995-4C34-A00A-746B4F99090F}"/>
    <cellStyle name="Vírgula 3 2 2 2 4 3 2 2" xfId="2250" xr:uid="{2708884E-D06F-4F76-8220-4159FF0BE323}"/>
    <cellStyle name="Vírgula 3 2 2 2 4 3 2 3" xfId="7337" xr:uid="{4ED642A3-3B35-454F-A707-551EA4C10B25}"/>
    <cellStyle name="Vírgula 3 2 2 2 4 3 3" xfId="2251" xr:uid="{03C5867A-DF6D-401A-9095-3B1A1AC5EB2F}"/>
    <cellStyle name="Vírgula 3 2 2 2 4 3 4" xfId="7336" xr:uid="{93EF9BDB-61C2-4910-97C9-22115AF1FC86}"/>
    <cellStyle name="Vírgula 3 2 2 2 4 4" xfId="2252" xr:uid="{98463AE6-BA8F-4C96-9D4F-56FA98960C04}"/>
    <cellStyle name="Vírgula 3 2 2 2 4 4 2" xfId="2253" xr:uid="{B01049B5-4633-4C1C-93E6-0AF4DD3633BC}"/>
    <cellStyle name="Vírgula 3 2 2 2 4 4 3" xfId="7338" xr:uid="{863C305D-3AD1-49C9-99CD-5A825EEFA8E4}"/>
    <cellStyle name="Vírgula 3 2 2 2 4 5" xfId="2254" xr:uid="{11C21881-FC11-470B-9A3F-17642B265483}"/>
    <cellStyle name="Vírgula 3 2 2 2 4 6" xfId="7333" xr:uid="{6FCDCB57-B492-4F69-A63B-6632F0590B0F}"/>
    <cellStyle name="Vírgula 3 2 2 2 5" xfId="2255" xr:uid="{8891C3C3-4008-4B44-953D-D142A5CFD530}"/>
    <cellStyle name="Vírgula 3 2 2 2 5 2" xfId="2256" xr:uid="{C6634991-2AFC-41E2-932C-449F8B297B47}"/>
    <cellStyle name="Vírgula 3 2 2 2 5 2 2" xfId="2257" xr:uid="{8FF623E6-7271-4A61-8563-C7CE5A1D4E66}"/>
    <cellStyle name="Vírgula 3 2 2 2 5 2 3" xfId="7340" xr:uid="{4FCA4151-E9E5-410C-8098-EC480C1E1400}"/>
    <cellStyle name="Vírgula 3 2 2 2 5 3" xfId="2258" xr:uid="{ED309382-9F4A-4BBE-B994-191439482662}"/>
    <cellStyle name="Vírgula 3 2 2 2 5 4" xfId="7339" xr:uid="{BAC26036-D2EA-4418-B8CF-90984F59AECD}"/>
    <cellStyle name="Vírgula 3 2 2 2 6" xfId="2259" xr:uid="{BD24FB2E-6DB6-4070-9891-CF17D04A421D}"/>
    <cellStyle name="Vírgula 3 2 2 2 6 2" xfId="2260" xr:uid="{1FA66F60-DD5F-49D5-8129-58CE7E28BEEA}"/>
    <cellStyle name="Vírgula 3 2 2 2 6 2 2" xfId="2261" xr:uid="{02655C7D-D0A5-47A5-A0F8-FBADFBF38841}"/>
    <cellStyle name="Vírgula 3 2 2 2 6 2 3" xfId="7342" xr:uid="{EF181BCC-F4B5-4CA3-8878-B1AF1900565B}"/>
    <cellStyle name="Vírgula 3 2 2 2 6 3" xfId="2262" xr:uid="{7D51A420-A11B-48E4-9FB7-82BD901417FD}"/>
    <cellStyle name="Vírgula 3 2 2 2 6 4" xfId="7341" xr:uid="{E37FAAE4-F532-4037-A10D-AA51F6C7169B}"/>
    <cellStyle name="Vírgula 3 2 2 2 7" xfId="2263" xr:uid="{8A390A3B-3C0C-46CA-B024-E69EF2B1D87E}"/>
    <cellStyle name="Vírgula 3 2 2 2 7 2" xfId="2264" xr:uid="{776E655C-8B76-45E5-80A8-3AB6B983D926}"/>
    <cellStyle name="Vírgula 3 2 2 2 7 3" xfId="7343" xr:uid="{6B262D8E-6BB9-4BC9-A2CB-698A171430A7}"/>
    <cellStyle name="Vírgula 3 2 2 2 8" xfId="2265" xr:uid="{213BDCC1-3B71-43FF-9C59-2A7E9BC660DB}"/>
    <cellStyle name="Vírgula 3 2 2 2 9" xfId="7308" xr:uid="{93B0662D-4080-41D6-9007-EDF3E37C48ED}"/>
    <cellStyle name="Vírgula 3 2 2 3" xfId="2266" xr:uid="{B2B77A3B-7C76-4D58-8CDA-732502BFD061}"/>
    <cellStyle name="Vírgula 3 2 2 3 2" xfId="2267" xr:uid="{5E347F7C-471A-49E6-A1A2-24915CEB54AA}"/>
    <cellStyle name="Vírgula 3 2 2 3 2 2" xfId="2268" xr:uid="{9E11C5DA-AA8D-4A0B-A146-CEC1A29E6101}"/>
    <cellStyle name="Vírgula 3 2 2 3 2 2 2" xfId="2269" xr:uid="{BFE8D2C5-3BDF-4F79-9BCF-298FA743D5F9}"/>
    <cellStyle name="Vírgula 3 2 2 3 2 2 2 2" xfId="2270" xr:uid="{5DE6936D-5D6D-4DF4-9974-98EDF7F172D3}"/>
    <cellStyle name="Vírgula 3 2 2 3 2 2 2 2 2" xfId="2271" xr:uid="{BD72FA89-BC64-4696-8A55-22455FD142D6}"/>
    <cellStyle name="Vírgula 3 2 2 3 2 2 2 2 3" xfId="7348" xr:uid="{77AF8B34-84D2-4E22-9285-6E0C15D9227B}"/>
    <cellStyle name="Vírgula 3 2 2 3 2 2 2 3" xfId="2272" xr:uid="{41523648-AA77-48EB-993E-AC0F72331EA0}"/>
    <cellStyle name="Vírgula 3 2 2 3 2 2 2 4" xfId="7347" xr:uid="{D6E10382-A12A-4003-9465-437F19D9C165}"/>
    <cellStyle name="Vírgula 3 2 2 3 2 2 3" xfId="2273" xr:uid="{1BC5ECFC-C250-46DF-93A6-E7DDE5B5ABD2}"/>
    <cellStyle name="Vírgula 3 2 2 3 2 2 3 2" xfId="2274" xr:uid="{7364BADD-069E-437A-BF0E-2B1D4514C146}"/>
    <cellStyle name="Vírgula 3 2 2 3 2 2 3 2 2" xfId="2275" xr:uid="{06B04FF5-1499-4C2C-BA9C-45A44C06D50D}"/>
    <cellStyle name="Vírgula 3 2 2 3 2 2 3 2 3" xfId="7350" xr:uid="{181BFD2D-2BE0-4C69-A8EF-C2AE1B62AA8D}"/>
    <cellStyle name="Vírgula 3 2 2 3 2 2 3 3" xfId="2276" xr:uid="{90DE8B22-9EE3-4925-8765-99EC12BF0115}"/>
    <cellStyle name="Vírgula 3 2 2 3 2 2 3 4" xfId="7349" xr:uid="{1A7EC9BC-F1CF-4BF2-B377-80FDEF1A6D71}"/>
    <cellStyle name="Vírgula 3 2 2 3 2 2 4" xfId="2277" xr:uid="{5059F825-B8DF-4EE8-88A9-16049223B571}"/>
    <cellStyle name="Vírgula 3 2 2 3 2 2 4 2" xfId="2278" xr:uid="{CF756004-0128-4903-A54F-30195D90E8CC}"/>
    <cellStyle name="Vírgula 3 2 2 3 2 2 4 3" xfId="7351" xr:uid="{C94EBF94-8BE0-426C-AC92-B69433E81C25}"/>
    <cellStyle name="Vírgula 3 2 2 3 2 2 5" xfId="2279" xr:uid="{8896B88A-F78B-4FF9-949D-20150F052647}"/>
    <cellStyle name="Vírgula 3 2 2 3 2 2 6" xfId="7346" xr:uid="{56B8DD40-BC55-43C6-A5CF-97E601A0795A}"/>
    <cellStyle name="Vírgula 3 2 2 3 2 3" xfId="2280" xr:uid="{88FC6CF2-2852-4C63-8DF2-8557023E0553}"/>
    <cellStyle name="Vírgula 3 2 2 3 2 3 2" xfId="2281" xr:uid="{B36841F0-67B2-462F-95F8-05AFA4928883}"/>
    <cellStyle name="Vírgula 3 2 2 3 2 3 2 2" xfId="2282" xr:uid="{42BBAD14-7CAB-492C-BF59-27AF294251F9}"/>
    <cellStyle name="Vírgula 3 2 2 3 2 3 2 3" xfId="7353" xr:uid="{6BCAB9C1-19DF-42E2-A800-0B97731DFC0E}"/>
    <cellStyle name="Vírgula 3 2 2 3 2 3 3" xfId="2283" xr:uid="{62BDBB3C-06F9-4A52-A2CC-C18522422EE0}"/>
    <cellStyle name="Vírgula 3 2 2 3 2 3 4" xfId="7352" xr:uid="{2194BD85-71CC-4952-9BFE-10FD2F21FF82}"/>
    <cellStyle name="Vírgula 3 2 2 3 2 4" xfId="2284" xr:uid="{76182C5F-35A4-410B-AE19-091615E2D224}"/>
    <cellStyle name="Vírgula 3 2 2 3 2 4 2" xfId="2285" xr:uid="{D8CBA6A6-A78E-43A4-ABBB-FFD5EC347D07}"/>
    <cellStyle name="Vírgula 3 2 2 3 2 4 2 2" xfId="2286" xr:uid="{D1E2115E-4B6E-4F11-8237-E401EBA6FC7E}"/>
    <cellStyle name="Vírgula 3 2 2 3 2 4 2 3" xfId="7355" xr:uid="{CFE7A6DB-047A-439E-A0B5-46BD647E622C}"/>
    <cellStyle name="Vírgula 3 2 2 3 2 4 3" xfId="2287" xr:uid="{3B756DC1-D12E-40F7-9A04-8A5DC188AB8B}"/>
    <cellStyle name="Vírgula 3 2 2 3 2 4 4" xfId="7354" xr:uid="{6AE32B92-44ED-43B6-8D6F-6765F8BE0F72}"/>
    <cellStyle name="Vírgula 3 2 2 3 2 5" xfId="2288" xr:uid="{1C4389E8-B6AE-468E-BBEE-D637D32A0ED4}"/>
    <cellStyle name="Vírgula 3 2 2 3 2 5 2" xfId="2289" xr:uid="{AE3091B1-72F3-4B61-8A74-3A4D5D5CB3B8}"/>
    <cellStyle name="Vírgula 3 2 2 3 2 5 3" xfId="7356" xr:uid="{43F26608-17E3-494E-908F-F0B276CF6022}"/>
    <cellStyle name="Vírgula 3 2 2 3 2 6" xfId="2290" xr:uid="{4C753127-0BF2-43AE-817A-200F5F8598E2}"/>
    <cellStyle name="Vírgula 3 2 2 3 2 7" xfId="7345" xr:uid="{20EBD95D-D20F-48AE-9F27-0099B58D261A}"/>
    <cellStyle name="Vírgula 3 2 2 3 3" xfId="2291" xr:uid="{FF764B3F-DCFC-4A7A-B213-F789CDFE9F41}"/>
    <cellStyle name="Vírgula 3 2 2 3 3 2" xfId="2292" xr:uid="{10BB300B-6D31-4015-8E78-5A00B146C45E}"/>
    <cellStyle name="Vírgula 3 2 2 3 3 2 2" xfId="2293" xr:uid="{0E7F197E-2158-41B9-80C9-2048FB8D5487}"/>
    <cellStyle name="Vírgula 3 2 2 3 3 2 2 2" xfId="2294" xr:uid="{2D2BDE9B-92C5-474C-AEEC-60E5FEA7195A}"/>
    <cellStyle name="Vírgula 3 2 2 3 3 2 2 2 2" xfId="2295" xr:uid="{04DC1FFE-11B1-40DD-BB06-B6CA8916B5FB}"/>
    <cellStyle name="Vírgula 3 2 2 3 3 2 2 2 3" xfId="7360" xr:uid="{57CAFEC6-5BDC-48B4-9E54-D1032B539882}"/>
    <cellStyle name="Vírgula 3 2 2 3 3 2 2 3" xfId="2296" xr:uid="{27C0E200-2629-42C8-BC41-EBE5DFF3EFF1}"/>
    <cellStyle name="Vírgula 3 2 2 3 3 2 2 4" xfId="7359" xr:uid="{6F2A8701-C907-4655-A1D0-6283A9A2C2D8}"/>
    <cellStyle name="Vírgula 3 2 2 3 3 2 3" xfId="2297" xr:uid="{D225D79E-8995-4678-B734-0C709B4C9725}"/>
    <cellStyle name="Vírgula 3 2 2 3 3 2 3 2" xfId="2298" xr:uid="{F1CFA418-0FA2-4DAD-8D10-1AE199B92227}"/>
    <cellStyle name="Vírgula 3 2 2 3 3 2 3 2 2" xfId="2299" xr:uid="{F6C21297-3343-4A15-9787-60E06933FBF9}"/>
    <cellStyle name="Vírgula 3 2 2 3 3 2 3 2 3" xfId="7362" xr:uid="{78C138AE-3A5C-4F4B-B826-C7DA33820F09}"/>
    <cellStyle name="Vírgula 3 2 2 3 3 2 3 3" xfId="2300" xr:uid="{CAEB43E7-D687-4262-89B6-93B84EA3682F}"/>
    <cellStyle name="Vírgula 3 2 2 3 3 2 3 4" xfId="7361" xr:uid="{73ED43CD-72EA-46F1-9E58-CA24FF8D1EE8}"/>
    <cellStyle name="Vírgula 3 2 2 3 3 2 4" xfId="2301" xr:uid="{5454B727-5C42-47F1-B141-7EE9BAC5BBC4}"/>
    <cellStyle name="Vírgula 3 2 2 3 3 2 4 2" xfId="2302" xr:uid="{955ACB36-0B2C-4E8C-806D-2C4AE918E046}"/>
    <cellStyle name="Vírgula 3 2 2 3 3 2 4 3" xfId="7363" xr:uid="{AA76583C-6AD3-4CE0-B465-B8AA6F2D0CEA}"/>
    <cellStyle name="Vírgula 3 2 2 3 3 2 5" xfId="2303" xr:uid="{3C1706AF-8922-4E34-BD76-8F25D4BDCB8D}"/>
    <cellStyle name="Vírgula 3 2 2 3 3 2 6" xfId="7358" xr:uid="{BA315703-9AD8-4690-AD07-388A94C3526A}"/>
    <cellStyle name="Vírgula 3 2 2 3 3 3" xfId="2304" xr:uid="{95F29B4E-0EF1-4CA0-8EF8-761E4813C530}"/>
    <cellStyle name="Vírgula 3 2 2 3 3 3 2" xfId="2305" xr:uid="{4349A173-D25F-4A72-AD6F-37A072EA4BFD}"/>
    <cellStyle name="Vírgula 3 2 2 3 3 3 2 2" xfId="2306" xr:uid="{EDF4603F-04D8-428F-9F5C-4413CF99BB92}"/>
    <cellStyle name="Vírgula 3 2 2 3 3 3 2 3" xfId="7365" xr:uid="{03671650-48E0-4EB5-BBAC-1C018993F5BC}"/>
    <cellStyle name="Vírgula 3 2 2 3 3 3 3" xfId="2307" xr:uid="{8B5D6A20-CF76-4BBC-BB5F-88E376F81568}"/>
    <cellStyle name="Vírgula 3 2 2 3 3 3 4" xfId="7364" xr:uid="{9CB3B3CB-2B63-4795-B72E-5EE395D967C8}"/>
    <cellStyle name="Vírgula 3 2 2 3 3 4" xfId="2308" xr:uid="{35D5F93B-3395-4C9E-B597-F2AB3E37B068}"/>
    <cellStyle name="Vírgula 3 2 2 3 3 4 2" xfId="2309" xr:uid="{25B4BFEB-4DCB-4344-83ED-3CF2A5AA8F67}"/>
    <cellStyle name="Vírgula 3 2 2 3 3 4 2 2" xfId="2310" xr:uid="{51F1AC95-0B52-4DC6-ACEF-7D2FD141BEE8}"/>
    <cellStyle name="Vírgula 3 2 2 3 3 4 2 3" xfId="7367" xr:uid="{21157E36-A64D-4C73-8C01-78F9A2360383}"/>
    <cellStyle name="Vírgula 3 2 2 3 3 4 3" xfId="2311" xr:uid="{9E43B9E4-13B6-476B-ABE3-4BC183BB95DB}"/>
    <cellStyle name="Vírgula 3 2 2 3 3 4 4" xfId="7366" xr:uid="{2D453779-DF6F-4988-972C-1AC7BE7542A7}"/>
    <cellStyle name="Vírgula 3 2 2 3 3 5" xfId="2312" xr:uid="{BE1A8256-8C28-4F1D-8D05-A5F7A36736A9}"/>
    <cellStyle name="Vírgula 3 2 2 3 3 5 2" xfId="2313" xr:uid="{C8EEFF09-0466-4165-A271-5CFD2326B09E}"/>
    <cellStyle name="Vírgula 3 2 2 3 3 5 3" xfId="7368" xr:uid="{F5801EF8-984D-4017-97BA-108420B5C0F9}"/>
    <cellStyle name="Vírgula 3 2 2 3 3 6" xfId="2314" xr:uid="{34B0D3AF-0670-43EA-91DB-CA3DF7359D98}"/>
    <cellStyle name="Vírgula 3 2 2 3 3 7" xfId="7357" xr:uid="{77286E0D-0166-4AE5-A9C4-AAE6FBA2F758}"/>
    <cellStyle name="Vírgula 3 2 2 3 4" xfId="2315" xr:uid="{4FA66D37-7422-4984-8D7C-D8EA6E62B649}"/>
    <cellStyle name="Vírgula 3 2 2 3 4 2" xfId="2316" xr:uid="{9F9CFBDC-74CE-4FE2-A66B-C6F13AD0C9A5}"/>
    <cellStyle name="Vírgula 3 2 2 3 4 2 2" xfId="2317" xr:uid="{36C61244-963B-4D5A-9615-89786DF6837F}"/>
    <cellStyle name="Vírgula 3 2 2 3 4 2 2 2" xfId="2318" xr:uid="{50A41047-EF61-4D38-8433-2DD1ED6CD7B5}"/>
    <cellStyle name="Vírgula 3 2 2 3 4 2 2 3" xfId="7371" xr:uid="{9220A9C3-8553-4EF4-8D8F-90A83B4463C7}"/>
    <cellStyle name="Vírgula 3 2 2 3 4 2 3" xfId="2319" xr:uid="{D5AC2B60-7C31-4C64-8E1B-011CBDAACF91}"/>
    <cellStyle name="Vírgula 3 2 2 3 4 2 4" xfId="7370" xr:uid="{543BD0E8-782D-41E3-91DE-91C5CEAE2E06}"/>
    <cellStyle name="Vírgula 3 2 2 3 4 3" xfId="2320" xr:uid="{97FA18FE-4F72-4DBD-930D-70B44851FFC5}"/>
    <cellStyle name="Vírgula 3 2 2 3 4 3 2" xfId="2321" xr:uid="{D66FDAC5-8C90-4F4E-9C94-913C82249C83}"/>
    <cellStyle name="Vírgula 3 2 2 3 4 3 2 2" xfId="2322" xr:uid="{7BC41FFF-F002-4E27-9267-43162D2A9354}"/>
    <cellStyle name="Vírgula 3 2 2 3 4 3 2 3" xfId="7373" xr:uid="{A5D759D0-66B4-4FD1-9E55-A4015BD468E8}"/>
    <cellStyle name="Vírgula 3 2 2 3 4 3 3" xfId="2323" xr:uid="{42F802CB-2D93-4758-9737-35F4FD2E3B07}"/>
    <cellStyle name="Vírgula 3 2 2 3 4 3 4" xfId="7372" xr:uid="{D4141EF0-A726-4B5B-AB1B-E3BCC2D7688E}"/>
    <cellStyle name="Vírgula 3 2 2 3 4 4" xfId="2324" xr:uid="{742DAE3D-3BFE-4B1E-A733-D2F9C63F8221}"/>
    <cellStyle name="Vírgula 3 2 2 3 4 4 2" xfId="2325" xr:uid="{9EAC63EA-A9D5-4E13-8332-BB2D1B5C06A6}"/>
    <cellStyle name="Vírgula 3 2 2 3 4 4 3" xfId="7374" xr:uid="{80615C2A-241F-4CB5-98B0-3248393C3A3F}"/>
    <cellStyle name="Vírgula 3 2 2 3 4 5" xfId="2326" xr:uid="{4B4F3E9D-4D20-40CF-9D83-3E4501E30386}"/>
    <cellStyle name="Vírgula 3 2 2 3 4 6" xfId="7369" xr:uid="{E5F78F12-2D7E-4C76-BE34-033729BD14C5}"/>
    <cellStyle name="Vírgula 3 2 2 3 5" xfId="2327" xr:uid="{2CA035BB-7948-4537-A99F-A41F4B2486E7}"/>
    <cellStyle name="Vírgula 3 2 2 3 5 2" xfId="2328" xr:uid="{11707368-4224-459C-B11C-572A7FEB903C}"/>
    <cellStyle name="Vírgula 3 2 2 3 5 2 2" xfId="2329" xr:uid="{EF5FCA02-9ED4-4B8A-8DA1-F3C30E9439FF}"/>
    <cellStyle name="Vírgula 3 2 2 3 5 2 3" xfId="7376" xr:uid="{4D7E3CA3-6C01-4846-8EE2-A914007BA149}"/>
    <cellStyle name="Vírgula 3 2 2 3 5 3" xfId="2330" xr:uid="{FC22962D-8D55-4243-81B5-E991D37ACBFF}"/>
    <cellStyle name="Vírgula 3 2 2 3 5 4" xfId="7375" xr:uid="{7CE062F3-E7E7-40DB-BA2F-C64E47336C3C}"/>
    <cellStyle name="Vírgula 3 2 2 3 6" xfId="2331" xr:uid="{1137285B-DA60-429B-B4DD-F406C82DD648}"/>
    <cellStyle name="Vírgula 3 2 2 3 6 2" xfId="2332" xr:uid="{BCAB3DA5-F784-4733-81CA-37B5F57192EA}"/>
    <cellStyle name="Vírgula 3 2 2 3 6 2 2" xfId="2333" xr:uid="{134532F8-F575-41C9-B42F-DC40B8316FF3}"/>
    <cellStyle name="Vírgula 3 2 2 3 6 2 3" xfId="7378" xr:uid="{8F54F613-7C51-405E-839F-64D10E1A752A}"/>
    <cellStyle name="Vírgula 3 2 2 3 6 3" xfId="2334" xr:uid="{6D0EAF94-1875-49B3-B4BB-9073DC35A539}"/>
    <cellStyle name="Vírgula 3 2 2 3 6 4" xfId="7377" xr:uid="{8025D970-2CB0-4167-9583-8809FD8F7164}"/>
    <cellStyle name="Vírgula 3 2 2 3 7" xfId="2335" xr:uid="{61006AB5-2963-4B26-B931-A1DBB7344394}"/>
    <cellStyle name="Vírgula 3 2 2 3 7 2" xfId="2336" xr:uid="{1EE55907-033C-4B9D-B3EB-14DA2DD4D1DB}"/>
    <cellStyle name="Vírgula 3 2 2 3 7 3" xfId="7379" xr:uid="{0A36626C-BB36-4D38-912D-93A587CDEDAC}"/>
    <cellStyle name="Vírgula 3 2 2 3 8" xfId="2337" xr:uid="{2B1905E3-84E6-463C-B694-EF30E160D1F9}"/>
    <cellStyle name="Vírgula 3 2 2 3 9" xfId="7344" xr:uid="{D7E2059D-9222-4282-9166-C9F0486CF8D3}"/>
    <cellStyle name="Vírgula 3 2 2 4" xfId="2338" xr:uid="{58B3081D-458B-4769-AC87-A8165A552E54}"/>
    <cellStyle name="Vírgula 3 2 2 4 2" xfId="2339" xr:uid="{A68B1D26-9160-4712-B294-560849024608}"/>
    <cellStyle name="Vírgula 3 2 2 4 2 2" xfId="2340" xr:uid="{A6C4C582-6BD7-4902-9496-9D6C3B87B1FB}"/>
    <cellStyle name="Vírgula 3 2 2 4 2 2 2" xfId="2341" xr:uid="{C047E5B8-0551-4F18-AFB4-C0A05DBC7B96}"/>
    <cellStyle name="Vírgula 3 2 2 4 2 2 2 2" xfId="2342" xr:uid="{E2B341B9-D0E7-426A-B475-74E2E370D782}"/>
    <cellStyle name="Vírgula 3 2 2 4 2 2 2 2 2" xfId="2343" xr:uid="{4D2FA4F8-F229-4D26-B277-98C22EDED4CB}"/>
    <cellStyle name="Vírgula 3 2 2 4 2 2 2 2 3" xfId="7384" xr:uid="{FDF298E3-782E-4B96-845D-478C874814EA}"/>
    <cellStyle name="Vírgula 3 2 2 4 2 2 2 3" xfId="2344" xr:uid="{FFFCDE7E-4B4F-4B22-833D-40964AD9995D}"/>
    <cellStyle name="Vírgula 3 2 2 4 2 2 2 4" xfId="7383" xr:uid="{BCA01AA3-D9F7-4925-8EF6-7D7BF363AE13}"/>
    <cellStyle name="Vírgula 3 2 2 4 2 2 3" xfId="2345" xr:uid="{FE3E4252-E9F1-4776-988A-C176FAB5D210}"/>
    <cellStyle name="Vírgula 3 2 2 4 2 2 3 2" xfId="2346" xr:uid="{23BB6184-F909-4D81-BC37-32D8B9B962C5}"/>
    <cellStyle name="Vírgula 3 2 2 4 2 2 3 2 2" xfId="2347" xr:uid="{773B5B7B-4507-4858-9E28-3D020ED954DF}"/>
    <cellStyle name="Vírgula 3 2 2 4 2 2 3 2 3" xfId="7386" xr:uid="{410084F5-F45D-4649-B630-BDAFAC3BA284}"/>
    <cellStyle name="Vírgula 3 2 2 4 2 2 3 3" xfId="2348" xr:uid="{AB25A441-0DE9-426E-B23D-F16B18D0F955}"/>
    <cellStyle name="Vírgula 3 2 2 4 2 2 3 4" xfId="7385" xr:uid="{6E4DCECA-5013-4AF8-8916-FEA30489679B}"/>
    <cellStyle name="Vírgula 3 2 2 4 2 2 4" xfId="2349" xr:uid="{69AF95EE-B278-4B8B-A394-351AA751E04A}"/>
    <cellStyle name="Vírgula 3 2 2 4 2 2 4 2" xfId="2350" xr:uid="{0FB20F78-B561-444F-BF2B-95DE9A0C5474}"/>
    <cellStyle name="Vírgula 3 2 2 4 2 2 4 3" xfId="7387" xr:uid="{8782C283-1065-4DD3-81E4-25E919DFE43A}"/>
    <cellStyle name="Vírgula 3 2 2 4 2 2 5" xfId="2351" xr:uid="{D232EC5E-2CEB-4760-96BE-B3DB6E5D880D}"/>
    <cellStyle name="Vírgula 3 2 2 4 2 2 6" xfId="7382" xr:uid="{AB2F7BDE-9D41-46CB-A2A5-C9EC8CA32E58}"/>
    <cellStyle name="Vírgula 3 2 2 4 2 3" xfId="2352" xr:uid="{3E7BAAE7-E005-4A2F-BFB9-86EA0B186066}"/>
    <cellStyle name="Vírgula 3 2 2 4 2 3 2" xfId="2353" xr:uid="{B80E1788-9180-415A-AE33-76F194A0DD42}"/>
    <cellStyle name="Vírgula 3 2 2 4 2 3 2 2" xfId="2354" xr:uid="{4396B712-F0B6-496E-B523-AADCDADADAC8}"/>
    <cellStyle name="Vírgula 3 2 2 4 2 3 2 3" xfId="7389" xr:uid="{5B85AAFE-A4D1-4762-93A9-F987EBE05897}"/>
    <cellStyle name="Vírgula 3 2 2 4 2 3 3" xfId="2355" xr:uid="{E8D05AFD-143B-4779-8BC7-AB5E5CB7F07D}"/>
    <cellStyle name="Vírgula 3 2 2 4 2 3 4" xfId="7388" xr:uid="{4DEC6105-991E-44D8-9BD0-934D0D032B08}"/>
    <cellStyle name="Vírgula 3 2 2 4 2 4" xfId="2356" xr:uid="{96470037-478D-4D9C-952B-A7C4D79FB48D}"/>
    <cellStyle name="Vírgula 3 2 2 4 2 4 2" xfId="2357" xr:uid="{CB54A29E-7D71-445A-AA4E-D1EBF880D2ED}"/>
    <cellStyle name="Vírgula 3 2 2 4 2 4 2 2" xfId="2358" xr:uid="{4B21F2C0-5979-44A6-98F2-DBB11E6B0F66}"/>
    <cellStyle name="Vírgula 3 2 2 4 2 4 2 3" xfId="7391" xr:uid="{7942A5B1-E682-4C60-A041-9406DF284812}"/>
    <cellStyle name="Vírgula 3 2 2 4 2 4 3" xfId="2359" xr:uid="{EBE2A663-7BAA-46EA-888F-8F2F864F66D0}"/>
    <cellStyle name="Vírgula 3 2 2 4 2 4 4" xfId="7390" xr:uid="{093F4D8B-B769-48A9-8D55-855E1639F1FB}"/>
    <cellStyle name="Vírgula 3 2 2 4 2 5" xfId="2360" xr:uid="{4FF5FD59-2C79-42C7-8487-4605700701F3}"/>
    <cellStyle name="Vírgula 3 2 2 4 2 5 2" xfId="2361" xr:uid="{EBC787E8-DEBD-4FD3-8202-DE25E9CCDE56}"/>
    <cellStyle name="Vírgula 3 2 2 4 2 5 3" xfId="7392" xr:uid="{B070293A-B2B7-4C0C-AFD9-CE4C235D4390}"/>
    <cellStyle name="Vírgula 3 2 2 4 2 6" xfId="2362" xr:uid="{C5DAC9EE-5263-4DA9-A2BF-34B52320CD4D}"/>
    <cellStyle name="Vírgula 3 2 2 4 2 7" xfId="7381" xr:uid="{C75F477C-8211-4A02-80FA-81492246C61A}"/>
    <cellStyle name="Vírgula 3 2 2 4 3" xfId="2363" xr:uid="{AEDAEF7F-00A5-4786-BAE9-5A16EA80BC1A}"/>
    <cellStyle name="Vírgula 3 2 2 4 3 2" xfId="2364" xr:uid="{245B23C7-65A3-40CA-A316-CC467909D1BA}"/>
    <cellStyle name="Vírgula 3 2 2 4 3 2 2" xfId="2365" xr:uid="{E9AE7435-C328-481F-BE45-85DFCDF13CA7}"/>
    <cellStyle name="Vírgula 3 2 2 4 3 2 2 2" xfId="2366" xr:uid="{0D5D7CBE-A5F6-46E3-B034-E4FFF1C325BD}"/>
    <cellStyle name="Vírgula 3 2 2 4 3 2 2 2 2" xfId="2367" xr:uid="{C9AF6D3D-AD90-41A9-A9B4-145AB3CBF83B}"/>
    <cellStyle name="Vírgula 3 2 2 4 3 2 2 2 3" xfId="7396" xr:uid="{0E274C80-C642-4633-85F2-1417F44A2400}"/>
    <cellStyle name="Vírgula 3 2 2 4 3 2 2 3" xfId="2368" xr:uid="{E429A6D1-E28A-44FC-BC05-AF462D5D30E6}"/>
    <cellStyle name="Vírgula 3 2 2 4 3 2 2 4" xfId="7395" xr:uid="{4B7DD29A-9F0E-482C-AACE-60273C8455D2}"/>
    <cellStyle name="Vírgula 3 2 2 4 3 2 3" xfId="2369" xr:uid="{E847538E-E114-4902-BA0D-0B92194C3E3C}"/>
    <cellStyle name="Vírgula 3 2 2 4 3 2 3 2" xfId="2370" xr:uid="{59995B00-282A-4F74-9E63-132424913173}"/>
    <cellStyle name="Vírgula 3 2 2 4 3 2 3 2 2" xfId="2371" xr:uid="{B756874F-AC07-42ED-90BA-2BD6F472C340}"/>
    <cellStyle name="Vírgula 3 2 2 4 3 2 3 2 3" xfId="7398" xr:uid="{7E0B49F2-DA4B-4361-997A-924F839676ED}"/>
    <cellStyle name="Vírgula 3 2 2 4 3 2 3 3" xfId="2372" xr:uid="{5063D874-3A5A-41C4-9641-4CEAAE9369EE}"/>
    <cellStyle name="Vírgula 3 2 2 4 3 2 3 4" xfId="7397" xr:uid="{8A79CDA2-41B2-4728-8477-BB31CFEA4593}"/>
    <cellStyle name="Vírgula 3 2 2 4 3 2 4" xfId="2373" xr:uid="{3B11A1D6-E6AA-488C-9178-0D87440AB464}"/>
    <cellStyle name="Vírgula 3 2 2 4 3 2 4 2" xfId="2374" xr:uid="{CBF1010B-9ABB-4497-AA7B-8DEC9C25DEB4}"/>
    <cellStyle name="Vírgula 3 2 2 4 3 2 4 3" xfId="7399" xr:uid="{D65B8692-6220-4BE8-8336-FEDE676989D0}"/>
    <cellStyle name="Vírgula 3 2 2 4 3 2 5" xfId="2375" xr:uid="{C2F18CF3-7ACF-4767-AE5F-DEE34187FD42}"/>
    <cellStyle name="Vírgula 3 2 2 4 3 2 6" xfId="7394" xr:uid="{3BD4A18D-9AD6-4B26-AC20-B245ED29D29E}"/>
    <cellStyle name="Vírgula 3 2 2 4 3 3" xfId="2376" xr:uid="{60D3A6C7-D4B0-4EFF-86BE-8E0DDFB1048D}"/>
    <cellStyle name="Vírgula 3 2 2 4 3 3 2" xfId="2377" xr:uid="{A411EC78-B28C-45BA-8B27-7A407DDBECFD}"/>
    <cellStyle name="Vírgula 3 2 2 4 3 3 2 2" xfId="2378" xr:uid="{D1452AE7-ECE2-4FD2-8DAA-27773DF29478}"/>
    <cellStyle name="Vírgula 3 2 2 4 3 3 2 3" xfId="7401" xr:uid="{7B2316DF-AD6C-470B-B774-B163B99DE9A0}"/>
    <cellStyle name="Vírgula 3 2 2 4 3 3 3" xfId="2379" xr:uid="{289323CB-F939-4C36-8020-A0D28D354263}"/>
    <cellStyle name="Vírgula 3 2 2 4 3 3 4" xfId="7400" xr:uid="{8A026B38-BF33-4D38-AA27-081E4FA60FDB}"/>
    <cellStyle name="Vírgula 3 2 2 4 3 4" xfId="2380" xr:uid="{057EFBD3-0387-4F7C-979A-051DB85167AB}"/>
    <cellStyle name="Vírgula 3 2 2 4 3 4 2" xfId="2381" xr:uid="{8F0E69C6-8CC9-497A-8AF1-E72A0FB20485}"/>
    <cellStyle name="Vírgula 3 2 2 4 3 4 2 2" xfId="2382" xr:uid="{90479B5C-687B-48B3-8919-C1CCDD726B42}"/>
    <cellStyle name="Vírgula 3 2 2 4 3 4 2 3" xfId="7403" xr:uid="{1F1F9E46-768B-430B-B771-CA5DD62B6EE9}"/>
    <cellStyle name="Vírgula 3 2 2 4 3 4 3" xfId="2383" xr:uid="{7F868C7E-BCA3-47BB-9BD2-83F57F86E8D4}"/>
    <cellStyle name="Vírgula 3 2 2 4 3 4 4" xfId="7402" xr:uid="{D1E29A59-0BFE-471C-BDDD-31E028C72139}"/>
    <cellStyle name="Vírgula 3 2 2 4 3 5" xfId="2384" xr:uid="{4BBCB7AD-52E2-4DCA-9F1A-0420E05A0C16}"/>
    <cellStyle name="Vírgula 3 2 2 4 3 5 2" xfId="2385" xr:uid="{47498E6E-6E4C-4DC3-B859-A631687325D8}"/>
    <cellStyle name="Vírgula 3 2 2 4 3 5 3" xfId="7404" xr:uid="{9EE2EAFA-35E9-4B6A-AFA7-7C2DE11E2DA7}"/>
    <cellStyle name="Vírgula 3 2 2 4 3 6" xfId="2386" xr:uid="{EA8C473C-35CD-4C0E-80E7-36D651D50D99}"/>
    <cellStyle name="Vírgula 3 2 2 4 3 7" xfId="7393" xr:uid="{73613C7E-DBAC-4631-9F16-C45BB9CBF23A}"/>
    <cellStyle name="Vírgula 3 2 2 4 4" xfId="2387" xr:uid="{21F118FF-EC74-4DD0-A589-80F667885083}"/>
    <cellStyle name="Vírgula 3 2 2 4 4 2" xfId="2388" xr:uid="{1F025FEE-B769-4B59-9640-AB156E67B6BF}"/>
    <cellStyle name="Vírgula 3 2 2 4 4 2 2" xfId="2389" xr:uid="{E26723BC-C94E-4D61-86A1-98A01A1C8192}"/>
    <cellStyle name="Vírgula 3 2 2 4 4 2 2 2" xfId="2390" xr:uid="{0024C76A-AA21-47DD-81C5-999643AA259A}"/>
    <cellStyle name="Vírgula 3 2 2 4 4 2 2 3" xfId="7407" xr:uid="{DFCF2B6D-B1A3-47D7-8F0A-80018ED09A23}"/>
    <cellStyle name="Vírgula 3 2 2 4 4 2 3" xfId="2391" xr:uid="{3A155EEC-F465-42A1-8297-7D5F25EFAB95}"/>
    <cellStyle name="Vírgula 3 2 2 4 4 2 4" xfId="7406" xr:uid="{8B4A01E8-99CC-43DC-99EE-A03BDA224745}"/>
    <cellStyle name="Vírgula 3 2 2 4 4 3" xfId="2392" xr:uid="{5A444A0C-C587-4AAF-90DA-9317292079EB}"/>
    <cellStyle name="Vírgula 3 2 2 4 4 3 2" xfId="2393" xr:uid="{F3C0466E-F524-4488-AA72-4D8E00B5E864}"/>
    <cellStyle name="Vírgula 3 2 2 4 4 3 2 2" xfId="2394" xr:uid="{F9559F9B-9F74-4956-A976-17237AB95358}"/>
    <cellStyle name="Vírgula 3 2 2 4 4 3 2 3" xfId="7409" xr:uid="{F04AC91A-1D8A-4224-95AF-6C37F22860A2}"/>
    <cellStyle name="Vírgula 3 2 2 4 4 3 3" xfId="2395" xr:uid="{19EF8B1C-AA2F-4691-BFAA-A067ECC958F3}"/>
    <cellStyle name="Vírgula 3 2 2 4 4 3 4" xfId="7408" xr:uid="{B1ED8F8A-231F-48DC-A468-15A95CE2024F}"/>
    <cellStyle name="Vírgula 3 2 2 4 4 4" xfId="2396" xr:uid="{08B9AE48-FC89-45B1-8F56-97CC9E6EE0AE}"/>
    <cellStyle name="Vírgula 3 2 2 4 4 4 2" xfId="2397" xr:uid="{13A18C0A-E998-4627-9023-2063FC706A72}"/>
    <cellStyle name="Vírgula 3 2 2 4 4 4 3" xfId="7410" xr:uid="{117CAF1D-FD85-4940-BD4E-2BEA4A28BA07}"/>
    <cellStyle name="Vírgula 3 2 2 4 4 5" xfId="2398" xr:uid="{A07B25B0-B823-4D63-90FB-1D2CB95AC384}"/>
    <cellStyle name="Vírgula 3 2 2 4 4 6" xfId="7405" xr:uid="{4353363D-7804-4FC1-A498-00E674F6409D}"/>
    <cellStyle name="Vírgula 3 2 2 4 5" xfId="2399" xr:uid="{5D96ECFE-AD01-4E7B-9DFC-8472990BCAD3}"/>
    <cellStyle name="Vírgula 3 2 2 4 5 2" xfId="2400" xr:uid="{FC731E57-10E7-457C-ADAC-DA18E22D76F2}"/>
    <cellStyle name="Vírgula 3 2 2 4 5 2 2" xfId="2401" xr:uid="{BB602B50-B7C2-46C0-8D6B-629CA28F2E25}"/>
    <cellStyle name="Vírgula 3 2 2 4 5 2 3" xfId="7412" xr:uid="{6910F5E7-6DE6-410A-9AE0-198979EFFA32}"/>
    <cellStyle name="Vírgula 3 2 2 4 5 3" xfId="2402" xr:uid="{D7B2065F-2D56-40AE-8418-1A8A49271D89}"/>
    <cellStyle name="Vírgula 3 2 2 4 5 4" xfId="7411" xr:uid="{95174444-DEC1-418F-B85C-F85CA2E92389}"/>
    <cellStyle name="Vírgula 3 2 2 4 6" xfId="2403" xr:uid="{A6C4FFCB-5F8C-4D00-941B-346BE82B3893}"/>
    <cellStyle name="Vírgula 3 2 2 4 6 2" xfId="2404" xr:uid="{B75650A2-040B-4BE2-B622-30B78131B2AA}"/>
    <cellStyle name="Vírgula 3 2 2 4 6 2 2" xfId="2405" xr:uid="{A234E0C1-A4FC-4AE0-9DF8-6AD80B3564D0}"/>
    <cellStyle name="Vírgula 3 2 2 4 6 2 3" xfId="7414" xr:uid="{9B9EA0A3-2737-4A77-9A05-F97F9B192B09}"/>
    <cellStyle name="Vírgula 3 2 2 4 6 3" xfId="2406" xr:uid="{6E948936-BE43-4405-86E4-4E629C1D6C23}"/>
    <cellStyle name="Vírgula 3 2 2 4 6 4" xfId="7413" xr:uid="{616ED7C7-98AE-4BCA-BEA4-651212303B77}"/>
    <cellStyle name="Vírgula 3 2 2 4 7" xfId="2407" xr:uid="{6D9F6DF8-2CCD-48D5-91BF-416EDE926178}"/>
    <cellStyle name="Vírgula 3 2 2 4 7 2" xfId="2408" xr:uid="{BBAC185C-0736-400E-8492-A7038C312A3E}"/>
    <cellStyle name="Vírgula 3 2 2 4 7 3" xfId="7415" xr:uid="{87AD093B-5B77-4AD7-97FB-01C31E4204AA}"/>
    <cellStyle name="Vírgula 3 2 2 4 8" xfId="2409" xr:uid="{AFA7CFDA-C74E-44E2-A9A1-FC69E0FC3F54}"/>
    <cellStyle name="Vírgula 3 2 2 4 9" xfId="7380" xr:uid="{BF7979BA-2F95-4F2A-8C8F-1132EFD895B4}"/>
    <cellStyle name="Vírgula 3 2 2 5" xfId="2410" xr:uid="{A343AB36-9D92-4843-97C4-E2987A53919F}"/>
    <cellStyle name="Vírgula 3 2 2 5 2" xfId="2411" xr:uid="{10B6B8FA-4F50-4A64-A3C9-89E8DDA3A599}"/>
    <cellStyle name="Vírgula 3 2 2 5 2 2" xfId="2412" xr:uid="{E200BD46-2464-4729-B2AE-F661901BBD48}"/>
    <cellStyle name="Vírgula 3 2 2 5 2 2 2" xfId="2413" xr:uid="{3072D8A1-9601-4EB8-8EB7-8AF30EB303AF}"/>
    <cellStyle name="Vírgula 3 2 2 5 2 2 2 2" xfId="2414" xr:uid="{EFE4FD7F-B4BF-414E-A366-4437B2CBAFB9}"/>
    <cellStyle name="Vírgula 3 2 2 5 2 2 2 3" xfId="7419" xr:uid="{B6BE1A96-C9B6-45F4-8F6D-0740E1D4DDEE}"/>
    <cellStyle name="Vírgula 3 2 2 5 2 2 3" xfId="2415" xr:uid="{3D9DF191-4AE6-4DEB-BB71-F336B8E6FD6C}"/>
    <cellStyle name="Vírgula 3 2 2 5 2 2 4" xfId="7418" xr:uid="{D9163329-B0C9-484C-BBBD-037C0F6D881E}"/>
    <cellStyle name="Vírgula 3 2 2 5 2 3" xfId="2416" xr:uid="{C57D0CF7-98CC-4162-9A28-16332D3C1469}"/>
    <cellStyle name="Vírgula 3 2 2 5 2 3 2" xfId="2417" xr:uid="{AAF2D3B0-60C6-48C2-B53E-4F21EFBBDCFE}"/>
    <cellStyle name="Vírgula 3 2 2 5 2 3 2 2" xfId="2418" xr:uid="{2CB4B4BC-B9B6-4CFC-8547-2DA6D0DD98BA}"/>
    <cellStyle name="Vírgula 3 2 2 5 2 3 2 3" xfId="7421" xr:uid="{1D0893AA-BEEA-49BA-B53A-5D399D53859B}"/>
    <cellStyle name="Vírgula 3 2 2 5 2 3 3" xfId="2419" xr:uid="{BD37E2A1-270D-426D-A52B-92CF16734803}"/>
    <cellStyle name="Vírgula 3 2 2 5 2 3 4" xfId="7420" xr:uid="{2F0980AB-4E2B-4ACE-8F10-52DA5B1BEF72}"/>
    <cellStyle name="Vírgula 3 2 2 5 2 4" xfId="2420" xr:uid="{4A0F7A13-A398-45FD-A08C-C057B5093B1A}"/>
    <cellStyle name="Vírgula 3 2 2 5 2 4 2" xfId="2421" xr:uid="{050E24BA-6A12-4760-8DD9-B3FEF6718E9B}"/>
    <cellStyle name="Vírgula 3 2 2 5 2 4 3" xfId="7422" xr:uid="{320A30C4-8447-47D1-A2AD-8D559E08FEA1}"/>
    <cellStyle name="Vírgula 3 2 2 5 2 5" xfId="2422" xr:uid="{2D4B224E-BA0F-4688-8437-D8EA8D9D3804}"/>
    <cellStyle name="Vírgula 3 2 2 5 2 6" xfId="7417" xr:uid="{5B23019B-76A8-4B1A-B840-454CC6181A21}"/>
    <cellStyle name="Vírgula 3 2 2 5 3" xfId="2423" xr:uid="{D8C4A0EF-7829-454E-A380-16CA9B314ADB}"/>
    <cellStyle name="Vírgula 3 2 2 5 3 2" xfId="2424" xr:uid="{BD33EEF0-119B-4A4F-A492-12418E6C0479}"/>
    <cellStyle name="Vírgula 3 2 2 5 3 2 2" xfId="2425" xr:uid="{0B2547DB-7054-4DA5-9425-8888E40085F4}"/>
    <cellStyle name="Vírgula 3 2 2 5 3 2 3" xfId="7424" xr:uid="{054335BF-74F8-4F55-93C3-B6DF292FEBC1}"/>
    <cellStyle name="Vírgula 3 2 2 5 3 3" xfId="2426" xr:uid="{30527353-C082-4F7C-9DDD-89B0BD21C976}"/>
    <cellStyle name="Vírgula 3 2 2 5 3 4" xfId="7423" xr:uid="{1FA47905-2118-4E99-9EE5-45DE4DADDE83}"/>
    <cellStyle name="Vírgula 3 2 2 5 4" xfId="2427" xr:uid="{4D3215F6-4CF0-4446-9376-B0CE444DC071}"/>
    <cellStyle name="Vírgula 3 2 2 5 4 2" xfId="2428" xr:uid="{87ABABB4-D829-45F3-A2B5-95DF80F8624E}"/>
    <cellStyle name="Vírgula 3 2 2 5 4 2 2" xfId="2429" xr:uid="{E61A6928-F619-477F-B3D8-57984B2B9B8F}"/>
    <cellStyle name="Vírgula 3 2 2 5 4 2 3" xfId="7426" xr:uid="{1F14E93F-A2DD-4095-944A-834E1829F524}"/>
    <cellStyle name="Vírgula 3 2 2 5 4 3" xfId="2430" xr:uid="{344F5685-4A09-4D3D-942E-D23AFE982F8E}"/>
    <cellStyle name="Vírgula 3 2 2 5 4 4" xfId="7425" xr:uid="{D168C291-E5AF-402A-B22A-D39CDA280235}"/>
    <cellStyle name="Vírgula 3 2 2 5 5" xfId="2431" xr:uid="{1CDF5191-44C7-488C-B87F-3446D87540F9}"/>
    <cellStyle name="Vírgula 3 2 2 5 5 2" xfId="2432" xr:uid="{F6F09AB3-98E9-4CEE-BC03-04B9FF15CAD5}"/>
    <cellStyle name="Vírgula 3 2 2 5 5 3" xfId="7427" xr:uid="{553A11ED-0C8F-4CFF-8FAD-4DDDE848DB22}"/>
    <cellStyle name="Vírgula 3 2 2 5 6" xfId="2433" xr:uid="{F7A074A3-C996-42E5-B971-5AE968F46E41}"/>
    <cellStyle name="Vírgula 3 2 2 5 7" xfId="7416" xr:uid="{A1B99D9E-EECA-433C-93D7-FC3F42C2CD0D}"/>
    <cellStyle name="Vírgula 3 2 2 6" xfId="2434" xr:uid="{338AB599-2510-4AF2-B73C-559D90936143}"/>
    <cellStyle name="Vírgula 3 2 2 6 2" xfId="2435" xr:uid="{01F59F75-C560-48AB-AB3D-7147FF5956A9}"/>
    <cellStyle name="Vírgula 3 2 2 6 2 2" xfId="2436" xr:uid="{DBA14FB0-BB30-44CF-AD04-5DEA6A799CAC}"/>
    <cellStyle name="Vírgula 3 2 2 6 2 2 2" xfId="2437" xr:uid="{35C75B18-C5DD-4C3A-BC22-03ABF7E709AF}"/>
    <cellStyle name="Vírgula 3 2 2 6 2 2 2 2" xfId="2438" xr:uid="{BF3940BD-0809-4A39-AF7E-45A2210988C1}"/>
    <cellStyle name="Vírgula 3 2 2 6 2 2 2 3" xfId="7431" xr:uid="{CA308480-C0A4-48A9-B093-F46D08683242}"/>
    <cellStyle name="Vírgula 3 2 2 6 2 2 3" xfId="2439" xr:uid="{A6A77D38-56E7-4F48-8A04-AE63E2985863}"/>
    <cellStyle name="Vírgula 3 2 2 6 2 2 4" xfId="7430" xr:uid="{1538B1B1-944E-4496-BE86-73947F47C8E0}"/>
    <cellStyle name="Vírgula 3 2 2 6 2 3" xfId="2440" xr:uid="{45D4E7EF-BE90-4D26-BD97-97CB24502DC3}"/>
    <cellStyle name="Vírgula 3 2 2 6 2 3 2" xfId="2441" xr:uid="{985BB77E-7B1F-44FD-8D2F-63AC35A0D039}"/>
    <cellStyle name="Vírgula 3 2 2 6 2 3 2 2" xfId="2442" xr:uid="{B937840D-FD50-43AA-B1BF-DEA907F2540B}"/>
    <cellStyle name="Vírgula 3 2 2 6 2 3 2 3" xfId="7433" xr:uid="{2353CFCB-2811-49EA-9289-8A5183236A64}"/>
    <cellStyle name="Vírgula 3 2 2 6 2 3 3" xfId="2443" xr:uid="{BDE88E0B-1707-4EB8-96D2-3488E6E50722}"/>
    <cellStyle name="Vírgula 3 2 2 6 2 3 4" xfId="7432" xr:uid="{13B3D9D0-925A-402E-B2C6-E19C5EE59E66}"/>
    <cellStyle name="Vírgula 3 2 2 6 2 4" xfId="2444" xr:uid="{880BCA40-9D33-412B-B000-6FB5396A7362}"/>
    <cellStyle name="Vírgula 3 2 2 6 2 4 2" xfId="2445" xr:uid="{6164322C-3661-408A-B062-B9E67C4D0535}"/>
    <cellStyle name="Vírgula 3 2 2 6 2 4 3" xfId="7434" xr:uid="{38D48BE0-1922-4169-B1FC-3337D1FEFCDF}"/>
    <cellStyle name="Vírgula 3 2 2 6 2 5" xfId="2446" xr:uid="{5F268576-EB54-49EC-B18D-017CE57E5958}"/>
    <cellStyle name="Vírgula 3 2 2 6 2 6" xfId="7429" xr:uid="{5261CFC9-5B1D-451C-AFEA-B0D08E29DE74}"/>
    <cellStyle name="Vírgula 3 2 2 6 3" xfId="2447" xr:uid="{6D8E2892-8FE3-4173-9660-777A6F638B88}"/>
    <cellStyle name="Vírgula 3 2 2 6 3 2" xfId="2448" xr:uid="{B275CEBF-9F98-4D71-94FB-F50D358DAED2}"/>
    <cellStyle name="Vírgula 3 2 2 6 3 2 2" xfId="2449" xr:uid="{F438A943-AA6D-4D75-9323-175A94ACF48E}"/>
    <cellStyle name="Vírgula 3 2 2 6 3 2 3" xfId="7436" xr:uid="{304A5105-AE79-4086-AF64-CCF3D5FB5464}"/>
    <cellStyle name="Vírgula 3 2 2 6 3 3" xfId="2450" xr:uid="{ED8FE71F-3E2D-4958-85A8-FA2069094C9F}"/>
    <cellStyle name="Vírgula 3 2 2 6 3 4" xfId="7435" xr:uid="{11423A25-8051-4340-A068-529FAC6ECA5A}"/>
    <cellStyle name="Vírgula 3 2 2 6 4" xfId="2451" xr:uid="{ECC990F6-D3C9-4A15-85DD-40CA11DA633F}"/>
    <cellStyle name="Vírgula 3 2 2 6 4 2" xfId="2452" xr:uid="{D932FC30-8AE2-4514-9C21-89703B8B805D}"/>
    <cellStyle name="Vírgula 3 2 2 6 4 2 2" xfId="2453" xr:uid="{7FD2C75A-C016-4B66-A089-E4EDDA0310B0}"/>
    <cellStyle name="Vírgula 3 2 2 6 4 2 3" xfId="7438" xr:uid="{645DE42D-0670-4673-965F-8C9AF53BF591}"/>
    <cellStyle name="Vírgula 3 2 2 6 4 3" xfId="2454" xr:uid="{114FAA46-9B73-46FB-B5CB-0655A5852867}"/>
    <cellStyle name="Vírgula 3 2 2 6 4 4" xfId="7437" xr:uid="{866CC94F-5C02-4B1C-810D-2DE28158CDCD}"/>
    <cellStyle name="Vírgula 3 2 2 6 5" xfId="2455" xr:uid="{DF44C166-574A-4515-BEA4-60038DAFAA44}"/>
    <cellStyle name="Vírgula 3 2 2 6 5 2" xfId="2456" xr:uid="{FCDBD0CF-B999-4EBD-8F62-110FEFA7699D}"/>
    <cellStyle name="Vírgula 3 2 2 6 5 3" xfId="7439" xr:uid="{382633C1-8197-49A0-B8BD-0BBAB02595F3}"/>
    <cellStyle name="Vírgula 3 2 2 6 6" xfId="2457" xr:uid="{2B3E5DF9-FB06-46F3-8DC5-B61F40AC6350}"/>
    <cellStyle name="Vírgula 3 2 2 6 7" xfId="7428" xr:uid="{E0E39474-BC4D-4B56-A58A-FA2744D1811E}"/>
    <cellStyle name="Vírgula 3 2 2 7" xfId="2458" xr:uid="{178F0CA6-7841-473F-B607-1B21C1178FB3}"/>
    <cellStyle name="Vírgula 3 2 2 7 2" xfId="2459" xr:uid="{F8875C94-B3E8-4DAD-A791-D94429A55D75}"/>
    <cellStyle name="Vírgula 3 2 2 7 2 2" xfId="2460" xr:uid="{31E4CCA2-0C2F-41D7-A21D-F314AA3C90A5}"/>
    <cellStyle name="Vírgula 3 2 2 7 2 2 2" xfId="2461" xr:uid="{34B4C1F2-F5C7-413F-A73F-3EEF5B3C7BB4}"/>
    <cellStyle name="Vírgula 3 2 2 7 2 2 3" xfId="7442" xr:uid="{2115908B-C751-477B-B4AD-60FEE37E640F}"/>
    <cellStyle name="Vírgula 3 2 2 7 2 3" xfId="2462" xr:uid="{2B8411CC-BC09-493D-BE2A-021480915D5F}"/>
    <cellStyle name="Vírgula 3 2 2 7 2 4" xfId="7441" xr:uid="{0F46897B-E416-4181-8702-A496C4591DD9}"/>
    <cellStyle name="Vírgula 3 2 2 7 3" xfId="2463" xr:uid="{B7E63C63-0B78-421A-A082-C33DEAEE7745}"/>
    <cellStyle name="Vírgula 3 2 2 7 3 2" xfId="2464" xr:uid="{00B53E3A-0C06-4BE7-8757-FF795FD4ED93}"/>
    <cellStyle name="Vírgula 3 2 2 7 3 2 2" xfId="2465" xr:uid="{BFCBA189-A806-466F-AE19-66AEAF08238C}"/>
    <cellStyle name="Vírgula 3 2 2 7 3 2 3" xfId="7444" xr:uid="{DCDE0FD6-8DA4-4880-B5C9-FC3EEF67C7D1}"/>
    <cellStyle name="Vírgula 3 2 2 7 3 3" xfId="2466" xr:uid="{5587CDF8-CF25-4C6A-871B-045087FC74F8}"/>
    <cellStyle name="Vírgula 3 2 2 7 3 4" xfId="7443" xr:uid="{1856657D-7189-47DE-BD73-4F3E31AA45D6}"/>
    <cellStyle name="Vírgula 3 2 2 7 4" xfId="2467" xr:uid="{034A6099-0E9B-4A97-AF85-1309149064DA}"/>
    <cellStyle name="Vírgula 3 2 2 7 4 2" xfId="2468" xr:uid="{764B9E52-DE8B-427F-BBF3-40A7221749D9}"/>
    <cellStyle name="Vírgula 3 2 2 7 4 3" xfId="7445" xr:uid="{342F348F-A348-4E96-80D4-07CD65A4A3EF}"/>
    <cellStyle name="Vírgula 3 2 2 7 5" xfId="2469" xr:uid="{5C52AFB6-B225-4F9F-8F6F-ADCA620661CC}"/>
    <cellStyle name="Vírgula 3 2 2 7 6" xfId="7440" xr:uid="{3115554C-EC25-437D-8604-8D320B6F7D70}"/>
    <cellStyle name="Vírgula 3 2 2 8" xfId="2470" xr:uid="{547F2677-EF4B-46C1-A5C6-C53E112899FE}"/>
    <cellStyle name="Vírgula 3 2 2 8 2" xfId="2471" xr:uid="{8DDADF84-63D2-4423-80C1-607ADFB9CCB2}"/>
    <cellStyle name="Vírgula 3 2 2 8 2 2" xfId="2472" xr:uid="{5D956E9B-9655-4EA0-B848-36D5EDEE6B80}"/>
    <cellStyle name="Vírgula 3 2 2 8 2 3" xfId="7447" xr:uid="{7029B802-355E-494E-B7B6-67551C56C42E}"/>
    <cellStyle name="Vírgula 3 2 2 8 3" xfId="2473" xr:uid="{9EA1F8F7-BAC6-456D-9CE6-DAE52DF81895}"/>
    <cellStyle name="Vírgula 3 2 2 8 4" xfId="7446" xr:uid="{A809F783-59DB-426C-9553-4F32EF28A224}"/>
    <cellStyle name="Vírgula 3 2 2 9" xfId="2474" xr:uid="{2FD1A8F9-58F5-4A03-B178-A3A98BD7915A}"/>
    <cellStyle name="Vírgula 3 2 2 9 2" xfId="2475" xr:uid="{81C77DF5-8C10-4DCE-BF44-2EE8BECD9EFB}"/>
    <cellStyle name="Vírgula 3 2 2 9 2 2" xfId="2476" xr:uid="{BFE0B295-8F28-4F31-8EFB-2C5E822FAA34}"/>
    <cellStyle name="Vírgula 3 2 2 9 2 3" xfId="7449" xr:uid="{1021B910-0707-43DB-B566-E38348B7FAEB}"/>
    <cellStyle name="Vírgula 3 2 2 9 3" xfId="2477" xr:uid="{074E3562-CCF9-4143-9B0F-AB3032411C47}"/>
    <cellStyle name="Vírgula 3 2 2 9 4" xfId="7448" xr:uid="{010BC844-B275-4934-829D-62E087AF0ACB}"/>
    <cellStyle name="Vírgula 3 2 3" xfId="2478" xr:uid="{9F20B638-5A32-4EB6-94A4-7034EF58D5A0}"/>
    <cellStyle name="Vírgula 3 2 3 2" xfId="2479" xr:uid="{3D425F55-28B1-4E38-B571-5425D9C67BEA}"/>
    <cellStyle name="Vírgula 3 2 3 2 2" xfId="2480" xr:uid="{104F1B8C-6CF7-4AA0-95FA-E040D6105C93}"/>
    <cellStyle name="Vírgula 3 2 3 2 2 2" xfId="2481" xr:uid="{EDADD0F3-9D04-42A6-8934-F6470C290ADD}"/>
    <cellStyle name="Vírgula 3 2 3 2 2 2 2" xfId="2482" xr:uid="{7095CC00-B708-4A3F-BF04-A2C7C47E193F}"/>
    <cellStyle name="Vírgula 3 2 3 2 2 2 2 2" xfId="2483" xr:uid="{AD176F69-A61A-4398-AFB2-876746FDC28F}"/>
    <cellStyle name="Vírgula 3 2 3 2 2 2 2 3" xfId="7454" xr:uid="{25496C2D-33D5-4B14-B2B2-8F73E9F1174F}"/>
    <cellStyle name="Vírgula 3 2 3 2 2 2 3" xfId="2484" xr:uid="{5CCCD9F8-4ABC-4EE3-BE37-72E1B3F7ADFD}"/>
    <cellStyle name="Vírgula 3 2 3 2 2 2 4" xfId="7453" xr:uid="{75C1BED3-10A8-47DF-BB45-93D92686404B}"/>
    <cellStyle name="Vírgula 3 2 3 2 2 3" xfId="2485" xr:uid="{0CC9EEA4-1221-47FD-AB98-CDE17A42901C}"/>
    <cellStyle name="Vírgula 3 2 3 2 2 3 2" xfId="2486" xr:uid="{252F69DA-BDDD-417B-8EB3-4891525D5015}"/>
    <cellStyle name="Vírgula 3 2 3 2 2 3 2 2" xfId="2487" xr:uid="{B2AADB61-C84B-4F28-8639-9D8110652ECE}"/>
    <cellStyle name="Vírgula 3 2 3 2 2 3 2 3" xfId="7456" xr:uid="{256BFFDC-5569-4714-A8B8-BFB42105622C}"/>
    <cellStyle name="Vírgula 3 2 3 2 2 3 3" xfId="2488" xr:uid="{3E483F73-1391-497E-8E4F-2EFEB8724B32}"/>
    <cellStyle name="Vírgula 3 2 3 2 2 3 4" xfId="7455" xr:uid="{9807C7FA-5EA0-4783-B591-6C01E6B178BD}"/>
    <cellStyle name="Vírgula 3 2 3 2 2 4" xfId="2489" xr:uid="{7397CE79-A01E-455D-9D0F-C96E9A891214}"/>
    <cellStyle name="Vírgula 3 2 3 2 2 4 2" xfId="2490" xr:uid="{16693016-EBA7-4F02-AFC9-040F3643CD15}"/>
    <cellStyle name="Vírgula 3 2 3 2 2 4 3" xfId="7457" xr:uid="{2E32376F-F825-4051-AE02-7AD1B81BD3C7}"/>
    <cellStyle name="Vírgula 3 2 3 2 2 5" xfId="2491" xr:uid="{9366F670-1406-45F6-9841-13F311534135}"/>
    <cellStyle name="Vírgula 3 2 3 2 2 6" xfId="7452" xr:uid="{2C25F32A-EF85-40E7-BA5F-AFAF4327D0CA}"/>
    <cellStyle name="Vírgula 3 2 3 2 3" xfId="2492" xr:uid="{6833700A-48A1-414A-9DC9-13F4045819EB}"/>
    <cellStyle name="Vírgula 3 2 3 2 3 2" xfId="2493" xr:uid="{DA9EFB08-3FD8-41A7-8146-E0327111F953}"/>
    <cellStyle name="Vírgula 3 2 3 2 3 2 2" xfId="2494" xr:uid="{AA68E743-9E99-418D-845A-28185A235B48}"/>
    <cellStyle name="Vírgula 3 2 3 2 3 2 3" xfId="7459" xr:uid="{8B6AA733-AAE9-411A-806E-FD7FCE916807}"/>
    <cellStyle name="Vírgula 3 2 3 2 3 3" xfId="2495" xr:uid="{EC389238-D7C7-4622-A136-1744A63371F4}"/>
    <cellStyle name="Vírgula 3 2 3 2 3 4" xfId="7458" xr:uid="{32401488-1954-4C6F-A93E-6B8D6BE433D1}"/>
    <cellStyle name="Vírgula 3 2 3 2 4" xfId="2496" xr:uid="{F2722B70-C450-451B-89EF-902AFDDD4F3A}"/>
    <cellStyle name="Vírgula 3 2 3 2 4 2" xfId="2497" xr:uid="{0938C076-6E6C-41D1-BC5F-547BD1260A3B}"/>
    <cellStyle name="Vírgula 3 2 3 2 4 2 2" xfId="2498" xr:uid="{1421FD2E-26F1-4960-B842-C19087F6E6FC}"/>
    <cellStyle name="Vírgula 3 2 3 2 4 2 3" xfId="7461" xr:uid="{B4C0CE3D-C30A-4695-9062-BD380938994F}"/>
    <cellStyle name="Vírgula 3 2 3 2 4 3" xfId="2499" xr:uid="{D14797BE-1B51-4CA6-A690-5DD2CB83269D}"/>
    <cellStyle name="Vírgula 3 2 3 2 4 4" xfId="7460" xr:uid="{B1EAEAF7-41E8-477E-92BE-D538DEF9A40E}"/>
    <cellStyle name="Vírgula 3 2 3 2 5" xfId="2500" xr:uid="{2FC3F5B5-893C-4C68-819F-13301ADF760A}"/>
    <cellStyle name="Vírgula 3 2 3 2 5 2" xfId="2501" xr:uid="{C6470682-1B43-47F5-BF50-D81E021CE4EA}"/>
    <cellStyle name="Vírgula 3 2 3 2 5 3" xfId="7462" xr:uid="{0CCFD5F7-A443-4116-8282-A01B49437AEF}"/>
    <cellStyle name="Vírgula 3 2 3 2 6" xfId="2502" xr:uid="{D3338E2D-DFD1-4856-8995-F2546490B38E}"/>
    <cellStyle name="Vírgula 3 2 3 2 7" xfId="7451" xr:uid="{84BCDA4B-7555-4F00-888C-35FFB80979FF}"/>
    <cellStyle name="Vírgula 3 2 3 3" xfId="2503" xr:uid="{2F4D33F6-98D6-47B7-A471-5141552FCC29}"/>
    <cellStyle name="Vírgula 3 2 3 3 2" xfId="2504" xr:uid="{D34C6BB8-0851-40FF-86D5-8A25DE052E19}"/>
    <cellStyle name="Vírgula 3 2 3 3 2 2" xfId="2505" xr:uid="{B9085984-A4C5-45D8-81E7-C006AB8A5736}"/>
    <cellStyle name="Vírgula 3 2 3 3 2 2 2" xfId="2506" xr:uid="{8B53028B-E17A-4AC0-BA7D-D0FAC0E6A1CC}"/>
    <cellStyle name="Vírgula 3 2 3 3 2 2 2 2" xfId="2507" xr:uid="{4557AA92-25F7-41F5-8FAD-BF742E727CA1}"/>
    <cellStyle name="Vírgula 3 2 3 3 2 2 2 3" xfId="7466" xr:uid="{66F3BA34-1CB0-4D8E-A3C3-402839FC206E}"/>
    <cellStyle name="Vírgula 3 2 3 3 2 2 3" xfId="2508" xr:uid="{9FF768C0-287C-4590-A790-93C5477E6C6C}"/>
    <cellStyle name="Vírgula 3 2 3 3 2 2 4" xfId="7465" xr:uid="{DD1201DB-DF39-49F3-A584-C7816A2194B2}"/>
    <cellStyle name="Vírgula 3 2 3 3 2 3" xfId="2509" xr:uid="{58198D1E-CAC8-40D0-8D4A-83521ECC5675}"/>
    <cellStyle name="Vírgula 3 2 3 3 2 3 2" xfId="2510" xr:uid="{3662CA1A-5728-4A5F-91BC-D96D4A6A53B0}"/>
    <cellStyle name="Vírgula 3 2 3 3 2 3 2 2" xfId="2511" xr:uid="{8E4F90C9-8055-4101-98DA-BE2DFCA2FCC3}"/>
    <cellStyle name="Vírgula 3 2 3 3 2 3 2 3" xfId="7468" xr:uid="{B7AA8486-87D1-4773-BE20-E7A05D5C34FF}"/>
    <cellStyle name="Vírgula 3 2 3 3 2 3 3" xfId="2512" xr:uid="{F547A5E9-F61A-4D32-A033-43DB438E5452}"/>
    <cellStyle name="Vírgula 3 2 3 3 2 3 4" xfId="7467" xr:uid="{D81C1944-F145-4D59-9D5E-F097096CD806}"/>
    <cellStyle name="Vírgula 3 2 3 3 2 4" xfId="2513" xr:uid="{805EE97F-56EA-4A9E-B1ED-82A74AB8B6B0}"/>
    <cellStyle name="Vírgula 3 2 3 3 2 4 2" xfId="2514" xr:uid="{FEF3476D-A60C-4E73-BE2E-62953CBB2067}"/>
    <cellStyle name="Vírgula 3 2 3 3 2 4 3" xfId="7469" xr:uid="{FD30B4A9-11E7-4F47-B046-6A9BECD4F4BC}"/>
    <cellStyle name="Vírgula 3 2 3 3 2 5" xfId="2515" xr:uid="{1999423A-85BB-408D-9658-C637C85B3B04}"/>
    <cellStyle name="Vírgula 3 2 3 3 2 6" xfId="7464" xr:uid="{7D94B79A-182D-4FAF-A2D4-7CC4B8E63E25}"/>
    <cellStyle name="Vírgula 3 2 3 3 3" xfId="2516" xr:uid="{BBA85D86-09ED-4952-84DC-6DB4D34E7B58}"/>
    <cellStyle name="Vírgula 3 2 3 3 3 2" xfId="2517" xr:uid="{3EE7A538-F778-4C98-827C-C51855A20B29}"/>
    <cellStyle name="Vírgula 3 2 3 3 3 2 2" xfId="2518" xr:uid="{7D3381F5-4855-4233-B289-F5DA756D252A}"/>
    <cellStyle name="Vírgula 3 2 3 3 3 2 3" xfId="7471" xr:uid="{AD154FE1-DF10-41A1-900B-88A360DEB3A2}"/>
    <cellStyle name="Vírgula 3 2 3 3 3 3" xfId="2519" xr:uid="{7AAA8A55-752A-42AD-A2A0-34F99496E04A}"/>
    <cellStyle name="Vírgula 3 2 3 3 3 4" xfId="7470" xr:uid="{19B4B182-5BE9-43E0-9832-D843DF9E7F12}"/>
    <cellStyle name="Vírgula 3 2 3 3 4" xfId="2520" xr:uid="{34BEDC61-8FF2-47DF-8E1C-7FBB8C3CF325}"/>
    <cellStyle name="Vírgula 3 2 3 3 4 2" xfId="2521" xr:uid="{7B330BC2-54FD-4A58-B027-C5683573D74D}"/>
    <cellStyle name="Vírgula 3 2 3 3 4 2 2" xfId="2522" xr:uid="{A2B0EEE8-EB96-472B-B7F4-3181C5E8C2D4}"/>
    <cellStyle name="Vírgula 3 2 3 3 4 2 3" xfId="7473" xr:uid="{62739E9F-5DD2-4DC6-8DBC-6D6B7B7A8DD5}"/>
    <cellStyle name="Vírgula 3 2 3 3 4 3" xfId="2523" xr:uid="{F5EA180B-4623-41E0-9D71-0A6430789E3F}"/>
    <cellStyle name="Vírgula 3 2 3 3 4 4" xfId="7472" xr:uid="{B0EFF21A-2C82-4AC9-89D9-56EF81E47C70}"/>
    <cellStyle name="Vírgula 3 2 3 3 5" xfId="2524" xr:uid="{70EAE854-9FC8-46C9-9093-112BF35657C5}"/>
    <cellStyle name="Vírgula 3 2 3 3 5 2" xfId="2525" xr:uid="{A952EE55-5C9A-4229-8BC4-CAE363E83EA4}"/>
    <cellStyle name="Vírgula 3 2 3 3 5 3" xfId="7474" xr:uid="{38EE057D-F750-4F4C-9FA9-491CA3F6F2E5}"/>
    <cellStyle name="Vírgula 3 2 3 3 6" xfId="2526" xr:uid="{606643BA-AA6B-4419-8E73-F144191BB087}"/>
    <cellStyle name="Vírgula 3 2 3 3 7" xfId="7463" xr:uid="{D89C3D57-BDEB-42E7-8886-36755D3E6F66}"/>
    <cellStyle name="Vírgula 3 2 3 4" xfId="2527" xr:uid="{FD334033-C36C-4B6B-A303-28059F6C1F71}"/>
    <cellStyle name="Vírgula 3 2 3 4 2" xfId="2528" xr:uid="{3A7DF69D-BDD5-43FB-8FFB-B8A0160E0340}"/>
    <cellStyle name="Vírgula 3 2 3 4 2 2" xfId="2529" xr:uid="{680D2857-A47C-44A4-BB43-27EFE54303FD}"/>
    <cellStyle name="Vírgula 3 2 3 4 2 2 2" xfId="2530" xr:uid="{71D6073E-309C-41FD-916A-783DB07D9BA4}"/>
    <cellStyle name="Vírgula 3 2 3 4 2 2 3" xfId="7477" xr:uid="{748FD56F-2D34-4089-81EF-C3AA1FA8865A}"/>
    <cellStyle name="Vírgula 3 2 3 4 2 3" xfId="2531" xr:uid="{D2805615-C4C4-4000-BC62-BD373A6C5B11}"/>
    <cellStyle name="Vírgula 3 2 3 4 2 4" xfId="7476" xr:uid="{FECFF4E6-2607-4339-AF87-C87E2DE6E6C0}"/>
    <cellStyle name="Vírgula 3 2 3 4 3" xfId="2532" xr:uid="{A8B57927-AB90-474C-90C5-3AA50786A52A}"/>
    <cellStyle name="Vírgula 3 2 3 4 3 2" xfId="2533" xr:uid="{7BD633EA-6654-4E05-886E-D3BC880AB49E}"/>
    <cellStyle name="Vírgula 3 2 3 4 3 2 2" xfId="2534" xr:uid="{093D0F4F-7470-4949-ABD1-1223087B0B74}"/>
    <cellStyle name="Vírgula 3 2 3 4 3 2 3" xfId="7479" xr:uid="{1C9E46D1-EF09-4AC5-B1C7-8CCF0DAFF63D}"/>
    <cellStyle name="Vírgula 3 2 3 4 3 3" xfId="2535" xr:uid="{9F7A62CF-8EE4-4491-B116-27BEFE01788E}"/>
    <cellStyle name="Vírgula 3 2 3 4 3 4" xfId="7478" xr:uid="{F1CB4389-AD9F-4248-AC34-110A36D0436F}"/>
    <cellStyle name="Vírgula 3 2 3 4 4" xfId="2536" xr:uid="{767BFFBC-D6F7-468F-968D-8A5D6445D7DA}"/>
    <cellStyle name="Vírgula 3 2 3 4 4 2" xfId="2537" xr:uid="{E06478BF-7B61-4099-977E-999F8161BB54}"/>
    <cellStyle name="Vírgula 3 2 3 4 4 3" xfId="7480" xr:uid="{61D4440D-8999-4E72-ACF6-2BC5152C2921}"/>
    <cellStyle name="Vírgula 3 2 3 4 5" xfId="2538" xr:uid="{F7394759-F70B-414D-B646-D8C0898E381C}"/>
    <cellStyle name="Vírgula 3 2 3 4 6" xfId="7475" xr:uid="{6CA26F8A-EE5D-4EB7-B24F-615EFB37A731}"/>
    <cellStyle name="Vírgula 3 2 3 5" xfId="2539" xr:uid="{C40BF979-FB88-4193-91A7-B9D3E92E0F8B}"/>
    <cellStyle name="Vírgula 3 2 3 5 2" xfId="2540" xr:uid="{6CF29D5E-428C-4FED-AF44-116E8A253985}"/>
    <cellStyle name="Vírgula 3 2 3 5 2 2" xfId="2541" xr:uid="{C1C732BD-6E53-4246-834C-BF66B5530A59}"/>
    <cellStyle name="Vírgula 3 2 3 5 2 3" xfId="7482" xr:uid="{CD834DD3-7037-4134-869F-50A88DB82A3F}"/>
    <cellStyle name="Vírgula 3 2 3 5 3" xfId="2542" xr:uid="{F1ABB1D7-A943-42F0-817A-1394EFA1F8E5}"/>
    <cellStyle name="Vírgula 3 2 3 5 4" xfId="7481" xr:uid="{D186F311-7116-4628-B7CA-5BE7EC5BFA89}"/>
    <cellStyle name="Vírgula 3 2 3 6" xfId="2543" xr:uid="{75A402C6-9D3C-4D55-81A7-EAD67431B69A}"/>
    <cellStyle name="Vírgula 3 2 3 6 2" xfId="2544" xr:uid="{8C007716-99B8-48EB-BC94-2A16E5C13408}"/>
    <cellStyle name="Vírgula 3 2 3 6 2 2" xfId="2545" xr:uid="{BCC35DD1-40C0-4AB4-B91B-E0056E5C1F38}"/>
    <cellStyle name="Vírgula 3 2 3 6 2 3" xfId="7484" xr:uid="{C77C32BC-C6A4-47E4-AB11-3D774DD064B9}"/>
    <cellStyle name="Vírgula 3 2 3 6 3" xfId="2546" xr:uid="{C7331C83-8E58-43C4-A7A7-205201BF68BE}"/>
    <cellStyle name="Vírgula 3 2 3 6 4" xfId="7483" xr:uid="{AF82E06A-8772-4FE8-85CB-0CF913F54245}"/>
    <cellStyle name="Vírgula 3 2 3 7" xfId="2547" xr:uid="{E7D70663-CF71-49E7-B53B-47BC59CD4966}"/>
    <cellStyle name="Vírgula 3 2 3 7 2" xfId="2548" xr:uid="{17E9DB2C-25E3-48A3-B07A-6E65BD7A2889}"/>
    <cellStyle name="Vírgula 3 2 3 7 3" xfId="7485" xr:uid="{5839E747-FE39-4578-99D9-D6B63FF20AFB}"/>
    <cellStyle name="Vírgula 3 2 3 8" xfId="2549" xr:uid="{25858211-446F-4901-AC4B-0F5437F9992B}"/>
    <cellStyle name="Vírgula 3 2 3 9" xfId="7450" xr:uid="{FD4B5F1B-EB51-401F-AD4B-C003D2EF20BE}"/>
    <cellStyle name="Vírgula 3 2 4" xfId="2550" xr:uid="{7523CCB8-FEB6-4DBF-BF88-B87E1BA27AF6}"/>
    <cellStyle name="Vírgula 3 2 4 2" xfId="2551" xr:uid="{483A3EBE-59E1-46C6-9E75-AAF5F228FBC4}"/>
    <cellStyle name="Vírgula 3 2 4 2 2" xfId="2552" xr:uid="{7B4A7213-6BA9-444C-B5D0-268D5EE51927}"/>
    <cellStyle name="Vírgula 3 2 4 2 2 2" xfId="2553" xr:uid="{2286D787-6E5B-4097-8418-313BA32894AF}"/>
    <cellStyle name="Vírgula 3 2 4 2 2 2 2" xfId="2554" xr:uid="{09FB9490-D108-4210-88F0-CF178A35BCE6}"/>
    <cellStyle name="Vírgula 3 2 4 2 2 2 2 2" xfId="2555" xr:uid="{C6118046-D8CB-46B6-B5D1-E0CFA6504B8B}"/>
    <cellStyle name="Vírgula 3 2 4 2 2 2 2 3" xfId="7490" xr:uid="{554A4477-0DE9-4BBB-93CA-2241A9320067}"/>
    <cellStyle name="Vírgula 3 2 4 2 2 2 3" xfId="2556" xr:uid="{0134BA50-DD4E-47C0-93DE-9D521576856E}"/>
    <cellStyle name="Vírgula 3 2 4 2 2 2 4" xfId="7489" xr:uid="{199119E3-ADF2-4497-8A01-85875B5F6123}"/>
    <cellStyle name="Vírgula 3 2 4 2 2 3" xfId="2557" xr:uid="{7C0AD71A-A48C-465D-B51B-FF8A217672D4}"/>
    <cellStyle name="Vírgula 3 2 4 2 2 3 2" xfId="2558" xr:uid="{54370934-C5F2-44D7-BD66-1577D336D8C3}"/>
    <cellStyle name="Vírgula 3 2 4 2 2 3 2 2" xfId="2559" xr:uid="{C4FCC4CA-4258-4BFC-9DFB-195082B74697}"/>
    <cellStyle name="Vírgula 3 2 4 2 2 3 2 3" xfId="7492" xr:uid="{B618B894-108F-40E7-989D-2E9E8543FA4D}"/>
    <cellStyle name="Vírgula 3 2 4 2 2 3 3" xfId="2560" xr:uid="{C1669409-F839-48FF-B494-51B661F9C013}"/>
    <cellStyle name="Vírgula 3 2 4 2 2 3 4" xfId="7491" xr:uid="{7B61089C-DAC5-4CF9-94E3-B80892623C18}"/>
    <cellStyle name="Vírgula 3 2 4 2 2 4" xfId="2561" xr:uid="{7DA0969C-C185-49FC-97B9-AE428D269D15}"/>
    <cellStyle name="Vírgula 3 2 4 2 2 4 2" xfId="2562" xr:uid="{00B98B11-DDE8-4B1E-97EB-8378AD63DF57}"/>
    <cellStyle name="Vírgula 3 2 4 2 2 4 3" xfId="7493" xr:uid="{D547D282-DCB1-419D-80AE-1CFD6177064E}"/>
    <cellStyle name="Vírgula 3 2 4 2 2 5" xfId="2563" xr:uid="{4CB52D00-8EAB-4DA2-8D19-01C632BC933A}"/>
    <cellStyle name="Vírgula 3 2 4 2 2 6" xfId="7488" xr:uid="{B9D7C4D9-DC2D-46A2-806F-C997F76C53A4}"/>
    <cellStyle name="Vírgula 3 2 4 2 3" xfId="2564" xr:uid="{3F7F6980-A6E4-4F7F-9B78-AF3210BFAAA3}"/>
    <cellStyle name="Vírgula 3 2 4 2 3 2" xfId="2565" xr:uid="{635F7DF2-5A54-48CF-A44D-B54A287B86A7}"/>
    <cellStyle name="Vírgula 3 2 4 2 3 2 2" xfId="2566" xr:uid="{E02B105B-2BBC-4427-86FD-1DA460D3C913}"/>
    <cellStyle name="Vírgula 3 2 4 2 3 2 3" xfId="7495" xr:uid="{0D6BEB3C-327B-41ED-ADF4-E682C64FDC4D}"/>
    <cellStyle name="Vírgula 3 2 4 2 3 3" xfId="2567" xr:uid="{B19D13D9-7CF6-4497-80C2-52865A2D0687}"/>
    <cellStyle name="Vírgula 3 2 4 2 3 4" xfId="7494" xr:uid="{70DE326C-62B9-462C-B771-9143FF906467}"/>
    <cellStyle name="Vírgula 3 2 4 2 4" xfId="2568" xr:uid="{2C787E5F-90BF-4B80-9861-39C0657BC747}"/>
    <cellStyle name="Vírgula 3 2 4 2 4 2" xfId="2569" xr:uid="{F6A07188-F700-4255-8907-A1376814275C}"/>
    <cellStyle name="Vírgula 3 2 4 2 4 2 2" xfId="2570" xr:uid="{9E3C9B17-9D1D-4DCB-BDF8-0DBFD0070BDE}"/>
    <cellStyle name="Vírgula 3 2 4 2 4 2 3" xfId="7497" xr:uid="{8A092CE8-F7EA-4611-86BE-CB1C11A01FE2}"/>
    <cellStyle name="Vírgula 3 2 4 2 4 3" xfId="2571" xr:uid="{D4CC414C-828A-4922-B1AC-75FC4529C163}"/>
    <cellStyle name="Vírgula 3 2 4 2 4 4" xfId="7496" xr:uid="{69DEE867-A3C4-48A7-B5E6-E6F2373222E2}"/>
    <cellStyle name="Vírgula 3 2 4 2 5" xfId="2572" xr:uid="{F7E7AEDD-5051-4799-8926-70744F6DFFA0}"/>
    <cellStyle name="Vírgula 3 2 4 2 5 2" xfId="2573" xr:uid="{56CBA0EC-0D1F-45D3-82CD-E46EA2ECCBEE}"/>
    <cellStyle name="Vírgula 3 2 4 2 5 3" xfId="7498" xr:uid="{362D7EFC-48CD-4EDF-9BDE-35583C8A847C}"/>
    <cellStyle name="Vírgula 3 2 4 2 6" xfId="2574" xr:uid="{A02E6B05-594A-40B9-8C72-B4026C4C6A2F}"/>
    <cellStyle name="Vírgula 3 2 4 2 7" xfId="7487" xr:uid="{5A72333F-0A22-4947-AC62-24E90454F790}"/>
    <cellStyle name="Vírgula 3 2 4 3" xfId="2575" xr:uid="{0A5BA336-0D41-47FA-AA3F-64D97FB1AB12}"/>
    <cellStyle name="Vírgula 3 2 4 3 2" xfId="2576" xr:uid="{E599AAEA-D5F0-4AB1-A222-E713CDE26AF1}"/>
    <cellStyle name="Vírgula 3 2 4 3 2 2" xfId="2577" xr:uid="{4B99E390-910E-4732-B6A1-911DC9B6BE05}"/>
    <cellStyle name="Vírgula 3 2 4 3 2 2 2" xfId="2578" xr:uid="{FBB46E27-0496-42C6-8E06-4F9E41D1DE9D}"/>
    <cellStyle name="Vírgula 3 2 4 3 2 2 2 2" xfId="2579" xr:uid="{2D28A08D-B42C-44BA-839A-7283D5CECF32}"/>
    <cellStyle name="Vírgula 3 2 4 3 2 2 2 3" xfId="7502" xr:uid="{C243DD9E-13F9-40AF-85AB-D80CEE7E79F5}"/>
    <cellStyle name="Vírgula 3 2 4 3 2 2 3" xfId="2580" xr:uid="{76BABE74-AABD-4BB0-97DA-09145B5A2672}"/>
    <cellStyle name="Vírgula 3 2 4 3 2 2 4" xfId="7501" xr:uid="{A6EFF485-9545-4ECA-9CD6-88448B53B161}"/>
    <cellStyle name="Vírgula 3 2 4 3 2 3" xfId="2581" xr:uid="{81A6DFA4-C4C4-48AB-AFA3-5292F316DCCB}"/>
    <cellStyle name="Vírgula 3 2 4 3 2 3 2" xfId="2582" xr:uid="{DFF9D704-7EA0-4F51-AEF2-756A5D6DBE9A}"/>
    <cellStyle name="Vírgula 3 2 4 3 2 3 2 2" xfId="2583" xr:uid="{92214164-FC91-4C41-8C7D-03C6CCED0D0E}"/>
    <cellStyle name="Vírgula 3 2 4 3 2 3 2 3" xfId="7504" xr:uid="{917168FE-8011-44ED-89B3-470FD59203DC}"/>
    <cellStyle name="Vírgula 3 2 4 3 2 3 3" xfId="2584" xr:uid="{5ABCBFAC-C91F-445E-AD7F-50BDF33F58F9}"/>
    <cellStyle name="Vírgula 3 2 4 3 2 3 4" xfId="7503" xr:uid="{61CD0D74-1FAF-4AFD-A60D-3526A6336B92}"/>
    <cellStyle name="Vírgula 3 2 4 3 2 4" xfId="2585" xr:uid="{2E45BF84-4110-4DC1-8B24-F937FE9F36FC}"/>
    <cellStyle name="Vírgula 3 2 4 3 2 4 2" xfId="2586" xr:uid="{970736A0-0045-448E-949F-D5A46492D284}"/>
    <cellStyle name="Vírgula 3 2 4 3 2 4 3" xfId="7505" xr:uid="{DDD739BB-0A41-4C16-889E-B3D1CE42C476}"/>
    <cellStyle name="Vírgula 3 2 4 3 2 5" xfId="2587" xr:uid="{F1F278F6-63F3-4789-A6BF-AFE2A80CE05A}"/>
    <cellStyle name="Vírgula 3 2 4 3 2 6" xfId="7500" xr:uid="{F0851D00-C264-4CE1-8A56-B905DFC64247}"/>
    <cellStyle name="Vírgula 3 2 4 3 3" xfId="2588" xr:uid="{1466A93C-5967-4BC9-B182-EEF838DA1658}"/>
    <cellStyle name="Vírgula 3 2 4 3 3 2" xfId="2589" xr:uid="{D5AC090B-0FF1-4622-AA10-6FD2BCAB50EA}"/>
    <cellStyle name="Vírgula 3 2 4 3 3 2 2" xfId="2590" xr:uid="{300B1A7C-987B-4AD8-ACB5-260F3370B965}"/>
    <cellStyle name="Vírgula 3 2 4 3 3 2 3" xfId="7507" xr:uid="{DF1CCCD0-808C-4310-88B3-D922CA321994}"/>
    <cellStyle name="Vírgula 3 2 4 3 3 3" xfId="2591" xr:uid="{4E8CA154-D0A5-4AA2-8FD0-AB17B2B69615}"/>
    <cellStyle name="Vírgula 3 2 4 3 3 4" xfId="7506" xr:uid="{17ACBB03-3A60-437E-B613-B4C99C95BF36}"/>
    <cellStyle name="Vírgula 3 2 4 3 4" xfId="2592" xr:uid="{9A489CC9-DA2D-4315-8952-04D501C2E853}"/>
    <cellStyle name="Vírgula 3 2 4 3 4 2" xfId="2593" xr:uid="{776B7F87-05AE-43CB-9842-958B28897479}"/>
    <cellStyle name="Vírgula 3 2 4 3 4 2 2" xfId="2594" xr:uid="{728435D6-D2A1-4A49-A64D-35C7682D4646}"/>
    <cellStyle name="Vírgula 3 2 4 3 4 2 3" xfId="7509" xr:uid="{3202505B-5B67-4F06-90BD-EF503565F1DE}"/>
    <cellStyle name="Vírgula 3 2 4 3 4 3" xfId="2595" xr:uid="{D1B5ED87-1E75-4F9C-B8AD-72E42657AD29}"/>
    <cellStyle name="Vírgula 3 2 4 3 4 4" xfId="7508" xr:uid="{83AD2E8D-A99B-4DB5-8F29-E596A060DF2F}"/>
    <cellStyle name="Vírgula 3 2 4 3 5" xfId="2596" xr:uid="{6D16601F-7394-4425-9D85-C942190D3EF2}"/>
    <cellStyle name="Vírgula 3 2 4 3 5 2" xfId="2597" xr:uid="{740F7AF9-61BC-4C3A-8292-154D55EA1C9A}"/>
    <cellStyle name="Vírgula 3 2 4 3 5 3" xfId="7510" xr:uid="{F09BC8FA-6F49-4705-9D0E-12362BB2A58C}"/>
    <cellStyle name="Vírgula 3 2 4 3 6" xfId="2598" xr:uid="{47B685A4-64EE-48BA-BF48-7AB601C473DD}"/>
    <cellStyle name="Vírgula 3 2 4 3 7" xfId="7499" xr:uid="{5EBC0338-BB48-48F6-97B2-ECFBDB176163}"/>
    <cellStyle name="Vírgula 3 2 4 4" xfId="2599" xr:uid="{1EA6C760-EB81-41DF-BDAB-7649E9DD4836}"/>
    <cellStyle name="Vírgula 3 2 4 4 2" xfId="2600" xr:uid="{0EE098A5-728E-4791-9D08-BE9FA3B69C81}"/>
    <cellStyle name="Vírgula 3 2 4 4 2 2" xfId="2601" xr:uid="{10341185-D01B-4F87-AFDC-8286590EB8A6}"/>
    <cellStyle name="Vírgula 3 2 4 4 2 2 2" xfId="2602" xr:uid="{CDC1108D-5CB6-4631-9D53-52F57FFB530C}"/>
    <cellStyle name="Vírgula 3 2 4 4 2 2 3" xfId="7513" xr:uid="{51B423AB-019B-480A-9DD5-AC62F8BC67F6}"/>
    <cellStyle name="Vírgula 3 2 4 4 2 3" xfId="2603" xr:uid="{80363F91-96B1-4E92-8EEC-7424E794DEC1}"/>
    <cellStyle name="Vírgula 3 2 4 4 2 4" xfId="7512" xr:uid="{9FD15A3C-66FD-4C32-96C1-5B3439AE70BB}"/>
    <cellStyle name="Vírgula 3 2 4 4 3" xfId="2604" xr:uid="{4850020F-7289-4150-A8BB-929B7A25E2FC}"/>
    <cellStyle name="Vírgula 3 2 4 4 3 2" xfId="2605" xr:uid="{6A2E2149-2D78-4518-B191-6388B2E89D70}"/>
    <cellStyle name="Vírgula 3 2 4 4 3 2 2" xfId="2606" xr:uid="{516A5A4F-713D-4793-B749-0C719C65367B}"/>
    <cellStyle name="Vírgula 3 2 4 4 3 2 3" xfId="7515" xr:uid="{C99F7426-DE54-4786-B06A-C4308DA44B89}"/>
    <cellStyle name="Vírgula 3 2 4 4 3 3" xfId="2607" xr:uid="{DA8B0CD3-7426-4FD8-AE65-AA1448D39C1E}"/>
    <cellStyle name="Vírgula 3 2 4 4 3 4" xfId="7514" xr:uid="{07E81292-2123-478D-9C2E-AD6F406A3BD1}"/>
    <cellStyle name="Vírgula 3 2 4 4 4" xfId="2608" xr:uid="{1D828D37-CA34-43E1-ADA2-FCBDAAD46153}"/>
    <cellStyle name="Vírgula 3 2 4 4 4 2" xfId="2609" xr:uid="{FB7B7665-413A-40C9-AE12-94F60705B618}"/>
    <cellStyle name="Vírgula 3 2 4 4 4 3" xfId="7516" xr:uid="{2E052782-42C3-4B71-90EF-8D4DAB0DB9D9}"/>
    <cellStyle name="Vírgula 3 2 4 4 5" xfId="2610" xr:uid="{4D07BE48-76FE-4E06-9689-2F2A772C8BD7}"/>
    <cellStyle name="Vírgula 3 2 4 4 6" xfId="7511" xr:uid="{B04029BC-A698-4EC4-8BA8-83974E376448}"/>
    <cellStyle name="Vírgula 3 2 4 5" xfId="2611" xr:uid="{08E20356-D01C-4F4E-B3FE-4F3DE3A79C32}"/>
    <cellStyle name="Vírgula 3 2 4 5 2" xfId="2612" xr:uid="{70A96F33-A1D1-498B-9306-42E3F3666DC1}"/>
    <cellStyle name="Vírgula 3 2 4 5 2 2" xfId="2613" xr:uid="{ABC0E67C-581F-4D39-AFAC-975F47D2184E}"/>
    <cellStyle name="Vírgula 3 2 4 5 2 3" xfId="7518" xr:uid="{E51F5BDC-2D85-4AE9-B898-A4ACDC9A98E6}"/>
    <cellStyle name="Vírgula 3 2 4 5 3" xfId="2614" xr:uid="{C62E5E1E-E1B8-4CC5-80B2-D698A38CC8F3}"/>
    <cellStyle name="Vírgula 3 2 4 5 4" xfId="7517" xr:uid="{CEB062BB-59EB-4817-8963-F6143288AFEB}"/>
    <cellStyle name="Vírgula 3 2 4 6" xfId="2615" xr:uid="{D34C7EEA-8010-4A84-9D24-C95C1E32C9C6}"/>
    <cellStyle name="Vírgula 3 2 4 6 2" xfId="2616" xr:uid="{EB1170A4-3CEF-48CD-BC3C-1A94E22AEAC9}"/>
    <cellStyle name="Vírgula 3 2 4 6 2 2" xfId="2617" xr:uid="{2EDCEB2B-4A91-46A7-A932-BE8D5EF28B39}"/>
    <cellStyle name="Vírgula 3 2 4 6 2 3" xfId="7520" xr:uid="{BA8F3E89-4CD6-44CA-9F0F-9F7E7C2AE3D9}"/>
    <cellStyle name="Vírgula 3 2 4 6 3" xfId="2618" xr:uid="{61049257-B29F-4A98-BCE5-757FDBFA7BDF}"/>
    <cellStyle name="Vírgula 3 2 4 6 4" xfId="7519" xr:uid="{B84DA937-42BB-4F04-8B3A-6D308700BDE3}"/>
    <cellStyle name="Vírgula 3 2 4 7" xfId="2619" xr:uid="{004C90C3-D7D8-4538-8AD5-36C0566FBC33}"/>
    <cellStyle name="Vírgula 3 2 4 7 2" xfId="2620" xr:uid="{D7BB4ACB-5481-4073-A751-BD3FCB3A37F5}"/>
    <cellStyle name="Vírgula 3 2 4 7 3" xfId="7521" xr:uid="{A0479AAB-0304-418A-B460-0C583D726565}"/>
    <cellStyle name="Vírgula 3 2 4 8" xfId="2621" xr:uid="{35228120-D25D-4A16-926F-EE01B7018C8A}"/>
    <cellStyle name="Vírgula 3 2 4 9" xfId="7486" xr:uid="{D15CDBE7-C184-43B4-8EEA-351D08336301}"/>
    <cellStyle name="Vírgula 3 2 5" xfId="2622" xr:uid="{FECE2062-F982-43BB-8C50-48FBDD56C750}"/>
    <cellStyle name="Vírgula 3 2 5 2" xfId="2623" xr:uid="{A7935CE5-B68F-4607-BD3C-693E5B8155DE}"/>
    <cellStyle name="Vírgula 3 2 5 2 2" xfId="2624" xr:uid="{79D0C29E-AA3D-452E-9BA7-371A5B7E37D9}"/>
    <cellStyle name="Vírgula 3 2 5 2 2 2" xfId="2625" xr:uid="{96A7C99A-7685-49A3-9FF0-2B64FB09D46A}"/>
    <cellStyle name="Vírgula 3 2 5 2 2 2 2" xfId="2626" xr:uid="{93755D15-5FC1-4535-890B-41D9747C9003}"/>
    <cellStyle name="Vírgula 3 2 5 2 2 2 2 2" xfId="2627" xr:uid="{3319FEFC-151C-450D-B287-6BD102B0CCEA}"/>
    <cellStyle name="Vírgula 3 2 5 2 2 2 2 3" xfId="7526" xr:uid="{534A1D52-99C7-4F28-98D7-EF501BB058B0}"/>
    <cellStyle name="Vírgula 3 2 5 2 2 2 3" xfId="2628" xr:uid="{98F603B2-B8F7-4C63-9B69-C9FCB4563E97}"/>
    <cellStyle name="Vírgula 3 2 5 2 2 2 4" xfId="7525" xr:uid="{D65D52AC-DE6E-4BBC-AE3A-55FB1D425842}"/>
    <cellStyle name="Vírgula 3 2 5 2 2 3" xfId="2629" xr:uid="{14E3DBDF-DA63-4939-ADCB-B39F449299E7}"/>
    <cellStyle name="Vírgula 3 2 5 2 2 3 2" xfId="2630" xr:uid="{F17A14AF-BAE4-4774-9D83-F8FE0D7AE71C}"/>
    <cellStyle name="Vírgula 3 2 5 2 2 3 2 2" xfId="2631" xr:uid="{785D069A-E872-47AD-A38F-EA71D1ED2890}"/>
    <cellStyle name="Vírgula 3 2 5 2 2 3 2 3" xfId="7528" xr:uid="{29028A68-512F-4AE6-9696-2811C79EA3E7}"/>
    <cellStyle name="Vírgula 3 2 5 2 2 3 3" xfId="2632" xr:uid="{D7ECF916-817F-49E6-A0D5-D89F20197374}"/>
    <cellStyle name="Vírgula 3 2 5 2 2 3 4" xfId="7527" xr:uid="{309ABFB4-D743-4860-A3A1-94427B03DE64}"/>
    <cellStyle name="Vírgula 3 2 5 2 2 4" xfId="2633" xr:uid="{FD5A255D-49E6-49D3-B6E7-A978B2D3D739}"/>
    <cellStyle name="Vírgula 3 2 5 2 2 4 2" xfId="2634" xr:uid="{CEEF0FB7-48FD-4843-A1A0-2AA3A45CF568}"/>
    <cellStyle name="Vírgula 3 2 5 2 2 4 3" xfId="7529" xr:uid="{032EDB4F-1505-49EB-82B3-3AE75C722599}"/>
    <cellStyle name="Vírgula 3 2 5 2 2 5" xfId="2635" xr:uid="{B526CA9A-1033-4E19-886A-D2084AB5E823}"/>
    <cellStyle name="Vírgula 3 2 5 2 2 6" xfId="7524" xr:uid="{D6CDC003-CF18-4E6B-8CEB-BC09F09DA8D8}"/>
    <cellStyle name="Vírgula 3 2 5 2 3" xfId="2636" xr:uid="{66FEB9C0-0EB0-478C-9B39-51E971666642}"/>
    <cellStyle name="Vírgula 3 2 5 2 3 2" xfId="2637" xr:uid="{B4870290-8DC1-47FC-81DF-C1ED7051C963}"/>
    <cellStyle name="Vírgula 3 2 5 2 3 2 2" xfId="2638" xr:uid="{5200E38D-76C3-4E8D-8E6E-D0F670806F9C}"/>
    <cellStyle name="Vírgula 3 2 5 2 3 2 3" xfId="7531" xr:uid="{A1342C0F-22C1-4EB6-A67D-3E702118926B}"/>
    <cellStyle name="Vírgula 3 2 5 2 3 3" xfId="2639" xr:uid="{AC612B0C-D739-4605-9F82-F5EAEC998214}"/>
    <cellStyle name="Vírgula 3 2 5 2 3 4" xfId="7530" xr:uid="{1EBBAC12-4B1D-41AF-AA58-A61B00305830}"/>
    <cellStyle name="Vírgula 3 2 5 2 4" xfId="2640" xr:uid="{A92EA8E3-E52A-4169-B7D4-21F3F7A90D13}"/>
    <cellStyle name="Vírgula 3 2 5 2 4 2" xfId="2641" xr:uid="{CE2FD325-89B5-405C-9954-5E3349D4431E}"/>
    <cellStyle name="Vírgula 3 2 5 2 4 2 2" xfId="2642" xr:uid="{79E1A6D0-5A69-449B-9A15-29788DEEE855}"/>
    <cellStyle name="Vírgula 3 2 5 2 4 2 3" xfId="7533" xr:uid="{2C03F4B3-3803-4475-AD58-F1F1AA8E7732}"/>
    <cellStyle name="Vírgula 3 2 5 2 4 3" xfId="2643" xr:uid="{89D5AA93-8CC2-421D-ABCE-DD4988BD5DE5}"/>
    <cellStyle name="Vírgula 3 2 5 2 4 4" xfId="7532" xr:uid="{C54B89B1-99DF-4EF0-89AC-333AD5A3C569}"/>
    <cellStyle name="Vírgula 3 2 5 2 5" xfId="2644" xr:uid="{E261E4D6-EC49-4634-A9D3-A5CC5D0296B4}"/>
    <cellStyle name="Vírgula 3 2 5 2 5 2" xfId="2645" xr:uid="{59AFA197-642C-4458-9F28-7F46023B9B6F}"/>
    <cellStyle name="Vírgula 3 2 5 2 5 3" xfId="7534" xr:uid="{C027A0E5-3D64-42E7-9BDA-DD0571C1EFC0}"/>
    <cellStyle name="Vírgula 3 2 5 2 6" xfId="2646" xr:uid="{03617807-4650-4483-ABF9-855F30310FAC}"/>
    <cellStyle name="Vírgula 3 2 5 2 7" xfId="7523" xr:uid="{3391D1E5-F210-4C14-9BB5-7D73233FCE10}"/>
    <cellStyle name="Vírgula 3 2 5 3" xfId="2647" xr:uid="{439BA525-99E1-461A-8903-8229B1DB1A96}"/>
    <cellStyle name="Vírgula 3 2 5 3 2" xfId="2648" xr:uid="{D88EE531-9A41-4D86-821E-E5ADBD7620B6}"/>
    <cellStyle name="Vírgula 3 2 5 3 2 2" xfId="2649" xr:uid="{E301FD81-7E46-4BDF-BB29-D6DA2EC3D0D4}"/>
    <cellStyle name="Vírgula 3 2 5 3 2 2 2" xfId="2650" xr:uid="{45647B1E-CB6C-48FD-B79A-A9DEBDD829FD}"/>
    <cellStyle name="Vírgula 3 2 5 3 2 2 2 2" xfId="2651" xr:uid="{B0802C84-B382-487C-B287-A454FEA3BB0C}"/>
    <cellStyle name="Vírgula 3 2 5 3 2 2 2 3" xfId="7538" xr:uid="{3FC2F81F-97CB-4828-819B-D42BBECD2259}"/>
    <cellStyle name="Vírgula 3 2 5 3 2 2 3" xfId="2652" xr:uid="{A41AA30B-87A9-4445-B8FE-F20F8FD6D0B7}"/>
    <cellStyle name="Vírgula 3 2 5 3 2 2 4" xfId="7537" xr:uid="{6DA34A60-2CA3-4548-BA97-186C12459619}"/>
    <cellStyle name="Vírgula 3 2 5 3 2 3" xfId="2653" xr:uid="{1D8790B8-28D2-471A-928C-479A9BC514AA}"/>
    <cellStyle name="Vírgula 3 2 5 3 2 3 2" xfId="2654" xr:uid="{77825EDB-DE53-456B-A75B-A484E9CE0DCF}"/>
    <cellStyle name="Vírgula 3 2 5 3 2 3 2 2" xfId="2655" xr:uid="{6B12BEE4-F1E4-4060-A68A-6898114E5487}"/>
    <cellStyle name="Vírgula 3 2 5 3 2 3 2 3" xfId="7540" xr:uid="{52B30CEF-55AF-4C3B-BD99-43E93AE7736F}"/>
    <cellStyle name="Vírgula 3 2 5 3 2 3 3" xfId="2656" xr:uid="{FF77BCCC-7DC3-48D3-9501-FC32FBC8D2F2}"/>
    <cellStyle name="Vírgula 3 2 5 3 2 3 4" xfId="7539" xr:uid="{8C5911F6-EC44-4A81-BC2E-FDF206EA3731}"/>
    <cellStyle name="Vírgula 3 2 5 3 2 4" xfId="2657" xr:uid="{F3900F8B-5F6F-4705-B320-E145F759425D}"/>
    <cellStyle name="Vírgula 3 2 5 3 2 4 2" xfId="2658" xr:uid="{B8ABF50B-EA91-4C45-8193-559C3216825D}"/>
    <cellStyle name="Vírgula 3 2 5 3 2 4 3" xfId="7541" xr:uid="{8472EBFB-F619-4E4D-A830-848F31E6A756}"/>
    <cellStyle name="Vírgula 3 2 5 3 2 5" xfId="2659" xr:uid="{C57112CB-1B44-407B-95E2-956B0F1A8A59}"/>
    <cellStyle name="Vírgula 3 2 5 3 2 6" xfId="7536" xr:uid="{00D0B6CB-77B1-4CFB-B6A4-411F3BFCF40A}"/>
    <cellStyle name="Vírgula 3 2 5 3 3" xfId="2660" xr:uid="{DF157EDE-1B3B-4939-B49B-F3CE56C267C1}"/>
    <cellStyle name="Vírgula 3 2 5 3 3 2" xfId="2661" xr:uid="{CC815A64-8A12-4E51-B424-0AEB72C7DFA7}"/>
    <cellStyle name="Vírgula 3 2 5 3 3 2 2" xfId="2662" xr:uid="{8FA81527-B492-4186-AF42-79A235BE981D}"/>
    <cellStyle name="Vírgula 3 2 5 3 3 2 3" xfId="7543" xr:uid="{92A62501-B22A-43B6-A6D4-E9E02AF3C351}"/>
    <cellStyle name="Vírgula 3 2 5 3 3 3" xfId="2663" xr:uid="{BFD64C1B-06DC-41E2-8F74-DBFE77092F49}"/>
    <cellStyle name="Vírgula 3 2 5 3 3 4" xfId="7542" xr:uid="{D49871CB-C265-443D-96CD-0C75C9495A79}"/>
    <cellStyle name="Vírgula 3 2 5 3 4" xfId="2664" xr:uid="{B6577CF3-7266-43ED-B828-7270EBA96159}"/>
    <cellStyle name="Vírgula 3 2 5 3 4 2" xfId="2665" xr:uid="{C8760B90-B58D-4E6F-983F-A60B733B48C8}"/>
    <cellStyle name="Vírgula 3 2 5 3 4 2 2" xfId="2666" xr:uid="{C81EC5AD-68C8-483D-9ECA-88C8D5D0A7AC}"/>
    <cellStyle name="Vírgula 3 2 5 3 4 2 3" xfId="7545" xr:uid="{FAE81BAE-313D-428F-BDCC-0FE20934E63C}"/>
    <cellStyle name="Vírgula 3 2 5 3 4 3" xfId="2667" xr:uid="{3AB83725-6678-4E20-B102-4F0EB18C18C8}"/>
    <cellStyle name="Vírgula 3 2 5 3 4 4" xfId="7544" xr:uid="{DA183790-3EE4-40A0-8806-734D33A91DB3}"/>
    <cellStyle name="Vírgula 3 2 5 3 5" xfId="2668" xr:uid="{B4D1C16F-7AAE-474A-8569-0FD81E060DE3}"/>
    <cellStyle name="Vírgula 3 2 5 3 5 2" xfId="2669" xr:uid="{4442FA33-B0F8-4AF7-8D4C-6CE5FDCD90E3}"/>
    <cellStyle name="Vírgula 3 2 5 3 5 3" xfId="7546" xr:uid="{3A6CAF5D-D761-4956-BD3D-B4810613D4EA}"/>
    <cellStyle name="Vírgula 3 2 5 3 6" xfId="2670" xr:uid="{F6F93730-5A0E-435D-AAD4-1ADA0DB960A2}"/>
    <cellStyle name="Vírgula 3 2 5 3 7" xfId="7535" xr:uid="{DD1BA38C-62B5-4180-A5D6-FDFB5B6498F2}"/>
    <cellStyle name="Vírgula 3 2 5 4" xfId="2671" xr:uid="{4AF477DF-FA68-405F-BB2F-4A2800047B80}"/>
    <cellStyle name="Vírgula 3 2 5 4 2" xfId="2672" xr:uid="{1E6AC549-E02D-467D-BCFA-379B5E3ECDB1}"/>
    <cellStyle name="Vírgula 3 2 5 4 2 2" xfId="2673" xr:uid="{D85442EB-7CC1-46BD-A46C-A9044780BA76}"/>
    <cellStyle name="Vírgula 3 2 5 4 2 2 2" xfId="2674" xr:uid="{81EB46A6-C916-44E6-B655-706EB0CD1FB4}"/>
    <cellStyle name="Vírgula 3 2 5 4 2 2 3" xfId="7549" xr:uid="{79165F2A-31EE-4597-BBDD-C2DE1B688CEB}"/>
    <cellStyle name="Vírgula 3 2 5 4 2 3" xfId="2675" xr:uid="{8047B7A2-D3CB-407F-B4A2-ACDCB8187CF3}"/>
    <cellStyle name="Vírgula 3 2 5 4 2 4" xfId="7548" xr:uid="{1A4E26D7-3D9A-4DA9-B612-2836244792B9}"/>
    <cellStyle name="Vírgula 3 2 5 4 3" xfId="2676" xr:uid="{1B9DEF89-A467-420D-81E9-E55E096C7DBE}"/>
    <cellStyle name="Vírgula 3 2 5 4 3 2" xfId="2677" xr:uid="{37C9A60B-AFBB-45FB-99E2-49CF8EA55062}"/>
    <cellStyle name="Vírgula 3 2 5 4 3 2 2" xfId="2678" xr:uid="{ECB898C5-B25D-44F0-A597-A0D88E733CA3}"/>
    <cellStyle name="Vírgula 3 2 5 4 3 2 3" xfId="7551" xr:uid="{FD983A9C-5FB9-48B9-B81D-6DA5B553B1E5}"/>
    <cellStyle name="Vírgula 3 2 5 4 3 3" xfId="2679" xr:uid="{E263E18A-D72A-4A4A-9E22-D736C0CFBAF1}"/>
    <cellStyle name="Vírgula 3 2 5 4 3 4" xfId="7550" xr:uid="{996BE5F5-CFA6-4CF9-A984-084C530A3016}"/>
    <cellStyle name="Vírgula 3 2 5 4 4" xfId="2680" xr:uid="{89B19B5F-954F-421E-BB18-305D5EC7F278}"/>
    <cellStyle name="Vírgula 3 2 5 4 4 2" xfId="2681" xr:uid="{3680E9FB-5CA5-4E66-9B98-B23351538033}"/>
    <cellStyle name="Vírgula 3 2 5 4 4 3" xfId="7552" xr:uid="{8E0B53F1-40B6-4068-A087-5DB62D752A8E}"/>
    <cellStyle name="Vírgula 3 2 5 4 5" xfId="2682" xr:uid="{845DB1AA-2014-4248-B993-630AE3D75802}"/>
    <cellStyle name="Vírgula 3 2 5 4 6" xfId="7547" xr:uid="{4495417A-F7DD-48C1-B09D-A6ECFD5D5ABB}"/>
    <cellStyle name="Vírgula 3 2 5 5" xfId="2683" xr:uid="{C42767F9-0B3F-4A6E-9F39-591661317093}"/>
    <cellStyle name="Vírgula 3 2 5 5 2" xfId="2684" xr:uid="{E9EBC104-47C4-4B59-B480-429581FEA2D5}"/>
    <cellStyle name="Vírgula 3 2 5 5 2 2" xfId="2685" xr:uid="{A5851F7A-5330-4E04-BBCB-8671C12314FD}"/>
    <cellStyle name="Vírgula 3 2 5 5 2 3" xfId="7554" xr:uid="{7C9C6439-CA6E-4717-A6AF-34AAB71A7A37}"/>
    <cellStyle name="Vírgula 3 2 5 5 3" xfId="2686" xr:uid="{8DD98D0F-3E72-413B-AF2A-C92C3A0F5530}"/>
    <cellStyle name="Vírgula 3 2 5 5 4" xfId="7553" xr:uid="{5D93D5F1-96BE-4E93-8A10-2C958195DFB7}"/>
    <cellStyle name="Vírgula 3 2 5 6" xfId="2687" xr:uid="{68E37243-7150-48DC-8AA1-AC77024D227B}"/>
    <cellStyle name="Vírgula 3 2 5 6 2" xfId="2688" xr:uid="{1F8E33CE-959B-4EA7-92E6-159808EFEC8D}"/>
    <cellStyle name="Vírgula 3 2 5 6 2 2" xfId="2689" xr:uid="{6019D4EF-3D0E-49D9-8561-0D217EE73603}"/>
    <cellStyle name="Vírgula 3 2 5 6 2 3" xfId="7556" xr:uid="{AA6B62FE-128A-4C2D-B84E-7438E698E264}"/>
    <cellStyle name="Vírgula 3 2 5 6 3" xfId="2690" xr:uid="{D2069349-579C-4AC1-81A2-DD903A284275}"/>
    <cellStyle name="Vírgula 3 2 5 6 4" xfId="7555" xr:uid="{538559CF-6A6B-4B1F-95ED-D7EB97603297}"/>
    <cellStyle name="Vírgula 3 2 5 7" xfId="2691" xr:uid="{564E28DC-BE4E-4C22-9030-54D6DEBFD6D8}"/>
    <cellStyle name="Vírgula 3 2 5 7 2" xfId="2692" xr:uid="{F4ABFE44-4C52-4332-BE6B-5E786ABAC555}"/>
    <cellStyle name="Vírgula 3 2 5 7 3" xfId="7557" xr:uid="{5D794D58-6DB6-4FC2-B317-A2B759680EDF}"/>
    <cellStyle name="Vírgula 3 2 5 8" xfId="2693" xr:uid="{7058CE4C-A586-48DC-9B03-E8CCAF96A6D0}"/>
    <cellStyle name="Vírgula 3 2 5 9" xfId="7522" xr:uid="{2BBA8B2A-D849-43B1-A794-5DAC89F56D1B}"/>
    <cellStyle name="Vírgula 3 2 6" xfId="2694" xr:uid="{3A68467A-895D-4D88-9E99-9461C42C173B}"/>
    <cellStyle name="Vírgula 3 2 6 2" xfId="2695" xr:uid="{03B9A5DB-DEE6-47E7-95CE-82678EFABF55}"/>
    <cellStyle name="Vírgula 3 2 6 2 2" xfId="2696" xr:uid="{75687037-5269-4B8E-9898-1BB68FB71314}"/>
    <cellStyle name="Vírgula 3 2 6 2 2 2" xfId="2697" xr:uid="{B1614FAC-C7AE-431F-B679-C67CC1A0D240}"/>
    <cellStyle name="Vírgula 3 2 6 2 2 2 2" xfId="2698" xr:uid="{A2176E30-1DC7-4C07-9774-55D2C9A6574E}"/>
    <cellStyle name="Vírgula 3 2 6 2 2 2 3" xfId="7561" xr:uid="{E7F8649D-43D6-4C4D-BAB0-4D8673557DB1}"/>
    <cellStyle name="Vírgula 3 2 6 2 2 3" xfId="2699" xr:uid="{6696E688-B546-4F13-8164-D5E3BF083F7C}"/>
    <cellStyle name="Vírgula 3 2 6 2 2 4" xfId="7560" xr:uid="{87AF13CF-DDCC-4909-AB42-E37ED9F1E622}"/>
    <cellStyle name="Vírgula 3 2 6 2 3" xfId="2700" xr:uid="{F924DCA2-F792-46D7-B947-1AEDBB6691BF}"/>
    <cellStyle name="Vírgula 3 2 6 2 3 2" xfId="2701" xr:uid="{111BFB07-2D09-446C-A560-2F636987272C}"/>
    <cellStyle name="Vírgula 3 2 6 2 3 2 2" xfId="2702" xr:uid="{443CE987-3680-4601-BF1C-7703B7F952B1}"/>
    <cellStyle name="Vírgula 3 2 6 2 3 2 3" xfId="7563" xr:uid="{59DBE6EF-1DAB-440B-981C-35A3993379BF}"/>
    <cellStyle name="Vírgula 3 2 6 2 3 3" xfId="2703" xr:uid="{652F739C-4D7A-4C45-8929-D8D0749B25C9}"/>
    <cellStyle name="Vírgula 3 2 6 2 3 4" xfId="7562" xr:uid="{184AA578-B85F-4882-AB1A-2C20D59586C8}"/>
    <cellStyle name="Vírgula 3 2 6 2 4" xfId="2704" xr:uid="{EC1B89BE-C716-4FAC-8E9B-BA80B8338672}"/>
    <cellStyle name="Vírgula 3 2 6 2 4 2" xfId="2705" xr:uid="{91A67C3D-DC99-4C7C-8630-3C70165BBAA3}"/>
    <cellStyle name="Vírgula 3 2 6 2 4 3" xfId="7564" xr:uid="{1BCED4CE-2156-4048-A169-1F08F468D313}"/>
    <cellStyle name="Vírgula 3 2 6 2 5" xfId="2706" xr:uid="{C1268DB7-9FE1-40F9-BA6A-4DD7D251E0FE}"/>
    <cellStyle name="Vírgula 3 2 6 2 6" xfId="7559" xr:uid="{72328F54-1081-4AB5-AE77-3804211F71CE}"/>
    <cellStyle name="Vírgula 3 2 6 3" xfId="2707" xr:uid="{C2CE73E1-F8CD-44C2-BB51-8082CB7C5DC8}"/>
    <cellStyle name="Vírgula 3 2 6 3 2" xfId="2708" xr:uid="{121BD994-5C06-40ED-B0E8-61DE37300BA8}"/>
    <cellStyle name="Vírgula 3 2 6 3 2 2" xfId="2709" xr:uid="{078380D7-E709-478A-B414-53CF44E01583}"/>
    <cellStyle name="Vírgula 3 2 6 3 2 3" xfId="7566" xr:uid="{C0D85D14-79DA-45E7-A810-3A502105FACE}"/>
    <cellStyle name="Vírgula 3 2 6 3 3" xfId="2710" xr:uid="{4C12A72D-8EE1-4580-8F18-98BDBEE60F41}"/>
    <cellStyle name="Vírgula 3 2 6 3 4" xfId="7565" xr:uid="{4AAE2992-DB39-41DE-8935-675F704FEDB1}"/>
    <cellStyle name="Vírgula 3 2 6 4" xfId="2711" xr:uid="{F2D0F8F6-621B-4410-B7F3-6BFFCB1C5413}"/>
    <cellStyle name="Vírgula 3 2 6 4 2" xfId="2712" xr:uid="{E9E0E4B8-1DDF-4872-A4D5-2F21CEAD1E31}"/>
    <cellStyle name="Vírgula 3 2 6 4 2 2" xfId="2713" xr:uid="{0D777B63-C212-4153-8A50-20321035F38B}"/>
    <cellStyle name="Vírgula 3 2 6 4 2 3" xfId="7568" xr:uid="{AD58FC8C-0A28-40CE-B805-D45C3859CC24}"/>
    <cellStyle name="Vírgula 3 2 6 4 3" xfId="2714" xr:uid="{24CD25DF-1695-49DC-9D0E-2B7041D0984D}"/>
    <cellStyle name="Vírgula 3 2 6 4 4" xfId="7567" xr:uid="{5985FE16-0884-4150-BB95-4D399C584D1F}"/>
    <cellStyle name="Vírgula 3 2 6 5" xfId="2715" xr:uid="{B318AEAF-8C47-491C-A459-51C122A88AFC}"/>
    <cellStyle name="Vírgula 3 2 6 5 2" xfId="2716" xr:uid="{1B885BC7-D627-4E81-AFE0-EB2E1F17D5F7}"/>
    <cellStyle name="Vírgula 3 2 6 5 3" xfId="7569" xr:uid="{3CF34F1B-78D2-439D-A8F9-7AE49D314C50}"/>
    <cellStyle name="Vírgula 3 2 6 6" xfId="2717" xr:uid="{065357A8-D004-4CCA-B24A-EFECBF0B2CBD}"/>
    <cellStyle name="Vírgula 3 2 6 7" xfId="7558" xr:uid="{7FD7B97A-4FFB-48DF-8F0E-836645172553}"/>
    <cellStyle name="Vírgula 3 2 7" xfId="2718" xr:uid="{4DF6B3A1-B987-4DAB-9F66-293B2D98F88F}"/>
    <cellStyle name="Vírgula 3 2 7 2" xfId="2719" xr:uid="{54F026A2-AFC5-41A3-93CA-739E0650EA56}"/>
    <cellStyle name="Vírgula 3 2 7 2 2" xfId="2720" xr:uid="{76B2FFAC-53C1-4382-8915-9282BDAA4046}"/>
    <cellStyle name="Vírgula 3 2 7 2 2 2" xfId="2721" xr:uid="{4ED4A090-3933-4986-8CA4-25B4E5C33CE0}"/>
    <cellStyle name="Vírgula 3 2 7 2 2 2 2" xfId="2722" xr:uid="{1D0EDF45-FDFF-4627-BED5-8A676B074A4C}"/>
    <cellStyle name="Vírgula 3 2 7 2 2 2 3" xfId="7573" xr:uid="{D49EF9DD-ABA9-464A-A1E7-35D7CFB8A9CA}"/>
    <cellStyle name="Vírgula 3 2 7 2 2 3" xfId="2723" xr:uid="{99223FFC-2894-4D61-BB7E-99D911EEF5F3}"/>
    <cellStyle name="Vírgula 3 2 7 2 2 4" xfId="7572" xr:uid="{095670C7-A1CD-4942-BB5A-868C704EA4E3}"/>
    <cellStyle name="Vírgula 3 2 7 2 3" xfId="2724" xr:uid="{0CCE34B3-0DBD-45AF-BD17-054343A8AF31}"/>
    <cellStyle name="Vírgula 3 2 7 2 3 2" xfId="2725" xr:uid="{899AFE65-603B-4594-B827-A3E734D38848}"/>
    <cellStyle name="Vírgula 3 2 7 2 3 2 2" xfId="2726" xr:uid="{479B1C62-25D9-464F-A737-5FD707273725}"/>
    <cellStyle name="Vírgula 3 2 7 2 3 2 3" xfId="7575" xr:uid="{3676FDD9-DB3A-4A19-B836-7D48E11B31CB}"/>
    <cellStyle name="Vírgula 3 2 7 2 3 3" xfId="2727" xr:uid="{037AA6F7-5300-481D-B8A7-A88DC9A95231}"/>
    <cellStyle name="Vírgula 3 2 7 2 3 4" xfId="7574" xr:uid="{51F327CE-955B-4941-920F-B16FD37A9A63}"/>
    <cellStyle name="Vírgula 3 2 7 2 4" xfId="2728" xr:uid="{795F5EFE-9EA8-4B66-A863-7FBECAA5A8A8}"/>
    <cellStyle name="Vírgula 3 2 7 2 4 2" xfId="2729" xr:uid="{0B18B86F-1729-42AD-A392-7BBABEED25BF}"/>
    <cellStyle name="Vírgula 3 2 7 2 4 3" xfId="7576" xr:uid="{F49D1EC2-907D-4137-B419-65454AE3DFCD}"/>
    <cellStyle name="Vírgula 3 2 7 2 5" xfId="2730" xr:uid="{16C61040-D1AA-417C-8CC2-6CC96A858F03}"/>
    <cellStyle name="Vírgula 3 2 7 2 6" xfId="7571" xr:uid="{CAD0C90F-AB10-4FAB-BA95-C38AAF94E9DC}"/>
    <cellStyle name="Vírgula 3 2 7 3" xfId="2731" xr:uid="{A8C817A2-EFED-48B4-BA46-F14BF3163FCB}"/>
    <cellStyle name="Vírgula 3 2 7 3 2" xfId="2732" xr:uid="{5657B3A9-C9BE-44A0-8558-24069DF68D5F}"/>
    <cellStyle name="Vírgula 3 2 7 3 2 2" xfId="2733" xr:uid="{E2CD7FC6-CE70-4521-A8C9-FCD4EEC147A2}"/>
    <cellStyle name="Vírgula 3 2 7 3 2 3" xfId="7578" xr:uid="{FA48B993-2014-4D89-A377-02A81778F7C4}"/>
    <cellStyle name="Vírgula 3 2 7 3 3" xfId="2734" xr:uid="{8BEB998B-BCB2-4B99-9832-5CC37291B7F8}"/>
    <cellStyle name="Vírgula 3 2 7 3 4" xfId="7577" xr:uid="{6CCA2364-1877-49E9-B411-08F3620C6D3B}"/>
    <cellStyle name="Vírgula 3 2 7 4" xfId="2735" xr:uid="{C65102E4-3C2E-456E-A1BB-D350AC190606}"/>
    <cellStyle name="Vírgula 3 2 7 4 2" xfId="2736" xr:uid="{011B254E-47F8-440D-A2EE-316468CDE1DA}"/>
    <cellStyle name="Vírgula 3 2 7 4 2 2" xfId="2737" xr:uid="{34863720-6350-4971-86F2-9AC20C3D3D5E}"/>
    <cellStyle name="Vírgula 3 2 7 4 2 3" xfId="7580" xr:uid="{597C74EB-2CD7-45F5-A310-68565A8C9484}"/>
    <cellStyle name="Vírgula 3 2 7 4 3" xfId="2738" xr:uid="{427A6E07-D412-437A-87F1-01F317DB1124}"/>
    <cellStyle name="Vírgula 3 2 7 4 4" xfId="7579" xr:uid="{73FD0F90-BA94-4293-821C-57D70B4184ED}"/>
    <cellStyle name="Vírgula 3 2 7 5" xfId="2739" xr:uid="{E236FB55-C2BE-4572-B007-C9314F33F466}"/>
    <cellStyle name="Vírgula 3 2 7 5 2" xfId="2740" xr:uid="{FF6B015B-6BB8-4175-AAD7-F5796D86C7AE}"/>
    <cellStyle name="Vírgula 3 2 7 5 3" xfId="7581" xr:uid="{14757360-6B87-4E32-A1CB-ACEDD42E5AA1}"/>
    <cellStyle name="Vírgula 3 2 7 6" xfId="2741" xr:uid="{F4AC35BC-43A7-4EDD-BCC8-2EC6A3D92742}"/>
    <cellStyle name="Vírgula 3 2 7 7" xfId="7570" xr:uid="{DDACEA69-5680-45D7-86A3-B6606D49AD19}"/>
    <cellStyle name="Vírgula 3 2 8" xfId="2742" xr:uid="{78F96B25-A8BB-40B8-9190-8E6AA98E125A}"/>
    <cellStyle name="Vírgula 3 2 8 2" xfId="2743" xr:uid="{1BC06E3D-9100-4A29-BFF3-C280B29F0CF8}"/>
    <cellStyle name="Vírgula 3 2 8 2 2" xfId="2744" xr:uid="{C9C8EA5F-12AB-424A-95D6-AD5974C0C417}"/>
    <cellStyle name="Vírgula 3 2 8 2 2 2" xfId="2745" xr:uid="{EC39BE76-2F5C-4933-B5BC-33112BCA468F}"/>
    <cellStyle name="Vírgula 3 2 8 2 2 3" xfId="7584" xr:uid="{C2B7E32F-BABC-4A8C-B5C7-55CD91C65D1C}"/>
    <cellStyle name="Vírgula 3 2 8 2 3" xfId="2746" xr:uid="{E6D88874-E8AB-4173-A9A1-6C38FED3EE51}"/>
    <cellStyle name="Vírgula 3 2 8 2 4" xfId="7583" xr:uid="{E427412B-6811-4A8B-B086-DADDA5332272}"/>
    <cellStyle name="Vírgula 3 2 8 3" xfId="2747" xr:uid="{E136190B-63CB-4316-9791-EA5101DA6551}"/>
    <cellStyle name="Vírgula 3 2 8 3 2" xfId="2748" xr:uid="{F08DE83E-0857-4A3B-9D61-B375189438E6}"/>
    <cellStyle name="Vírgula 3 2 8 3 2 2" xfId="2749" xr:uid="{8DB1E66C-F8A2-4F8F-9545-D27BFEAEDF33}"/>
    <cellStyle name="Vírgula 3 2 8 3 2 3" xfId="7586" xr:uid="{329EF60C-3165-404E-BF2F-90ED0EB8B010}"/>
    <cellStyle name="Vírgula 3 2 8 3 3" xfId="2750" xr:uid="{BE9F5845-1251-45A2-B63C-AE46A7F35942}"/>
    <cellStyle name="Vírgula 3 2 8 3 4" xfId="7585" xr:uid="{CC30F291-5BBE-43C1-A5E2-805F0658DCDE}"/>
    <cellStyle name="Vírgula 3 2 8 4" xfId="2751" xr:uid="{3B3590F0-0E20-4CB6-B0B6-CAF39CE11D5F}"/>
    <cellStyle name="Vírgula 3 2 8 4 2" xfId="2752" xr:uid="{F1CBA3CF-B58C-4AD5-B230-B0C7DF728537}"/>
    <cellStyle name="Vírgula 3 2 8 4 3" xfId="7587" xr:uid="{0D76581C-6C07-43B0-93ED-62CDE30FDEFE}"/>
    <cellStyle name="Vírgula 3 2 8 5" xfId="2753" xr:uid="{C7FE79FF-C9ED-4E46-98BE-AC32FA9D1F03}"/>
    <cellStyle name="Vírgula 3 2 8 6" xfId="7582" xr:uid="{D4DE0B7F-3322-491E-BCBB-1B5B839984D5}"/>
    <cellStyle name="Vírgula 3 2 9" xfId="2754" xr:uid="{356B3A7D-CB42-401C-9FE7-EC7A5A4E5C35}"/>
    <cellStyle name="Vírgula 3 2 9 2" xfId="2755" xr:uid="{44457ACD-5250-43C5-922E-0025B19BAB5D}"/>
    <cellStyle name="Vírgula 3 2 9 2 2" xfId="2756" xr:uid="{6598B4B0-55ED-4BD6-8187-D5A000DBBE57}"/>
    <cellStyle name="Vírgula 3 2 9 2 3" xfId="7589" xr:uid="{C0B9F361-E4FF-4319-A939-E90ACF70D5BC}"/>
    <cellStyle name="Vírgula 3 2 9 3" xfId="2757" xr:uid="{2D66896A-A838-477A-806A-7A56029D42FC}"/>
    <cellStyle name="Vírgula 3 2 9 4" xfId="7588" xr:uid="{A51526D4-E3B5-4818-8D54-0F0D7B6E7B09}"/>
    <cellStyle name="Vírgula 4" xfId="2758" xr:uid="{591D1FC0-14EA-428B-9B75-EFA0BE224D0E}"/>
    <cellStyle name="Vírgula 4 2" xfId="2759" xr:uid="{7F0AF796-54B5-49C8-855D-89D7DE4E9DBA}"/>
    <cellStyle name="Vírgula 4 2 10" xfId="2760" xr:uid="{B33DC2D6-B2AE-43E5-A897-7F67E74FCF31}"/>
    <cellStyle name="Vírgula 4 2 10 2" xfId="2761" xr:uid="{339A55E7-D4E8-4A5F-8DFD-3BED69F14548}"/>
    <cellStyle name="Vírgula 4 2 10 2 2" xfId="2762" xr:uid="{D0A3D96E-E307-486E-A72D-3DAD3B1EF44E}"/>
    <cellStyle name="Vírgula 4 2 10 2 3" xfId="7592" xr:uid="{125C56A0-DEA7-416A-AF67-EB5F7B3F99A1}"/>
    <cellStyle name="Vírgula 4 2 10 3" xfId="2763" xr:uid="{CB3878A3-9737-4CBA-B616-2FF5355AC773}"/>
    <cellStyle name="Vírgula 4 2 10 4" xfId="7591" xr:uid="{AC1B3FB9-4B9D-4BB3-82D5-FCB40DF65ADD}"/>
    <cellStyle name="Vírgula 4 2 11" xfId="2764" xr:uid="{F685BDE1-8AF5-4951-A76B-16FEAA6FA1E7}"/>
    <cellStyle name="Vírgula 4 2 11 2" xfId="2765" xr:uid="{EA02D870-969B-46B0-A0CE-70C7EFA67DA4}"/>
    <cellStyle name="Vírgula 4 2 11 3" xfId="7593" xr:uid="{B67F930B-2B2A-4E5D-9D01-FCA865FA489C}"/>
    <cellStyle name="Vírgula 4 2 12" xfId="2766" xr:uid="{78F9E333-CEF5-4F7C-876D-DA11C82312EA}"/>
    <cellStyle name="Vírgula 4 2 13" xfId="7590" xr:uid="{CF7D9912-2D2A-45F6-BF5D-2731E0980FAC}"/>
    <cellStyle name="Vírgula 4 2 2" xfId="2767" xr:uid="{02866DA8-9A47-497E-9CA0-51F602C18F24}"/>
    <cellStyle name="Vírgula 4 2 2 10" xfId="2768" xr:uid="{EE440B55-B3C6-4A66-8EE6-4F79EF6B3BD0}"/>
    <cellStyle name="Vírgula 4 2 2 10 2" xfId="2769" xr:uid="{79817E7D-EEE6-4DB3-AF82-ED6321CC45F5}"/>
    <cellStyle name="Vírgula 4 2 2 10 3" xfId="7595" xr:uid="{2E11702C-7D5A-4477-95CF-007073BB3C5C}"/>
    <cellStyle name="Vírgula 4 2 2 11" xfId="2770" xr:uid="{DD317354-8897-402E-9EB7-9294A6C5CF69}"/>
    <cellStyle name="Vírgula 4 2 2 12" xfId="7594" xr:uid="{65A1D0F2-7C2B-4716-B8F2-89BD25EF5882}"/>
    <cellStyle name="Vírgula 4 2 2 2" xfId="2771" xr:uid="{8AAD5C5E-14E1-444E-AFC5-304FECB15F46}"/>
    <cellStyle name="Vírgula 4 2 2 2 2" xfId="2772" xr:uid="{ED8FEB7A-B3A7-44CE-8844-3C0C130CE58D}"/>
    <cellStyle name="Vírgula 4 2 2 2 2 2" xfId="2773" xr:uid="{4B85B925-4B85-4EA3-91FD-0036C46ED7A1}"/>
    <cellStyle name="Vírgula 4 2 2 2 2 2 2" xfId="2774" xr:uid="{5CF112B0-9816-4FAD-9DE7-DD5E44E68667}"/>
    <cellStyle name="Vírgula 4 2 2 2 2 2 2 2" xfId="2775" xr:uid="{B3D13771-7778-4A31-9222-71FFFE6A7D80}"/>
    <cellStyle name="Vírgula 4 2 2 2 2 2 2 2 2" xfId="2776" xr:uid="{3207EB32-F0F8-4F50-BD96-61E0761C43FB}"/>
    <cellStyle name="Vírgula 4 2 2 2 2 2 2 2 3" xfId="7600" xr:uid="{2A5E8FF6-E686-4B60-997D-A1AB91FC77A2}"/>
    <cellStyle name="Vírgula 4 2 2 2 2 2 2 3" xfId="2777" xr:uid="{E46378D7-5B11-4876-89ED-0B3363264D59}"/>
    <cellStyle name="Vírgula 4 2 2 2 2 2 2 4" xfId="7599" xr:uid="{474A11C8-3BFB-46D9-9670-E28EF11452FB}"/>
    <cellStyle name="Vírgula 4 2 2 2 2 2 3" xfId="2778" xr:uid="{8A646C31-346E-44FF-BECC-71F2C01CB7B9}"/>
    <cellStyle name="Vírgula 4 2 2 2 2 2 3 2" xfId="2779" xr:uid="{65242FE2-74EF-436A-81D5-CBE497EC9F10}"/>
    <cellStyle name="Vírgula 4 2 2 2 2 2 3 2 2" xfId="2780" xr:uid="{029AED83-208E-4381-A573-F888249B4871}"/>
    <cellStyle name="Vírgula 4 2 2 2 2 2 3 2 3" xfId="7602" xr:uid="{843DF9BF-1548-48E3-8E9D-C237CE18CE90}"/>
    <cellStyle name="Vírgula 4 2 2 2 2 2 3 3" xfId="2781" xr:uid="{CC144059-AC79-41F8-B294-26B9C924664E}"/>
    <cellStyle name="Vírgula 4 2 2 2 2 2 3 4" xfId="7601" xr:uid="{7E459293-F39A-4C10-B4FB-AB2563726D0D}"/>
    <cellStyle name="Vírgula 4 2 2 2 2 2 4" xfId="2782" xr:uid="{248F449E-CB86-408F-BBAF-025CE33759FF}"/>
    <cellStyle name="Vírgula 4 2 2 2 2 2 4 2" xfId="2783" xr:uid="{9B666A47-B1E6-44E2-B0ED-99CB7948A473}"/>
    <cellStyle name="Vírgula 4 2 2 2 2 2 4 3" xfId="7603" xr:uid="{2635E7DF-65DD-4115-B3B8-609496A17B97}"/>
    <cellStyle name="Vírgula 4 2 2 2 2 2 5" xfId="2784" xr:uid="{EC22F991-C596-4B8D-A0EC-0FB86755990E}"/>
    <cellStyle name="Vírgula 4 2 2 2 2 2 6" xfId="7598" xr:uid="{0B2B3693-F5C8-4575-B48D-ED43295325CC}"/>
    <cellStyle name="Vírgula 4 2 2 2 2 3" xfId="2785" xr:uid="{B17D6AE3-1FEC-42D3-881D-DA519D77E89E}"/>
    <cellStyle name="Vírgula 4 2 2 2 2 3 2" xfId="2786" xr:uid="{23BFA705-5A02-407A-B744-A43581853A10}"/>
    <cellStyle name="Vírgula 4 2 2 2 2 3 2 2" xfId="2787" xr:uid="{403451F6-1441-4F17-BF54-09645B7DF0ED}"/>
    <cellStyle name="Vírgula 4 2 2 2 2 3 2 3" xfId="7605" xr:uid="{3DBDB85F-0D24-4460-8A3E-2C19BD85E934}"/>
    <cellStyle name="Vírgula 4 2 2 2 2 3 3" xfId="2788" xr:uid="{4BB9DC13-7BB0-4802-B66D-7653468BCBEA}"/>
    <cellStyle name="Vírgula 4 2 2 2 2 3 4" xfId="7604" xr:uid="{58D92454-54B4-4B36-BE77-46785414A588}"/>
    <cellStyle name="Vírgula 4 2 2 2 2 4" xfId="2789" xr:uid="{44FB32B6-3360-46E5-A040-B2C2AFE6BCE3}"/>
    <cellStyle name="Vírgula 4 2 2 2 2 4 2" xfId="2790" xr:uid="{89730CE2-FA56-4147-9555-7A094F094FD0}"/>
    <cellStyle name="Vírgula 4 2 2 2 2 4 2 2" xfId="2791" xr:uid="{756F6A0B-D291-4A2F-B679-927CDC47EC63}"/>
    <cellStyle name="Vírgula 4 2 2 2 2 4 2 3" xfId="7607" xr:uid="{7BA9B5A1-096A-4E3C-890A-D22DDAC72A6D}"/>
    <cellStyle name="Vírgula 4 2 2 2 2 4 3" xfId="2792" xr:uid="{57503D01-7246-4BEC-9C45-9AF591AE78CF}"/>
    <cellStyle name="Vírgula 4 2 2 2 2 4 4" xfId="7606" xr:uid="{C43767F1-B359-4A64-B2C1-3054CD058C3D}"/>
    <cellStyle name="Vírgula 4 2 2 2 2 5" xfId="2793" xr:uid="{A953850A-FCA9-45E8-B476-131A028215CD}"/>
    <cellStyle name="Vírgula 4 2 2 2 2 5 2" xfId="2794" xr:uid="{C8199503-BADF-4B7F-A072-06029B1FE477}"/>
    <cellStyle name="Vírgula 4 2 2 2 2 5 3" xfId="7608" xr:uid="{BBDD58AD-206A-4D0E-BFA0-CDC7DD62AE34}"/>
    <cellStyle name="Vírgula 4 2 2 2 2 6" xfId="2795" xr:uid="{6888F887-FE30-49D4-BBFB-181E551E9EA0}"/>
    <cellStyle name="Vírgula 4 2 2 2 2 7" xfId="7597" xr:uid="{6AD041C4-A2BB-44A9-8C37-8BBF06358E7D}"/>
    <cellStyle name="Vírgula 4 2 2 2 3" xfId="2796" xr:uid="{B41BBAB4-42C7-4ACF-A809-90C39225C87D}"/>
    <cellStyle name="Vírgula 4 2 2 2 3 2" xfId="2797" xr:uid="{C08643E3-735B-4F76-8674-DB18229859A8}"/>
    <cellStyle name="Vírgula 4 2 2 2 3 2 2" xfId="2798" xr:uid="{43465DD8-3C85-46EA-AD77-50DE0A5E989B}"/>
    <cellStyle name="Vírgula 4 2 2 2 3 2 2 2" xfId="2799" xr:uid="{3251A5D6-82EC-4460-9B56-5A0EC4D511C1}"/>
    <cellStyle name="Vírgula 4 2 2 2 3 2 2 2 2" xfId="2800" xr:uid="{4F763D41-EE7A-45AD-8D6E-9BA78093FDE8}"/>
    <cellStyle name="Vírgula 4 2 2 2 3 2 2 2 3" xfId="7612" xr:uid="{B9CB494C-85DF-47F4-A690-ADF6A28897BC}"/>
    <cellStyle name="Vírgula 4 2 2 2 3 2 2 3" xfId="2801" xr:uid="{74F5EDBA-CBE2-4029-B00B-AEAB4BC102BC}"/>
    <cellStyle name="Vírgula 4 2 2 2 3 2 2 4" xfId="7611" xr:uid="{91637127-48F8-41CE-876B-3EDBA05B6638}"/>
    <cellStyle name="Vírgula 4 2 2 2 3 2 3" xfId="2802" xr:uid="{471C3FF7-D15A-4E13-AAED-38CA5DF84CD4}"/>
    <cellStyle name="Vírgula 4 2 2 2 3 2 3 2" xfId="2803" xr:uid="{B4D7BC36-9478-450D-A751-7B516A83FE89}"/>
    <cellStyle name="Vírgula 4 2 2 2 3 2 3 2 2" xfId="2804" xr:uid="{C5F2407A-B1FB-40F6-BD64-255BF68A7218}"/>
    <cellStyle name="Vírgula 4 2 2 2 3 2 3 2 3" xfId="7614" xr:uid="{3BDEFB89-1556-43A5-8FE0-8AEB5DD7DAE5}"/>
    <cellStyle name="Vírgula 4 2 2 2 3 2 3 3" xfId="2805" xr:uid="{D9137E2F-FB7C-4811-A437-BE901D36C13B}"/>
    <cellStyle name="Vírgula 4 2 2 2 3 2 3 4" xfId="7613" xr:uid="{219DBF1B-0BD5-42D6-84C3-5995F2165B15}"/>
    <cellStyle name="Vírgula 4 2 2 2 3 2 4" xfId="2806" xr:uid="{4B039044-4726-407B-B27C-0DDE003C8623}"/>
    <cellStyle name="Vírgula 4 2 2 2 3 2 4 2" xfId="2807" xr:uid="{5A51884E-BE87-4C29-A84C-76D9646C5CD6}"/>
    <cellStyle name="Vírgula 4 2 2 2 3 2 4 3" xfId="7615" xr:uid="{EBC3F66B-C0E4-4566-BEC9-732EBA768202}"/>
    <cellStyle name="Vírgula 4 2 2 2 3 2 5" xfId="2808" xr:uid="{25D83946-AEB6-4A1C-A420-BABDF2F1384C}"/>
    <cellStyle name="Vírgula 4 2 2 2 3 2 6" xfId="7610" xr:uid="{80848F76-C279-4055-9AF4-B380CBE83AD7}"/>
    <cellStyle name="Vírgula 4 2 2 2 3 3" xfId="2809" xr:uid="{420645D3-8E78-4DDB-8B0F-29ECDB572FB4}"/>
    <cellStyle name="Vírgula 4 2 2 2 3 3 2" xfId="2810" xr:uid="{13BCDBC3-4490-4F57-9B7D-3CCF3D0D79AE}"/>
    <cellStyle name="Vírgula 4 2 2 2 3 3 2 2" xfId="2811" xr:uid="{F27A460F-9BD6-40C2-828F-09902E3DF97D}"/>
    <cellStyle name="Vírgula 4 2 2 2 3 3 2 3" xfId="7617" xr:uid="{DDCB8557-566B-49CD-BF0B-3B155557BD3D}"/>
    <cellStyle name="Vírgula 4 2 2 2 3 3 3" xfId="2812" xr:uid="{524A9A30-4F9C-4B90-8FA3-920BBBED8A20}"/>
    <cellStyle name="Vírgula 4 2 2 2 3 3 4" xfId="7616" xr:uid="{D57C9935-5E7C-4246-B156-BB692DF8E2DD}"/>
    <cellStyle name="Vírgula 4 2 2 2 3 4" xfId="2813" xr:uid="{89007FFC-1608-464F-975E-9644B65C5E63}"/>
    <cellStyle name="Vírgula 4 2 2 2 3 4 2" xfId="2814" xr:uid="{D4AE56A4-5051-4375-B968-37662FB55935}"/>
    <cellStyle name="Vírgula 4 2 2 2 3 4 2 2" xfId="2815" xr:uid="{348F2B75-C0A3-40CD-B0C3-5AEF2B40CDA8}"/>
    <cellStyle name="Vírgula 4 2 2 2 3 4 2 3" xfId="7619" xr:uid="{1A04CFB1-C693-462A-A7B8-B7B631DD051C}"/>
    <cellStyle name="Vírgula 4 2 2 2 3 4 3" xfId="2816" xr:uid="{F95D4628-DFF3-4330-B47B-E09569AEF873}"/>
    <cellStyle name="Vírgula 4 2 2 2 3 4 4" xfId="7618" xr:uid="{2C2DD2C3-642A-4695-BCBB-1C60B6BA7985}"/>
    <cellStyle name="Vírgula 4 2 2 2 3 5" xfId="2817" xr:uid="{53653D10-5F11-4D2E-BEC2-29DF43A98F8B}"/>
    <cellStyle name="Vírgula 4 2 2 2 3 5 2" xfId="2818" xr:uid="{FAF8E8B0-29A2-4031-AA8C-872445FE49A1}"/>
    <cellStyle name="Vírgula 4 2 2 2 3 5 3" xfId="7620" xr:uid="{B5D7CB6F-623F-4E7E-8B6D-6E3CB399560F}"/>
    <cellStyle name="Vírgula 4 2 2 2 3 6" xfId="2819" xr:uid="{F65795AA-CD66-4E4A-9C25-37E9E5A6C223}"/>
    <cellStyle name="Vírgula 4 2 2 2 3 7" xfId="7609" xr:uid="{055C2DE5-DCC2-4BE2-BCF5-73F6388EF482}"/>
    <cellStyle name="Vírgula 4 2 2 2 4" xfId="2820" xr:uid="{322E9FC2-4CC8-4E64-AFDF-D0FE65C7DCC4}"/>
    <cellStyle name="Vírgula 4 2 2 2 4 2" xfId="2821" xr:uid="{4683E98B-E1A5-4576-BAF2-E7AE2732F23F}"/>
    <cellStyle name="Vírgula 4 2 2 2 4 2 2" xfId="2822" xr:uid="{FB51F987-1A2B-46D6-A198-016540F88884}"/>
    <cellStyle name="Vírgula 4 2 2 2 4 2 2 2" xfId="2823" xr:uid="{4122E6D3-77E1-4DE7-B0F1-5EB213761B12}"/>
    <cellStyle name="Vírgula 4 2 2 2 4 2 2 3" xfId="7623" xr:uid="{68784926-A322-469D-B5EF-C4697B861CD1}"/>
    <cellStyle name="Vírgula 4 2 2 2 4 2 3" xfId="2824" xr:uid="{1D95EF63-8163-47D0-829E-0CA6A2FD4444}"/>
    <cellStyle name="Vírgula 4 2 2 2 4 2 4" xfId="7622" xr:uid="{E65ED600-2807-431B-A88D-0E6920DB2DAA}"/>
    <cellStyle name="Vírgula 4 2 2 2 4 3" xfId="2825" xr:uid="{275C6EB2-E140-4D1F-B682-2E32419E9CBE}"/>
    <cellStyle name="Vírgula 4 2 2 2 4 3 2" xfId="2826" xr:uid="{0471BC23-A9C0-4EA4-9D38-D65CF9A776E9}"/>
    <cellStyle name="Vírgula 4 2 2 2 4 3 2 2" xfId="2827" xr:uid="{B67D2A40-12A1-4400-83C0-5FD93659B166}"/>
    <cellStyle name="Vírgula 4 2 2 2 4 3 2 3" xfId="7625" xr:uid="{92074B1D-8BBE-4D8D-944D-72EE2F9DD9ED}"/>
    <cellStyle name="Vírgula 4 2 2 2 4 3 3" xfId="2828" xr:uid="{ABCA5F98-99B7-4E12-9AA6-56521D3C79B5}"/>
    <cellStyle name="Vírgula 4 2 2 2 4 3 4" xfId="7624" xr:uid="{39D8AF9F-CE02-4E61-8DFC-8F463159D4C6}"/>
    <cellStyle name="Vírgula 4 2 2 2 4 4" xfId="2829" xr:uid="{CD773D39-9785-40D0-91D4-9452A5C5003F}"/>
    <cellStyle name="Vírgula 4 2 2 2 4 4 2" xfId="2830" xr:uid="{6ED0A856-A676-4480-9849-76C71ED3BC7C}"/>
    <cellStyle name="Vírgula 4 2 2 2 4 4 3" xfId="7626" xr:uid="{1888237C-0DFD-4D45-8D94-F94410C3A730}"/>
    <cellStyle name="Vírgula 4 2 2 2 4 5" xfId="2831" xr:uid="{7F0BD72D-9F1F-463C-8E5A-B8ED5B4F40BC}"/>
    <cellStyle name="Vírgula 4 2 2 2 4 6" xfId="7621" xr:uid="{37D53DDA-816D-4A02-A518-9E9DA88EFE98}"/>
    <cellStyle name="Vírgula 4 2 2 2 5" xfId="2832" xr:uid="{2C73434C-450A-4647-8205-81030B391A0F}"/>
    <cellStyle name="Vírgula 4 2 2 2 5 2" xfId="2833" xr:uid="{CD431A24-71EB-4E6C-A2D1-1C4FEBE56905}"/>
    <cellStyle name="Vírgula 4 2 2 2 5 2 2" xfId="2834" xr:uid="{762D28CD-CC61-4318-8FCF-9E0FF461EF21}"/>
    <cellStyle name="Vírgula 4 2 2 2 5 2 3" xfId="7628" xr:uid="{132FD551-2781-44E0-B67E-B1DDC9192F31}"/>
    <cellStyle name="Vírgula 4 2 2 2 5 3" xfId="2835" xr:uid="{71B4B456-9E7F-4A2D-B0E1-9B1F837A9EDD}"/>
    <cellStyle name="Vírgula 4 2 2 2 5 4" xfId="7627" xr:uid="{B4584471-66E7-4276-B06E-9410CBE3063F}"/>
    <cellStyle name="Vírgula 4 2 2 2 6" xfId="2836" xr:uid="{7CA58F19-91DA-41F3-9E54-2E0C64027D69}"/>
    <cellStyle name="Vírgula 4 2 2 2 6 2" xfId="2837" xr:uid="{CA3130C3-0D4D-4B9B-B55C-07587F87133B}"/>
    <cellStyle name="Vírgula 4 2 2 2 6 2 2" xfId="2838" xr:uid="{A2AE8A66-DF3D-48EB-B6D2-42EDA74EE731}"/>
    <cellStyle name="Vírgula 4 2 2 2 6 2 3" xfId="7630" xr:uid="{2B2AAB8C-1D55-4815-9994-F7936937A118}"/>
    <cellStyle name="Vírgula 4 2 2 2 6 3" xfId="2839" xr:uid="{D1966D2A-C377-4F8C-8FE7-B3EAD566755D}"/>
    <cellStyle name="Vírgula 4 2 2 2 6 4" xfId="7629" xr:uid="{041F084B-A76E-4772-AF40-A3DED32D0951}"/>
    <cellStyle name="Vírgula 4 2 2 2 7" xfId="2840" xr:uid="{39C0CFA4-5886-40A7-9478-031F8105106A}"/>
    <cellStyle name="Vírgula 4 2 2 2 7 2" xfId="2841" xr:uid="{EE9C2C52-A4E0-455C-AB73-0FD6A742B1C6}"/>
    <cellStyle name="Vírgula 4 2 2 2 7 3" xfId="7631" xr:uid="{CA246B8A-613D-40F0-B284-0CAC39F0A919}"/>
    <cellStyle name="Vírgula 4 2 2 2 8" xfId="2842" xr:uid="{86452EC1-B36A-40C5-BEC2-E8BC18B6E61E}"/>
    <cellStyle name="Vírgula 4 2 2 2 9" xfId="7596" xr:uid="{19C3FD5B-45C6-430F-9BBE-F5FD5C542F79}"/>
    <cellStyle name="Vírgula 4 2 2 3" xfId="2843" xr:uid="{CC603B70-4500-4A17-9A39-18C19CD75AEC}"/>
    <cellStyle name="Vírgula 4 2 2 3 2" xfId="2844" xr:uid="{FE109139-837D-4F3D-826C-E9937DB76CCA}"/>
    <cellStyle name="Vírgula 4 2 2 3 2 2" xfId="2845" xr:uid="{B6685FBD-6457-43D4-B526-A1DAA6FBF946}"/>
    <cellStyle name="Vírgula 4 2 2 3 2 2 2" xfId="2846" xr:uid="{82FB569F-0C31-4C5F-89DB-91BD2202E247}"/>
    <cellStyle name="Vírgula 4 2 2 3 2 2 2 2" xfId="2847" xr:uid="{DDF4511D-4CF4-4433-804C-54F4AADF6396}"/>
    <cellStyle name="Vírgula 4 2 2 3 2 2 2 2 2" xfId="2848" xr:uid="{3D19966D-9CD9-48C2-9062-0EB1E8FD7CF6}"/>
    <cellStyle name="Vírgula 4 2 2 3 2 2 2 2 3" xfId="7636" xr:uid="{936D121A-D7A8-4B14-9B87-13730DD4F0E0}"/>
    <cellStyle name="Vírgula 4 2 2 3 2 2 2 3" xfId="2849" xr:uid="{FB45BB6B-6997-4E42-A45D-D120EC74752E}"/>
    <cellStyle name="Vírgula 4 2 2 3 2 2 2 4" xfId="7635" xr:uid="{617BD07B-066C-4478-B857-0AB57364A55B}"/>
    <cellStyle name="Vírgula 4 2 2 3 2 2 3" xfId="2850" xr:uid="{BDB1FF0C-C712-46E7-AFD7-2ECAAB18692F}"/>
    <cellStyle name="Vírgula 4 2 2 3 2 2 3 2" xfId="2851" xr:uid="{ED7CCF5A-79DD-4CEB-B58B-C610207E171F}"/>
    <cellStyle name="Vírgula 4 2 2 3 2 2 3 2 2" xfId="2852" xr:uid="{249DFEC2-140F-4930-BF3E-663C55198A62}"/>
    <cellStyle name="Vírgula 4 2 2 3 2 2 3 2 3" xfId="7638" xr:uid="{498EF49A-5BF5-4597-A8B9-8F755BF6622E}"/>
    <cellStyle name="Vírgula 4 2 2 3 2 2 3 3" xfId="2853" xr:uid="{AEC8303B-19F7-480E-9F91-F9FCA2C0B8CC}"/>
    <cellStyle name="Vírgula 4 2 2 3 2 2 3 4" xfId="7637" xr:uid="{B9906772-8EEE-48C4-BA7A-660686CC5D94}"/>
    <cellStyle name="Vírgula 4 2 2 3 2 2 4" xfId="2854" xr:uid="{7AF87432-AF00-45E2-95BC-9C20285AB019}"/>
    <cellStyle name="Vírgula 4 2 2 3 2 2 4 2" xfId="2855" xr:uid="{8B660AD8-10DA-40D7-907D-EFF6703A85C1}"/>
    <cellStyle name="Vírgula 4 2 2 3 2 2 4 3" xfId="7639" xr:uid="{8896106D-9BB5-4E5E-AB9F-9162D20B2E79}"/>
    <cellStyle name="Vírgula 4 2 2 3 2 2 5" xfId="2856" xr:uid="{9E08287E-C657-4FC8-805C-153725513998}"/>
    <cellStyle name="Vírgula 4 2 2 3 2 2 6" xfId="7634" xr:uid="{F5BEB5E2-6D23-4192-9102-2BCBFB0BB707}"/>
    <cellStyle name="Vírgula 4 2 2 3 2 3" xfId="2857" xr:uid="{C2EC9319-7043-43BD-B4F5-C9365AA97A09}"/>
    <cellStyle name="Vírgula 4 2 2 3 2 3 2" xfId="2858" xr:uid="{8BEB6413-90F8-401A-B4C1-74F98216B799}"/>
    <cellStyle name="Vírgula 4 2 2 3 2 3 2 2" xfId="2859" xr:uid="{6C31ECF7-7EFF-4BDF-A6E5-EC594D4DFE25}"/>
    <cellStyle name="Vírgula 4 2 2 3 2 3 2 3" xfId="7641" xr:uid="{38106389-7B65-414A-84E9-2CC2D3461B81}"/>
    <cellStyle name="Vírgula 4 2 2 3 2 3 3" xfId="2860" xr:uid="{49641F03-1341-4039-8CB3-60B379B2E46F}"/>
    <cellStyle name="Vírgula 4 2 2 3 2 3 4" xfId="7640" xr:uid="{029B176A-552A-42B2-A901-7D69DE4F8652}"/>
    <cellStyle name="Vírgula 4 2 2 3 2 4" xfId="2861" xr:uid="{BE5CBE19-8C2D-49F0-AA12-BB617EEB30D2}"/>
    <cellStyle name="Vírgula 4 2 2 3 2 4 2" xfId="2862" xr:uid="{A798B983-C547-426C-8435-AC57D8351E6A}"/>
    <cellStyle name="Vírgula 4 2 2 3 2 4 2 2" xfId="2863" xr:uid="{602B41E1-6156-4F42-958B-12E30976548B}"/>
    <cellStyle name="Vírgula 4 2 2 3 2 4 2 3" xfId="7643" xr:uid="{1F331B26-4AA7-4D26-B180-B18DD63716BD}"/>
    <cellStyle name="Vírgula 4 2 2 3 2 4 3" xfId="2864" xr:uid="{16E7CF4A-B75B-4414-BD58-E9732B9C438B}"/>
    <cellStyle name="Vírgula 4 2 2 3 2 4 4" xfId="7642" xr:uid="{DCC66640-C11E-406D-A319-67B7F1927C1E}"/>
    <cellStyle name="Vírgula 4 2 2 3 2 5" xfId="2865" xr:uid="{26E9AB53-611A-4259-88DE-A2CBC3538016}"/>
    <cellStyle name="Vírgula 4 2 2 3 2 5 2" xfId="2866" xr:uid="{1D416E44-4D6B-45DA-8276-B3D6195827E2}"/>
    <cellStyle name="Vírgula 4 2 2 3 2 5 3" xfId="7644" xr:uid="{AC2056C8-033E-4E1C-99B0-56C44744A313}"/>
    <cellStyle name="Vírgula 4 2 2 3 2 6" xfId="2867" xr:uid="{E1F6CD74-231F-4FCD-B987-697CFE8C85F0}"/>
    <cellStyle name="Vírgula 4 2 2 3 2 7" xfId="7633" xr:uid="{06CC310A-7931-46A4-8770-074C7B465B17}"/>
    <cellStyle name="Vírgula 4 2 2 3 3" xfId="2868" xr:uid="{CC1D56DF-C007-48A1-B1EE-D4C136C522C1}"/>
    <cellStyle name="Vírgula 4 2 2 3 3 2" xfId="2869" xr:uid="{C26EA572-D3DD-4AEC-9231-8F453CFE7819}"/>
    <cellStyle name="Vírgula 4 2 2 3 3 2 2" xfId="2870" xr:uid="{9B3524EF-8C14-44F8-8AA8-9FDEBA4D2A61}"/>
    <cellStyle name="Vírgula 4 2 2 3 3 2 2 2" xfId="2871" xr:uid="{DAA4CEF8-CA46-4971-86BC-94A06C5CAAD5}"/>
    <cellStyle name="Vírgula 4 2 2 3 3 2 2 2 2" xfId="2872" xr:uid="{26C721A7-EFD7-4820-80EE-7EC6F5B5FC74}"/>
    <cellStyle name="Vírgula 4 2 2 3 3 2 2 2 3" xfId="7648" xr:uid="{A42FEE3B-DA74-49B2-B563-505C696AC43E}"/>
    <cellStyle name="Vírgula 4 2 2 3 3 2 2 3" xfId="2873" xr:uid="{A894BC27-30E5-4849-9116-5A2F7C17959B}"/>
    <cellStyle name="Vírgula 4 2 2 3 3 2 2 4" xfId="7647" xr:uid="{FAB779ED-FBB5-457C-93E2-77D85794C1EE}"/>
    <cellStyle name="Vírgula 4 2 2 3 3 2 3" xfId="2874" xr:uid="{C72393EF-9358-4C69-A372-79712DD94DF7}"/>
    <cellStyle name="Vírgula 4 2 2 3 3 2 3 2" xfId="2875" xr:uid="{C5F7D072-213F-47E1-90ED-5F7FDE6C8EDD}"/>
    <cellStyle name="Vírgula 4 2 2 3 3 2 3 2 2" xfId="2876" xr:uid="{AA57B6FD-6A49-43C1-B82D-B90D7C308855}"/>
    <cellStyle name="Vírgula 4 2 2 3 3 2 3 2 3" xfId="7650" xr:uid="{CD678DA9-D416-4A49-85C8-28F389513F4E}"/>
    <cellStyle name="Vírgula 4 2 2 3 3 2 3 3" xfId="2877" xr:uid="{7B8E5C87-3713-4ECF-A166-848A217E5A21}"/>
    <cellStyle name="Vírgula 4 2 2 3 3 2 3 4" xfId="7649" xr:uid="{A40742FF-044A-4798-AC99-CB03520EA4C6}"/>
    <cellStyle name="Vírgula 4 2 2 3 3 2 4" xfId="2878" xr:uid="{48B8E1AE-EBA9-4B4A-A696-B6E287D63432}"/>
    <cellStyle name="Vírgula 4 2 2 3 3 2 4 2" xfId="2879" xr:uid="{361520DB-3351-4247-AE55-D1F647B30EF3}"/>
    <cellStyle name="Vírgula 4 2 2 3 3 2 4 3" xfId="7651" xr:uid="{9ABAF7EB-D983-48CB-B741-0C63F40E05FF}"/>
    <cellStyle name="Vírgula 4 2 2 3 3 2 5" xfId="2880" xr:uid="{BF7D0727-5191-41BF-8813-3F4FBDE959C6}"/>
    <cellStyle name="Vírgula 4 2 2 3 3 2 6" xfId="7646" xr:uid="{FA8A4010-F22F-4B37-85EE-770CDD4FF367}"/>
    <cellStyle name="Vírgula 4 2 2 3 3 3" xfId="2881" xr:uid="{20F6C346-825A-4F98-9656-216BD7422073}"/>
    <cellStyle name="Vírgula 4 2 2 3 3 3 2" xfId="2882" xr:uid="{6732CBB7-6A0B-43EB-9E16-B1F5645AA8CB}"/>
    <cellStyle name="Vírgula 4 2 2 3 3 3 2 2" xfId="2883" xr:uid="{51D98B16-4720-4634-9BC6-7C40FA4EA5D1}"/>
    <cellStyle name="Vírgula 4 2 2 3 3 3 2 3" xfId="7653" xr:uid="{E0A7D108-AF6C-40C0-B215-0F457BA5F37C}"/>
    <cellStyle name="Vírgula 4 2 2 3 3 3 3" xfId="2884" xr:uid="{81F2F739-6E16-4EB4-9DE6-099AC918146A}"/>
    <cellStyle name="Vírgula 4 2 2 3 3 3 4" xfId="7652" xr:uid="{30F5747C-0847-468A-AEC9-2E41E9BFBC96}"/>
    <cellStyle name="Vírgula 4 2 2 3 3 4" xfId="2885" xr:uid="{791D7848-8A0D-4A9E-9B16-F5D870588951}"/>
    <cellStyle name="Vírgula 4 2 2 3 3 4 2" xfId="2886" xr:uid="{262299E1-ECA7-4378-AE5A-A40A2B6BAA4A}"/>
    <cellStyle name="Vírgula 4 2 2 3 3 4 2 2" xfId="2887" xr:uid="{71232649-69F6-4184-A145-441B442A60EA}"/>
    <cellStyle name="Vírgula 4 2 2 3 3 4 2 3" xfId="7655" xr:uid="{3E58B491-0895-4441-B9D5-8F3FCFAD3E0E}"/>
    <cellStyle name="Vírgula 4 2 2 3 3 4 3" xfId="2888" xr:uid="{47B12DD2-D645-4EFF-B630-EB69DC6386AF}"/>
    <cellStyle name="Vírgula 4 2 2 3 3 4 4" xfId="7654" xr:uid="{BDC7465B-93E9-43B7-A74B-7E3090E1DF8D}"/>
    <cellStyle name="Vírgula 4 2 2 3 3 5" xfId="2889" xr:uid="{06E3231C-7F8E-4963-889B-5423E08868EB}"/>
    <cellStyle name="Vírgula 4 2 2 3 3 5 2" xfId="2890" xr:uid="{8A54D481-7237-42AC-949F-30B4CBFE4631}"/>
    <cellStyle name="Vírgula 4 2 2 3 3 5 3" xfId="7656" xr:uid="{6C42CCDF-ECE7-4EAD-86F8-B8E938CBEBFE}"/>
    <cellStyle name="Vírgula 4 2 2 3 3 6" xfId="2891" xr:uid="{829B75B4-0B8A-4544-8A8A-5C33B29211A9}"/>
    <cellStyle name="Vírgula 4 2 2 3 3 7" xfId="7645" xr:uid="{98821E2C-7E5D-40ED-BA3D-CD6C085E1FA6}"/>
    <cellStyle name="Vírgula 4 2 2 3 4" xfId="2892" xr:uid="{D4D3A709-8E97-466F-AF95-BF111A327B0C}"/>
    <cellStyle name="Vírgula 4 2 2 3 4 2" xfId="2893" xr:uid="{ECDB0CE5-B107-412B-B9CE-102EB4E9DDD7}"/>
    <cellStyle name="Vírgula 4 2 2 3 4 2 2" xfId="2894" xr:uid="{E22F5F84-D696-4063-AD91-643CB67A11C6}"/>
    <cellStyle name="Vírgula 4 2 2 3 4 2 2 2" xfId="2895" xr:uid="{69866584-A19D-4A4D-A4CB-E162D03ACEF5}"/>
    <cellStyle name="Vírgula 4 2 2 3 4 2 2 3" xfId="7659" xr:uid="{67164CFD-CEDA-404C-A659-0332CED0423F}"/>
    <cellStyle name="Vírgula 4 2 2 3 4 2 3" xfId="2896" xr:uid="{9A41F0E5-45C4-410E-A895-6B1ED58B1765}"/>
    <cellStyle name="Vírgula 4 2 2 3 4 2 4" xfId="7658" xr:uid="{6F2CBDB8-529C-41F9-9669-CAA73EFDAD67}"/>
    <cellStyle name="Vírgula 4 2 2 3 4 3" xfId="2897" xr:uid="{7D66A335-13CD-4E88-BD79-2BD5F2832492}"/>
    <cellStyle name="Vírgula 4 2 2 3 4 3 2" xfId="2898" xr:uid="{BB475DC1-2602-4DE6-91F4-D541C0F7E3A9}"/>
    <cellStyle name="Vírgula 4 2 2 3 4 3 2 2" xfId="2899" xr:uid="{8DD5058E-9A98-456C-80EA-31EB3B007362}"/>
    <cellStyle name="Vírgula 4 2 2 3 4 3 2 3" xfId="7661" xr:uid="{FE682D14-0378-4061-A4BD-B1D6D81ED6F9}"/>
    <cellStyle name="Vírgula 4 2 2 3 4 3 3" xfId="2900" xr:uid="{A3C82C4D-A9F9-4E4F-8237-B1D3F5E24568}"/>
    <cellStyle name="Vírgula 4 2 2 3 4 3 4" xfId="7660" xr:uid="{4EF174BA-5A6F-4B98-9097-34B12BA5DC1C}"/>
    <cellStyle name="Vírgula 4 2 2 3 4 4" xfId="2901" xr:uid="{48372ECF-F71B-4518-8490-ABA7D1733442}"/>
    <cellStyle name="Vírgula 4 2 2 3 4 4 2" xfId="2902" xr:uid="{1A90B56A-6A6F-4936-A7CE-4CADA727EB5D}"/>
    <cellStyle name="Vírgula 4 2 2 3 4 4 3" xfId="7662" xr:uid="{F8ACBE2D-1A07-4A3B-BF5D-7DFC586F177C}"/>
    <cellStyle name="Vírgula 4 2 2 3 4 5" xfId="2903" xr:uid="{5630FD61-69CA-4322-B03E-779D1E2C0504}"/>
    <cellStyle name="Vírgula 4 2 2 3 4 6" xfId="7657" xr:uid="{2B7391CB-AEDA-42BD-B8B2-F3E63539666A}"/>
    <cellStyle name="Vírgula 4 2 2 3 5" xfId="2904" xr:uid="{15A2D157-9811-4D7B-83EC-AE4961A75BA8}"/>
    <cellStyle name="Vírgula 4 2 2 3 5 2" xfId="2905" xr:uid="{C0DF6422-6B64-4FF0-B790-13E30D2B73A6}"/>
    <cellStyle name="Vírgula 4 2 2 3 5 2 2" xfId="2906" xr:uid="{1286F4F1-0C09-4B43-889B-AB41BC786079}"/>
    <cellStyle name="Vírgula 4 2 2 3 5 2 3" xfId="7664" xr:uid="{98F300CD-966E-4D7B-9CE8-6F085A11A321}"/>
    <cellStyle name="Vírgula 4 2 2 3 5 3" xfId="2907" xr:uid="{9D645513-FD6E-4F0E-B440-CABC1540101A}"/>
    <cellStyle name="Vírgula 4 2 2 3 5 4" xfId="7663" xr:uid="{C4DCFF81-889E-4EC0-B2FF-FC3EF2EB14FD}"/>
    <cellStyle name="Vírgula 4 2 2 3 6" xfId="2908" xr:uid="{7F3E3A4A-5EBC-4AC9-829B-20C4F3AEC292}"/>
    <cellStyle name="Vírgula 4 2 2 3 6 2" xfId="2909" xr:uid="{4B3574DF-3A5A-40C1-ADC5-2050C4FDFE6D}"/>
    <cellStyle name="Vírgula 4 2 2 3 6 2 2" xfId="2910" xr:uid="{16623460-E05D-4E34-BA39-4BE7D734CA1F}"/>
    <cellStyle name="Vírgula 4 2 2 3 6 2 3" xfId="7666" xr:uid="{FC9941F8-3109-4314-A33D-ABC1686189B7}"/>
    <cellStyle name="Vírgula 4 2 2 3 6 3" xfId="2911" xr:uid="{892F841D-61B0-4C03-9900-8CD535462229}"/>
    <cellStyle name="Vírgula 4 2 2 3 6 4" xfId="7665" xr:uid="{1C825833-A813-48A8-B25E-F86C815C212F}"/>
    <cellStyle name="Vírgula 4 2 2 3 7" xfId="2912" xr:uid="{2436E2B7-1417-4B5D-A235-EB04D1452789}"/>
    <cellStyle name="Vírgula 4 2 2 3 7 2" xfId="2913" xr:uid="{52461EB5-3E3A-49B2-BFA9-2DEF6BBC7108}"/>
    <cellStyle name="Vírgula 4 2 2 3 7 3" xfId="7667" xr:uid="{8F427A40-562B-4924-9B4A-A60892718D0D}"/>
    <cellStyle name="Vírgula 4 2 2 3 8" xfId="2914" xr:uid="{A107B546-15AA-46B9-8F16-8E156F208126}"/>
    <cellStyle name="Vírgula 4 2 2 3 9" xfId="7632" xr:uid="{341F5CB6-5569-4B64-99C6-FC2061676865}"/>
    <cellStyle name="Vírgula 4 2 2 4" xfId="2915" xr:uid="{F24E3754-3553-4829-A54B-5845B0D2B488}"/>
    <cellStyle name="Vírgula 4 2 2 4 2" xfId="2916" xr:uid="{A8648A1D-5772-469F-AD03-EE2152C3E862}"/>
    <cellStyle name="Vírgula 4 2 2 4 2 2" xfId="2917" xr:uid="{994CC0B1-20ED-4451-B830-93067CA0BC9D}"/>
    <cellStyle name="Vírgula 4 2 2 4 2 2 2" xfId="2918" xr:uid="{65EF4C68-FFAB-451D-8636-6AD720C04BCD}"/>
    <cellStyle name="Vírgula 4 2 2 4 2 2 2 2" xfId="2919" xr:uid="{70248B4B-6AD8-4D9C-B121-291C8A0003C5}"/>
    <cellStyle name="Vírgula 4 2 2 4 2 2 2 2 2" xfId="2920" xr:uid="{F236C7ED-8EE0-43E2-B3A2-D0753AA84311}"/>
    <cellStyle name="Vírgula 4 2 2 4 2 2 2 2 3" xfId="7672" xr:uid="{F3224800-B5F2-45FC-949B-2BBDDB3CDEEB}"/>
    <cellStyle name="Vírgula 4 2 2 4 2 2 2 3" xfId="2921" xr:uid="{3309DD4E-9B19-471C-B752-E69A03FBB504}"/>
    <cellStyle name="Vírgula 4 2 2 4 2 2 2 4" xfId="7671" xr:uid="{6627035F-7072-48D7-BEE2-1F153704F510}"/>
    <cellStyle name="Vírgula 4 2 2 4 2 2 3" xfId="2922" xr:uid="{564AF442-35AB-4F2B-8730-8A90BFB34CEB}"/>
    <cellStyle name="Vírgula 4 2 2 4 2 2 3 2" xfId="2923" xr:uid="{506B1A2A-E235-467D-ACDC-2FDE55C2118C}"/>
    <cellStyle name="Vírgula 4 2 2 4 2 2 3 2 2" xfId="2924" xr:uid="{F4BFC691-4E73-492B-A2F5-582381D9CD36}"/>
    <cellStyle name="Vírgula 4 2 2 4 2 2 3 2 3" xfId="7674" xr:uid="{032B7B6A-4F0E-4C17-8B29-11696D8E5CB8}"/>
    <cellStyle name="Vírgula 4 2 2 4 2 2 3 3" xfId="2925" xr:uid="{DE07EEBE-C893-475D-9111-9BCEFB35A2FE}"/>
    <cellStyle name="Vírgula 4 2 2 4 2 2 3 4" xfId="7673" xr:uid="{C924A6A6-3171-43B6-A05F-A51FFCAE2987}"/>
    <cellStyle name="Vírgula 4 2 2 4 2 2 4" xfId="2926" xr:uid="{6D608A92-EB8D-4770-A2A7-AB615885CB62}"/>
    <cellStyle name="Vírgula 4 2 2 4 2 2 4 2" xfId="2927" xr:uid="{47DD2FC9-CFE7-4DA2-BEC1-19CE0B7B54D5}"/>
    <cellStyle name="Vírgula 4 2 2 4 2 2 4 3" xfId="7675" xr:uid="{CD93603A-DE89-4424-BC25-E2E27F3D264F}"/>
    <cellStyle name="Vírgula 4 2 2 4 2 2 5" xfId="2928" xr:uid="{BCC23EAC-5F64-4BD9-B66C-14E2A16A3527}"/>
    <cellStyle name="Vírgula 4 2 2 4 2 2 6" xfId="7670" xr:uid="{1DDE7627-44F2-4288-B2CA-C0E0F7EEFFE2}"/>
    <cellStyle name="Vírgula 4 2 2 4 2 3" xfId="2929" xr:uid="{7C069924-61BA-4C60-AA9A-77A3899246BD}"/>
    <cellStyle name="Vírgula 4 2 2 4 2 3 2" xfId="2930" xr:uid="{573636E0-5F88-427C-85F3-1B37A7A0A6F6}"/>
    <cellStyle name="Vírgula 4 2 2 4 2 3 2 2" xfId="2931" xr:uid="{8613A26A-E6F8-4EE1-B223-D1C7E49C4E04}"/>
    <cellStyle name="Vírgula 4 2 2 4 2 3 2 3" xfId="7677" xr:uid="{1D005F50-6910-44A8-94B0-5112735BA709}"/>
    <cellStyle name="Vírgula 4 2 2 4 2 3 3" xfId="2932" xr:uid="{696A318F-84B6-4D97-998B-A1F306E98D2E}"/>
    <cellStyle name="Vírgula 4 2 2 4 2 3 4" xfId="7676" xr:uid="{368E80BB-04F0-4E8D-80B3-5F5DB8E2C5AF}"/>
    <cellStyle name="Vírgula 4 2 2 4 2 4" xfId="2933" xr:uid="{19B143A5-DBFC-463B-8A49-9C53A72D3876}"/>
    <cellStyle name="Vírgula 4 2 2 4 2 4 2" xfId="2934" xr:uid="{AA90A7A7-D64C-4D47-AB9D-9987FCBDB419}"/>
    <cellStyle name="Vírgula 4 2 2 4 2 4 2 2" xfId="2935" xr:uid="{7B75FBD2-25BD-4C93-BA1C-AD4CA4877F7E}"/>
    <cellStyle name="Vírgula 4 2 2 4 2 4 2 3" xfId="7679" xr:uid="{9B1FA93C-2B78-46AC-9F9F-A6C6E6FDFEBB}"/>
    <cellStyle name="Vírgula 4 2 2 4 2 4 3" xfId="2936" xr:uid="{89209D6F-89C9-47FB-AFBC-F56B18326604}"/>
    <cellStyle name="Vírgula 4 2 2 4 2 4 4" xfId="7678" xr:uid="{EFC2088A-35CD-4385-962E-83CC8545D082}"/>
    <cellStyle name="Vírgula 4 2 2 4 2 5" xfId="2937" xr:uid="{B9DF11D4-86D8-4CB8-9E7F-C3952312C44F}"/>
    <cellStyle name="Vírgula 4 2 2 4 2 5 2" xfId="2938" xr:uid="{76867FA7-214B-4FB6-A278-1C1952F0ABB4}"/>
    <cellStyle name="Vírgula 4 2 2 4 2 5 3" xfId="7680" xr:uid="{3DC4B0E0-79E8-49A5-9D3E-F7D23759340C}"/>
    <cellStyle name="Vírgula 4 2 2 4 2 6" xfId="2939" xr:uid="{E2CD7501-FD9E-4EFA-9C7A-55F87B346877}"/>
    <cellStyle name="Vírgula 4 2 2 4 2 7" xfId="7669" xr:uid="{69B0A9DE-83B9-407D-AD5F-9E3184F84AF8}"/>
    <cellStyle name="Vírgula 4 2 2 4 3" xfId="2940" xr:uid="{43007E2B-D615-4989-82F1-ACD3FB1A61C2}"/>
    <cellStyle name="Vírgula 4 2 2 4 3 2" xfId="2941" xr:uid="{5B767D13-47D7-42C9-9B00-DCE248684DD0}"/>
    <cellStyle name="Vírgula 4 2 2 4 3 2 2" xfId="2942" xr:uid="{35619A72-B0CC-4602-AEEF-E8BB9A5A1C75}"/>
    <cellStyle name="Vírgula 4 2 2 4 3 2 2 2" xfId="2943" xr:uid="{230A9B4A-0E4A-4BC6-B067-AD15D5E490CD}"/>
    <cellStyle name="Vírgula 4 2 2 4 3 2 2 2 2" xfId="2944" xr:uid="{4E9E6454-D15A-49BF-86AE-895F3B381CA7}"/>
    <cellStyle name="Vírgula 4 2 2 4 3 2 2 2 3" xfId="7684" xr:uid="{18904AE4-8D77-4F69-A9ED-C4F7CBEC0488}"/>
    <cellStyle name="Vírgula 4 2 2 4 3 2 2 3" xfId="2945" xr:uid="{45331C1D-DBF6-4AC1-9FFE-15468C952780}"/>
    <cellStyle name="Vírgula 4 2 2 4 3 2 2 4" xfId="7683" xr:uid="{C8D244B2-F655-4F62-BFF6-45654E4C3C6D}"/>
    <cellStyle name="Vírgula 4 2 2 4 3 2 3" xfId="2946" xr:uid="{912666B6-B3AC-4979-B80E-69762E4E5BBA}"/>
    <cellStyle name="Vírgula 4 2 2 4 3 2 3 2" xfId="2947" xr:uid="{C2544A57-97FF-47EC-8181-8A9E6045175B}"/>
    <cellStyle name="Vírgula 4 2 2 4 3 2 3 2 2" xfId="2948" xr:uid="{2126BA3A-8A34-49AF-9A09-81DED6BEEBEB}"/>
    <cellStyle name="Vírgula 4 2 2 4 3 2 3 2 3" xfId="7686" xr:uid="{DF0C65CE-B43E-4021-88C9-010FA769C724}"/>
    <cellStyle name="Vírgula 4 2 2 4 3 2 3 3" xfId="2949" xr:uid="{426AD4AC-E4D5-425D-AC71-DED157D6E30D}"/>
    <cellStyle name="Vírgula 4 2 2 4 3 2 3 4" xfId="7685" xr:uid="{8C69D849-01B3-4F4A-996E-2A0BFC6DA528}"/>
    <cellStyle name="Vírgula 4 2 2 4 3 2 4" xfId="2950" xr:uid="{47C16BED-63C8-4FAF-92B4-865D0A306949}"/>
    <cellStyle name="Vírgula 4 2 2 4 3 2 4 2" xfId="2951" xr:uid="{78E3AA8E-3760-417A-8D94-E7D561597115}"/>
    <cellStyle name="Vírgula 4 2 2 4 3 2 4 3" xfId="7687" xr:uid="{10E81708-88E8-4622-8778-90149D981A5A}"/>
    <cellStyle name="Vírgula 4 2 2 4 3 2 5" xfId="2952" xr:uid="{86AA85FA-8627-4AF0-B4CC-8823E7BFA88A}"/>
    <cellStyle name="Vírgula 4 2 2 4 3 2 6" xfId="7682" xr:uid="{84D0F24B-BE3E-4AD1-97C8-F6CA4ECD6E0C}"/>
    <cellStyle name="Vírgula 4 2 2 4 3 3" xfId="2953" xr:uid="{9FD4312E-6809-4587-9DD5-B7DE749F8DC4}"/>
    <cellStyle name="Vírgula 4 2 2 4 3 3 2" xfId="2954" xr:uid="{E031FD98-28F7-47A2-A2F7-42E5F38E69F5}"/>
    <cellStyle name="Vírgula 4 2 2 4 3 3 2 2" xfId="2955" xr:uid="{DAE49469-FB8E-4248-88B5-B6F21DAC4832}"/>
    <cellStyle name="Vírgula 4 2 2 4 3 3 2 3" xfId="7689" xr:uid="{B2311D97-8E19-4D86-9500-56953754B9AE}"/>
    <cellStyle name="Vírgula 4 2 2 4 3 3 3" xfId="2956" xr:uid="{109337CE-CE1E-45E1-A6CD-80A5CA764B1B}"/>
    <cellStyle name="Vírgula 4 2 2 4 3 3 4" xfId="7688" xr:uid="{85014A85-AB4C-47E6-827C-B106B59105ED}"/>
    <cellStyle name="Vírgula 4 2 2 4 3 4" xfId="2957" xr:uid="{16FEF8DF-4909-4230-87B0-335B9FF04EBE}"/>
    <cellStyle name="Vírgula 4 2 2 4 3 4 2" xfId="2958" xr:uid="{6E94C3D6-8465-4316-B80F-40CDA44F1AE2}"/>
    <cellStyle name="Vírgula 4 2 2 4 3 4 2 2" xfId="2959" xr:uid="{329649E2-4951-44FE-8DCB-75784927E690}"/>
    <cellStyle name="Vírgula 4 2 2 4 3 4 2 3" xfId="7691" xr:uid="{433DDE89-C308-446E-A9D9-13AAD0989FD9}"/>
    <cellStyle name="Vírgula 4 2 2 4 3 4 3" xfId="2960" xr:uid="{7179E3E7-1353-4819-AA0A-08B87DC595B6}"/>
    <cellStyle name="Vírgula 4 2 2 4 3 4 4" xfId="7690" xr:uid="{A94D645B-9755-4E33-9A13-9F35A23B6D10}"/>
    <cellStyle name="Vírgula 4 2 2 4 3 5" xfId="2961" xr:uid="{A6BF7C2D-70FE-4F1E-AFD3-98ADCBC592F0}"/>
    <cellStyle name="Vírgula 4 2 2 4 3 5 2" xfId="2962" xr:uid="{B205115C-CA8F-46E7-B31E-753B40C14AC2}"/>
    <cellStyle name="Vírgula 4 2 2 4 3 5 3" xfId="7692" xr:uid="{81008876-7119-4F89-B86A-7FE5B2C13A4F}"/>
    <cellStyle name="Vírgula 4 2 2 4 3 6" xfId="2963" xr:uid="{700EB5AD-B759-4BA9-9800-EBD3DDD8F0D2}"/>
    <cellStyle name="Vírgula 4 2 2 4 3 7" xfId="7681" xr:uid="{5EA55E5B-F6C5-4754-9E92-C2D20CDE8546}"/>
    <cellStyle name="Vírgula 4 2 2 4 4" xfId="2964" xr:uid="{974A8F09-BD7E-4FB6-B71F-9B9958C5CD36}"/>
    <cellStyle name="Vírgula 4 2 2 4 4 2" xfId="2965" xr:uid="{FD8F9BED-1D96-4869-87DE-5AF7823EF84E}"/>
    <cellStyle name="Vírgula 4 2 2 4 4 2 2" xfId="2966" xr:uid="{20034B8A-95F5-4474-85CC-CE149B581C57}"/>
    <cellStyle name="Vírgula 4 2 2 4 4 2 2 2" xfId="2967" xr:uid="{FE5B95D3-9225-4200-8E96-B6847D37C109}"/>
    <cellStyle name="Vírgula 4 2 2 4 4 2 2 3" xfId="7695" xr:uid="{8359DF06-2E8D-4F74-BEC7-BF57C3F9D531}"/>
    <cellStyle name="Vírgula 4 2 2 4 4 2 3" xfId="2968" xr:uid="{E335FA40-974E-425F-BB01-2CA43529FF6F}"/>
    <cellStyle name="Vírgula 4 2 2 4 4 2 4" xfId="7694" xr:uid="{8B6C705E-05A3-4D2F-B737-646FEDDF4E78}"/>
    <cellStyle name="Vírgula 4 2 2 4 4 3" xfId="2969" xr:uid="{D819689A-8307-47E7-9C91-4CAC3F368268}"/>
    <cellStyle name="Vírgula 4 2 2 4 4 3 2" xfId="2970" xr:uid="{19DCECEA-9CFB-4BBB-A13B-08F2349B06A0}"/>
    <cellStyle name="Vírgula 4 2 2 4 4 3 2 2" xfId="2971" xr:uid="{9E7823B5-31E7-40C5-AAEA-9A2BC220EF39}"/>
    <cellStyle name="Vírgula 4 2 2 4 4 3 2 3" xfId="7697" xr:uid="{FF195277-83E5-4632-9DA8-3ABFB4A671FA}"/>
    <cellStyle name="Vírgula 4 2 2 4 4 3 3" xfId="2972" xr:uid="{22CC17A7-539A-494A-B718-13C8A966E5CE}"/>
    <cellStyle name="Vírgula 4 2 2 4 4 3 4" xfId="7696" xr:uid="{CB78BFE1-9DDC-4062-B019-EAFB36BE0C5A}"/>
    <cellStyle name="Vírgula 4 2 2 4 4 4" xfId="2973" xr:uid="{8E487616-3F2C-452C-9028-031C1B73DEF9}"/>
    <cellStyle name="Vírgula 4 2 2 4 4 4 2" xfId="2974" xr:uid="{6035C62F-3959-4CDE-BD79-712F97EB5323}"/>
    <cellStyle name="Vírgula 4 2 2 4 4 4 3" xfId="7698" xr:uid="{37EACE3D-7629-4821-AA83-8C117A9B9D25}"/>
    <cellStyle name="Vírgula 4 2 2 4 4 5" xfId="2975" xr:uid="{7686E1DA-61A4-4B80-AC8A-34AA0575021A}"/>
    <cellStyle name="Vírgula 4 2 2 4 4 6" xfId="7693" xr:uid="{D9CE0A0E-BC7B-4813-967A-2709C32CAD0D}"/>
    <cellStyle name="Vírgula 4 2 2 4 5" xfId="2976" xr:uid="{24FCE846-7E4B-4263-8D82-8197847CEF99}"/>
    <cellStyle name="Vírgula 4 2 2 4 5 2" xfId="2977" xr:uid="{F649012E-51FD-47CC-94E1-2256CB311CC7}"/>
    <cellStyle name="Vírgula 4 2 2 4 5 2 2" xfId="2978" xr:uid="{40DD19E0-01EB-4D8F-AE9C-EC1C5D443B5B}"/>
    <cellStyle name="Vírgula 4 2 2 4 5 2 3" xfId="7700" xr:uid="{B0A28D3B-AE8C-4416-98D0-78AB3A61BB4D}"/>
    <cellStyle name="Vírgula 4 2 2 4 5 3" xfId="2979" xr:uid="{44EAD924-D59C-4273-8AEF-A7B4F8D9835D}"/>
    <cellStyle name="Vírgula 4 2 2 4 5 4" xfId="7699" xr:uid="{1A3C3225-F737-448D-9D28-50C536B4B72F}"/>
    <cellStyle name="Vírgula 4 2 2 4 6" xfId="2980" xr:uid="{52264E5B-BCED-4F6C-B7FF-195FEA87B0EA}"/>
    <cellStyle name="Vírgula 4 2 2 4 6 2" xfId="2981" xr:uid="{9BB7B71E-BAA9-4923-AF4F-CD6E1BCD1308}"/>
    <cellStyle name="Vírgula 4 2 2 4 6 2 2" xfId="2982" xr:uid="{A06D17E7-D42A-4C77-B36C-F4DDD00F797E}"/>
    <cellStyle name="Vírgula 4 2 2 4 6 2 3" xfId="7702" xr:uid="{42DA0346-AFBA-4164-884A-1BDCD682FF8B}"/>
    <cellStyle name="Vírgula 4 2 2 4 6 3" xfId="2983" xr:uid="{2524023E-B75E-432E-9CB9-A179B279C036}"/>
    <cellStyle name="Vírgula 4 2 2 4 6 4" xfId="7701" xr:uid="{DB61F1AF-EF51-4421-A2BA-C9278873AC84}"/>
    <cellStyle name="Vírgula 4 2 2 4 7" xfId="2984" xr:uid="{1A5ADE8E-7739-407F-A331-27E9FFE4FB22}"/>
    <cellStyle name="Vírgula 4 2 2 4 7 2" xfId="2985" xr:uid="{D496D8B1-AC7A-42D7-998C-7A6299516CAC}"/>
    <cellStyle name="Vírgula 4 2 2 4 7 3" xfId="7703" xr:uid="{5EC6BF20-7D66-45B5-9BC3-E16947949172}"/>
    <cellStyle name="Vírgula 4 2 2 4 8" xfId="2986" xr:uid="{0AF168C7-9241-4BA2-B106-CB0B408615A1}"/>
    <cellStyle name="Vírgula 4 2 2 4 9" xfId="7668" xr:uid="{C1DD39CB-B7C1-41AA-99B4-10DAEBC6DD58}"/>
    <cellStyle name="Vírgula 4 2 2 5" xfId="2987" xr:uid="{BCB603F5-A45B-40E1-A53C-6AF00A1C9F25}"/>
    <cellStyle name="Vírgula 4 2 2 5 2" xfId="2988" xr:uid="{400FBB6D-87CF-4F55-A91D-BCA02C5B4808}"/>
    <cellStyle name="Vírgula 4 2 2 5 2 2" xfId="2989" xr:uid="{1D130665-0957-41E8-BBF9-B12BE642400F}"/>
    <cellStyle name="Vírgula 4 2 2 5 2 2 2" xfId="2990" xr:uid="{6A9B0679-77F0-47D5-A7AF-9F2C615D6397}"/>
    <cellStyle name="Vírgula 4 2 2 5 2 2 2 2" xfId="2991" xr:uid="{10A6E296-C3D2-45B4-8005-57345C54F5C0}"/>
    <cellStyle name="Vírgula 4 2 2 5 2 2 2 3" xfId="7707" xr:uid="{8059FAA5-D60D-4A89-8AC6-E6E2AEE70EF8}"/>
    <cellStyle name="Vírgula 4 2 2 5 2 2 3" xfId="2992" xr:uid="{8DD6EC88-CB35-41FB-999B-FCA665A0A4B6}"/>
    <cellStyle name="Vírgula 4 2 2 5 2 2 4" xfId="7706" xr:uid="{61ECF14C-4675-46E7-8ECE-44B6258BC188}"/>
    <cellStyle name="Vírgula 4 2 2 5 2 3" xfId="2993" xr:uid="{7AD59B48-2E8F-42DB-9E58-1DE5FBE963E6}"/>
    <cellStyle name="Vírgula 4 2 2 5 2 3 2" xfId="2994" xr:uid="{655E5D14-3B07-468E-AA3E-BBF2C190ABD1}"/>
    <cellStyle name="Vírgula 4 2 2 5 2 3 2 2" xfId="2995" xr:uid="{E398F4C1-E5D3-4CC7-AFD2-C461663CF2E3}"/>
    <cellStyle name="Vírgula 4 2 2 5 2 3 2 3" xfId="7709" xr:uid="{7FFAEA8A-A094-4C0E-8D3A-C1F3CC79F8EE}"/>
    <cellStyle name="Vírgula 4 2 2 5 2 3 3" xfId="2996" xr:uid="{D850607D-0834-4E51-B94B-ABA8CE6236AC}"/>
    <cellStyle name="Vírgula 4 2 2 5 2 3 4" xfId="7708" xr:uid="{1E809369-AF4C-42A3-A4EF-0AFDF6F1A9FA}"/>
    <cellStyle name="Vírgula 4 2 2 5 2 4" xfId="2997" xr:uid="{A4D405BA-F89D-4B7D-BF89-FA7899B025C2}"/>
    <cellStyle name="Vírgula 4 2 2 5 2 4 2" xfId="2998" xr:uid="{D0B411E1-3DB6-4CAA-AC30-6F8F0495CAB9}"/>
    <cellStyle name="Vírgula 4 2 2 5 2 4 3" xfId="7710" xr:uid="{EF522A4F-6203-4F04-8DEC-AFE9EBED9E4B}"/>
    <cellStyle name="Vírgula 4 2 2 5 2 5" xfId="2999" xr:uid="{6EF18CED-6D10-4E89-83A9-A12506889393}"/>
    <cellStyle name="Vírgula 4 2 2 5 2 6" xfId="7705" xr:uid="{12846FB5-EF65-449F-BF78-9FDCCEDDF4D8}"/>
    <cellStyle name="Vírgula 4 2 2 5 3" xfId="3000" xr:uid="{925A3D01-78DB-439F-A581-70DF967E9AEE}"/>
    <cellStyle name="Vírgula 4 2 2 5 3 2" xfId="3001" xr:uid="{0B98856C-8E6A-4025-91C0-77A9ABE095DD}"/>
    <cellStyle name="Vírgula 4 2 2 5 3 2 2" xfId="3002" xr:uid="{E7D37653-4555-4D51-9265-BBD4120B8F49}"/>
    <cellStyle name="Vírgula 4 2 2 5 3 2 3" xfId="7712" xr:uid="{1FAFA5E4-34E4-42EC-B217-E5208BA8A67D}"/>
    <cellStyle name="Vírgula 4 2 2 5 3 3" xfId="3003" xr:uid="{C1EFD297-58AB-470C-B6B1-668E2FBCA164}"/>
    <cellStyle name="Vírgula 4 2 2 5 3 4" xfId="7711" xr:uid="{D1B10FDC-3CD0-4019-A1D6-59B7F093CEC4}"/>
    <cellStyle name="Vírgula 4 2 2 5 4" xfId="3004" xr:uid="{A5A7130F-69BC-4B0D-AD3E-DBFD0232739A}"/>
    <cellStyle name="Vírgula 4 2 2 5 4 2" xfId="3005" xr:uid="{B83B04F7-3549-47A7-94BD-6E50E329C8C3}"/>
    <cellStyle name="Vírgula 4 2 2 5 4 2 2" xfId="3006" xr:uid="{6813A131-DE49-4802-A316-CDA0AD612661}"/>
    <cellStyle name="Vírgula 4 2 2 5 4 2 3" xfId="7714" xr:uid="{55336A61-8B45-417B-B03C-48B2F09AD9BB}"/>
    <cellStyle name="Vírgula 4 2 2 5 4 3" xfId="3007" xr:uid="{82DB6334-C736-4D8F-8F12-C5AA20E3257E}"/>
    <cellStyle name="Vírgula 4 2 2 5 4 4" xfId="7713" xr:uid="{99C2BA5D-A622-4F6D-B8AC-F49E8439B7E4}"/>
    <cellStyle name="Vírgula 4 2 2 5 5" xfId="3008" xr:uid="{65062FBC-BEC4-4588-8473-FD5D9E169CD3}"/>
    <cellStyle name="Vírgula 4 2 2 5 5 2" xfId="3009" xr:uid="{BD644326-B335-4B7A-9433-C2B99FB893D7}"/>
    <cellStyle name="Vírgula 4 2 2 5 5 3" xfId="7715" xr:uid="{8A1B7159-3875-4AB0-A804-52C166B3E9D4}"/>
    <cellStyle name="Vírgula 4 2 2 5 6" xfId="3010" xr:uid="{C525DC1B-1DF6-4780-8440-87DCE42F9CF5}"/>
    <cellStyle name="Vírgula 4 2 2 5 7" xfId="7704" xr:uid="{809A3A21-FD66-4A31-9428-E06A8496CB82}"/>
    <cellStyle name="Vírgula 4 2 2 6" xfId="3011" xr:uid="{DB51B74C-9346-476F-8F48-48FD551116F4}"/>
    <cellStyle name="Vírgula 4 2 2 6 2" xfId="3012" xr:uid="{8FEB3417-B098-48BB-9966-7C37F03DFC3F}"/>
    <cellStyle name="Vírgula 4 2 2 6 2 2" xfId="3013" xr:uid="{11298BEA-3176-4521-9DF7-683EE49DC5EE}"/>
    <cellStyle name="Vírgula 4 2 2 6 2 2 2" xfId="3014" xr:uid="{C582DE03-977A-402E-9426-F743863C0F94}"/>
    <cellStyle name="Vírgula 4 2 2 6 2 2 2 2" xfId="3015" xr:uid="{3BBC06A4-05E9-41B6-A704-A2FD56E7DBD3}"/>
    <cellStyle name="Vírgula 4 2 2 6 2 2 2 3" xfId="7719" xr:uid="{FC9B8D29-25BB-4F30-88C4-D8CA115AF578}"/>
    <cellStyle name="Vírgula 4 2 2 6 2 2 3" xfId="3016" xr:uid="{B7593183-C55E-4DF6-9284-52CC7E728085}"/>
    <cellStyle name="Vírgula 4 2 2 6 2 2 4" xfId="7718" xr:uid="{C6312CF0-29E8-45A2-8B20-5B12258570DF}"/>
    <cellStyle name="Vírgula 4 2 2 6 2 3" xfId="3017" xr:uid="{ED9356BF-7D48-4CBD-9498-51D45E4000FE}"/>
    <cellStyle name="Vírgula 4 2 2 6 2 3 2" xfId="3018" xr:uid="{23656194-83A3-4624-9DD4-FC2EED088F30}"/>
    <cellStyle name="Vírgula 4 2 2 6 2 3 2 2" xfId="3019" xr:uid="{EE256504-1364-4F5E-8E8D-67DF8F444453}"/>
    <cellStyle name="Vírgula 4 2 2 6 2 3 2 3" xfId="7721" xr:uid="{76E51736-390A-4EB6-924E-A6DD3B0179A1}"/>
    <cellStyle name="Vírgula 4 2 2 6 2 3 3" xfId="3020" xr:uid="{725DE057-4A93-48BF-A0B5-C83B515F2664}"/>
    <cellStyle name="Vírgula 4 2 2 6 2 3 4" xfId="7720" xr:uid="{AF747C35-8665-4C40-8343-1EE987701CB0}"/>
    <cellStyle name="Vírgula 4 2 2 6 2 4" xfId="3021" xr:uid="{7A42FA47-E670-4B1F-9988-047C1D36450A}"/>
    <cellStyle name="Vírgula 4 2 2 6 2 4 2" xfId="3022" xr:uid="{41510CCA-1D9E-42A8-944D-4C91FBEB070E}"/>
    <cellStyle name="Vírgula 4 2 2 6 2 4 3" xfId="7722" xr:uid="{3FDC0AB3-69AE-4B22-90FD-F26CE1AB2294}"/>
    <cellStyle name="Vírgula 4 2 2 6 2 5" xfId="3023" xr:uid="{F650ECFC-0EE1-4BC8-B121-DDADA7C01C07}"/>
    <cellStyle name="Vírgula 4 2 2 6 2 6" xfId="7717" xr:uid="{BA1419E7-86C8-489E-9CC2-F1E482D2B954}"/>
    <cellStyle name="Vírgula 4 2 2 6 3" xfId="3024" xr:uid="{141F984C-B839-48F9-BCD5-EFDD8A9EF74E}"/>
    <cellStyle name="Vírgula 4 2 2 6 3 2" xfId="3025" xr:uid="{AEF251EE-A61C-474F-A1F0-E1A42AB7765A}"/>
    <cellStyle name="Vírgula 4 2 2 6 3 2 2" xfId="3026" xr:uid="{013E65FA-BAA0-42A6-B9BA-E26DBDD094A4}"/>
    <cellStyle name="Vírgula 4 2 2 6 3 2 3" xfId="7724" xr:uid="{6A841B5D-D682-4DBD-BC37-15559B9D9312}"/>
    <cellStyle name="Vírgula 4 2 2 6 3 3" xfId="3027" xr:uid="{668FF723-351D-4B67-A6EB-F7B131E2A587}"/>
    <cellStyle name="Vírgula 4 2 2 6 3 4" xfId="7723" xr:uid="{2BFA341C-4722-4FEE-B6FE-EB6093F670E0}"/>
    <cellStyle name="Vírgula 4 2 2 6 4" xfId="3028" xr:uid="{D9F113F6-6518-4C2B-85D6-EF2676E6380C}"/>
    <cellStyle name="Vírgula 4 2 2 6 4 2" xfId="3029" xr:uid="{1A28C035-12E8-4408-B9E3-DE4552FD8E36}"/>
    <cellStyle name="Vírgula 4 2 2 6 4 2 2" xfId="3030" xr:uid="{93A98128-AE2D-497E-BEDD-BAC1548BC487}"/>
    <cellStyle name="Vírgula 4 2 2 6 4 2 3" xfId="7726" xr:uid="{30ED1BCF-DFB8-4675-9AA4-FFF86DC78298}"/>
    <cellStyle name="Vírgula 4 2 2 6 4 3" xfId="3031" xr:uid="{E34D73B4-BE91-47BA-A55D-291ADC71ADC0}"/>
    <cellStyle name="Vírgula 4 2 2 6 4 4" xfId="7725" xr:uid="{AAFDE39E-2753-4190-928D-C16B4AFCF219}"/>
    <cellStyle name="Vírgula 4 2 2 6 5" xfId="3032" xr:uid="{E6D75024-7D40-4C7E-AB8B-9F3D273BA0E3}"/>
    <cellStyle name="Vírgula 4 2 2 6 5 2" xfId="3033" xr:uid="{BAC6F579-25E0-47A0-9346-A83DC869344B}"/>
    <cellStyle name="Vírgula 4 2 2 6 5 3" xfId="7727" xr:uid="{C0531AC7-93B4-4837-9884-3373D69D4B11}"/>
    <cellStyle name="Vírgula 4 2 2 6 6" xfId="3034" xr:uid="{0A3D54A8-37BD-4210-9C53-BE3DF149C5F9}"/>
    <cellStyle name="Vírgula 4 2 2 6 7" xfId="7716" xr:uid="{9F819FEA-F710-4C79-B450-FFC28620F9A1}"/>
    <cellStyle name="Vírgula 4 2 2 7" xfId="3035" xr:uid="{1CD65898-2345-46AE-852C-DD5A5CDEC393}"/>
    <cellStyle name="Vírgula 4 2 2 7 2" xfId="3036" xr:uid="{FCC2B262-54F3-43F7-95BA-2742C170E191}"/>
    <cellStyle name="Vírgula 4 2 2 7 2 2" xfId="3037" xr:uid="{B40CC21B-9CC8-4804-8DA7-2A629BAAFA0C}"/>
    <cellStyle name="Vírgula 4 2 2 7 2 2 2" xfId="3038" xr:uid="{6A5FA13C-9FB8-4D41-B118-4777C03DD7A6}"/>
    <cellStyle name="Vírgula 4 2 2 7 2 2 3" xfId="7730" xr:uid="{92CB5C71-51A8-48C9-AB20-1A6264B1200C}"/>
    <cellStyle name="Vírgula 4 2 2 7 2 3" xfId="3039" xr:uid="{C0BC4A40-FAF4-48D4-BAD8-59E351640998}"/>
    <cellStyle name="Vírgula 4 2 2 7 2 4" xfId="7729" xr:uid="{04D9084A-27EF-4267-A631-B65378595ED8}"/>
    <cellStyle name="Vírgula 4 2 2 7 3" xfId="3040" xr:uid="{A7527283-037B-41DD-BADD-CAB34D08B922}"/>
    <cellStyle name="Vírgula 4 2 2 7 3 2" xfId="3041" xr:uid="{8A0F35F1-2F35-43D5-93A8-BCBB850C469A}"/>
    <cellStyle name="Vírgula 4 2 2 7 3 2 2" xfId="3042" xr:uid="{0A4F2CA6-0046-4661-A7BA-62154CA6040B}"/>
    <cellStyle name="Vírgula 4 2 2 7 3 2 3" xfId="7732" xr:uid="{F846ADE1-8973-4F31-BC93-812C8A72A6EB}"/>
    <cellStyle name="Vírgula 4 2 2 7 3 3" xfId="3043" xr:uid="{479283D0-522B-4874-AAE1-4EADDCE2D296}"/>
    <cellStyle name="Vírgula 4 2 2 7 3 4" xfId="7731" xr:uid="{F4D36ECA-25A4-4EF5-87F5-B4A91C78DB9C}"/>
    <cellStyle name="Vírgula 4 2 2 7 4" xfId="3044" xr:uid="{9F364DBA-0781-45F8-B66F-050DD6768C71}"/>
    <cellStyle name="Vírgula 4 2 2 7 4 2" xfId="3045" xr:uid="{9910022A-627F-4CC2-BC8C-572A2ADCED73}"/>
    <cellStyle name="Vírgula 4 2 2 7 4 3" xfId="7733" xr:uid="{1A050A3A-51E4-40F1-8D43-C26F20D3E612}"/>
    <cellStyle name="Vírgula 4 2 2 7 5" xfId="3046" xr:uid="{3E911D21-7162-40B5-9CB0-ECFA5E823D44}"/>
    <cellStyle name="Vírgula 4 2 2 7 6" xfId="7728" xr:uid="{E4D0F58A-C24A-4FB4-912A-B581E711AECB}"/>
    <cellStyle name="Vírgula 4 2 2 8" xfId="3047" xr:uid="{6005E259-ADD7-4834-BECD-DECA97E7379F}"/>
    <cellStyle name="Vírgula 4 2 2 8 2" xfId="3048" xr:uid="{CC67702E-C81A-4DD0-BD2A-F8E73693D28A}"/>
    <cellStyle name="Vírgula 4 2 2 8 2 2" xfId="3049" xr:uid="{3F168D24-6CCF-4F01-9616-7A46C0815D93}"/>
    <cellStyle name="Vírgula 4 2 2 8 2 3" xfId="7735" xr:uid="{B94ABCD9-295C-4B03-8BBB-D1D6A9B1B7D7}"/>
    <cellStyle name="Vírgula 4 2 2 8 3" xfId="3050" xr:uid="{0089B15A-3756-4B82-A6A8-5D6E97B4C052}"/>
    <cellStyle name="Vírgula 4 2 2 8 4" xfId="7734" xr:uid="{155C250F-737A-4DA4-8B83-4CFC72A31519}"/>
    <cellStyle name="Vírgula 4 2 2 9" xfId="3051" xr:uid="{B418CD72-A1B2-412B-BA3F-522C19EFE9EC}"/>
    <cellStyle name="Vírgula 4 2 2 9 2" xfId="3052" xr:uid="{3F81BC1A-9CE0-415F-8480-EB14C8D54AF4}"/>
    <cellStyle name="Vírgula 4 2 2 9 2 2" xfId="3053" xr:uid="{230D2F26-A4B6-4849-85E0-CC6AE23D3B6E}"/>
    <cellStyle name="Vírgula 4 2 2 9 2 3" xfId="7737" xr:uid="{D80E16A1-D921-402B-84DA-17862F6D5F4C}"/>
    <cellStyle name="Vírgula 4 2 2 9 3" xfId="3054" xr:uid="{C9D2C49C-6711-4B3D-86FA-5BA127A748EE}"/>
    <cellStyle name="Vírgula 4 2 2 9 4" xfId="7736" xr:uid="{B3D081CB-7E78-4AF3-90F0-D46DF3A7A476}"/>
    <cellStyle name="Vírgula 4 2 3" xfId="3055" xr:uid="{5BA02087-7F80-4AA5-84CF-42E2F6B66E17}"/>
    <cellStyle name="Vírgula 4 2 3 2" xfId="3056" xr:uid="{3BF7C3F9-D365-4D5F-9A1C-46BD0D68D28C}"/>
    <cellStyle name="Vírgula 4 2 3 2 2" xfId="3057" xr:uid="{8164C925-BD69-47D9-A03E-D2F2BC9A704D}"/>
    <cellStyle name="Vírgula 4 2 3 2 2 2" xfId="3058" xr:uid="{55F57C7C-1175-4CD3-9C01-0C03CCFB65B1}"/>
    <cellStyle name="Vírgula 4 2 3 2 2 2 2" xfId="3059" xr:uid="{11EDCCBE-CD49-4534-8F44-52080FB920BB}"/>
    <cellStyle name="Vírgula 4 2 3 2 2 2 2 2" xfId="3060" xr:uid="{1F81AC35-E557-497F-ACBB-43E05B3AF984}"/>
    <cellStyle name="Vírgula 4 2 3 2 2 2 2 3" xfId="7742" xr:uid="{1CB3912B-B382-47F7-B178-01C7E49B1B82}"/>
    <cellStyle name="Vírgula 4 2 3 2 2 2 3" xfId="3061" xr:uid="{5ED12DC1-DC37-4B92-B198-A94674604615}"/>
    <cellStyle name="Vírgula 4 2 3 2 2 2 4" xfId="7741" xr:uid="{65A00E8A-18FC-4794-8860-44F352DF2A10}"/>
    <cellStyle name="Vírgula 4 2 3 2 2 3" xfId="3062" xr:uid="{79A6B388-118F-4387-B662-B78E17FF11BD}"/>
    <cellStyle name="Vírgula 4 2 3 2 2 3 2" xfId="3063" xr:uid="{8FB581A3-45D9-4AC2-A00D-211A55CF4A87}"/>
    <cellStyle name="Vírgula 4 2 3 2 2 3 2 2" xfId="3064" xr:uid="{D5C8386F-9F8C-4315-9950-639CEDA7FE2D}"/>
    <cellStyle name="Vírgula 4 2 3 2 2 3 2 3" xfId="7744" xr:uid="{D2A0F0AE-4F39-4EE1-820B-474308822202}"/>
    <cellStyle name="Vírgula 4 2 3 2 2 3 3" xfId="3065" xr:uid="{2D504DD0-F3CB-4506-ABEF-F43D74987CC1}"/>
    <cellStyle name="Vírgula 4 2 3 2 2 3 4" xfId="7743" xr:uid="{704DA934-AB2B-4285-811C-48AF2C3CB14E}"/>
    <cellStyle name="Vírgula 4 2 3 2 2 4" xfId="3066" xr:uid="{E478394E-CAA9-487F-A155-103B831E71CB}"/>
    <cellStyle name="Vírgula 4 2 3 2 2 4 2" xfId="3067" xr:uid="{DB65B622-2073-4A52-A068-B11D7C795CA3}"/>
    <cellStyle name="Vírgula 4 2 3 2 2 4 3" xfId="7745" xr:uid="{14ED45B7-3F4D-457F-A074-A907EE927AAF}"/>
    <cellStyle name="Vírgula 4 2 3 2 2 5" xfId="3068" xr:uid="{E432EEC7-D0E3-428A-B7B5-39DED98C6E36}"/>
    <cellStyle name="Vírgula 4 2 3 2 2 6" xfId="7740" xr:uid="{AB509DC6-961B-473B-9F7E-B6E0834A264A}"/>
    <cellStyle name="Vírgula 4 2 3 2 3" xfId="3069" xr:uid="{0C98E6B5-D9C6-48B0-9BA7-B877B8EEF3C9}"/>
    <cellStyle name="Vírgula 4 2 3 2 3 2" xfId="3070" xr:uid="{45421742-E490-43BE-B801-431650C9BA68}"/>
    <cellStyle name="Vírgula 4 2 3 2 3 2 2" xfId="3071" xr:uid="{EB7EDD62-FBDA-41A9-A152-4516F73FDFBB}"/>
    <cellStyle name="Vírgula 4 2 3 2 3 2 3" xfId="7747" xr:uid="{A0403807-F33E-410F-86AD-872AC75E29E4}"/>
    <cellStyle name="Vírgula 4 2 3 2 3 3" xfId="3072" xr:uid="{DE9E26BF-DC53-4864-B07D-BA2503EE9F8B}"/>
    <cellStyle name="Vírgula 4 2 3 2 3 4" xfId="7746" xr:uid="{417078D1-5A89-485C-BF50-D39F274B237C}"/>
    <cellStyle name="Vírgula 4 2 3 2 4" xfId="3073" xr:uid="{ECD4386A-9A6C-44A3-B53E-8A23CE63EE46}"/>
    <cellStyle name="Vírgula 4 2 3 2 4 2" xfId="3074" xr:uid="{98524373-BC6F-4052-B866-C6BB20D331DB}"/>
    <cellStyle name="Vírgula 4 2 3 2 4 2 2" xfId="3075" xr:uid="{4746F0EE-EF4E-4449-9CD9-E7ED275BB580}"/>
    <cellStyle name="Vírgula 4 2 3 2 4 2 3" xfId="7749" xr:uid="{FD704695-B6F5-480B-B39A-3ED5D134D0A4}"/>
    <cellStyle name="Vírgula 4 2 3 2 4 3" xfId="3076" xr:uid="{5B00D481-10D0-480C-A53A-AD50035E9BAF}"/>
    <cellStyle name="Vírgula 4 2 3 2 4 4" xfId="7748" xr:uid="{1CCDBE69-3412-4365-8ABF-0AE94236A191}"/>
    <cellStyle name="Vírgula 4 2 3 2 5" xfId="3077" xr:uid="{979665E6-56CD-4FA4-8D64-215CF3E0A782}"/>
    <cellStyle name="Vírgula 4 2 3 2 5 2" xfId="3078" xr:uid="{5CE9347E-293A-43A9-B19B-16EF765500E6}"/>
    <cellStyle name="Vírgula 4 2 3 2 5 3" xfId="7750" xr:uid="{80F41C93-F745-4EFA-94A5-5AD751494D4E}"/>
    <cellStyle name="Vírgula 4 2 3 2 6" xfId="3079" xr:uid="{ED180EDD-C76B-4720-85F0-4B2369D3FD65}"/>
    <cellStyle name="Vírgula 4 2 3 2 7" xfId="7739" xr:uid="{DB1999DE-AB95-47E7-8F0E-2325AFDAF30E}"/>
    <cellStyle name="Vírgula 4 2 3 3" xfId="3080" xr:uid="{A3CDE5D7-F965-436D-A3A2-EBDD14593423}"/>
    <cellStyle name="Vírgula 4 2 3 3 2" xfId="3081" xr:uid="{FE414846-B2B0-4725-9C2D-B9C0E36595BE}"/>
    <cellStyle name="Vírgula 4 2 3 3 2 2" xfId="3082" xr:uid="{88D39208-BEED-4DAA-883F-9C7AD5834789}"/>
    <cellStyle name="Vírgula 4 2 3 3 2 2 2" xfId="3083" xr:uid="{18C40439-0370-489C-928D-B7637694E106}"/>
    <cellStyle name="Vírgula 4 2 3 3 2 2 2 2" xfId="3084" xr:uid="{4E09D8FF-5157-48AF-8189-66D29F7E10C4}"/>
    <cellStyle name="Vírgula 4 2 3 3 2 2 2 3" xfId="7754" xr:uid="{3B83B004-30F8-4EC7-BB66-E0ABEC1B5E18}"/>
    <cellStyle name="Vírgula 4 2 3 3 2 2 3" xfId="3085" xr:uid="{135DD5A0-6165-4FCA-B262-8908EE306F7E}"/>
    <cellStyle name="Vírgula 4 2 3 3 2 2 4" xfId="7753" xr:uid="{EF51C6ED-066C-4E3C-AC6A-C77F4A6A4CC6}"/>
    <cellStyle name="Vírgula 4 2 3 3 2 3" xfId="3086" xr:uid="{0A8F0410-60D3-44DD-904F-C0E8DE10E003}"/>
    <cellStyle name="Vírgula 4 2 3 3 2 3 2" xfId="3087" xr:uid="{309CEF38-8E74-404B-BF5C-35BF0F9BCFFA}"/>
    <cellStyle name="Vírgula 4 2 3 3 2 3 2 2" xfId="3088" xr:uid="{65846467-67D8-4B1E-82BD-F0835FA71D3A}"/>
    <cellStyle name="Vírgula 4 2 3 3 2 3 2 3" xfId="7756" xr:uid="{EFC47D12-851C-4295-9290-336B93FFB393}"/>
    <cellStyle name="Vírgula 4 2 3 3 2 3 3" xfId="3089" xr:uid="{3B3A177A-CC84-466D-B678-47051A6B0D57}"/>
    <cellStyle name="Vírgula 4 2 3 3 2 3 4" xfId="7755" xr:uid="{D4512EB5-2233-462C-966E-5D5225688C48}"/>
    <cellStyle name="Vírgula 4 2 3 3 2 4" xfId="3090" xr:uid="{6C955A17-86DE-49BB-899F-95CA7E7D2197}"/>
    <cellStyle name="Vírgula 4 2 3 3 2 4 2" xfId="3091" xr:uid="{F3D0E718-99DC-45FB-9414-428BAF241FCE}"/>
    <cellStyle name="Vírgula 4 2 3 3 2 4 3" xfId="7757" xr:uid="{384F326E-B6DB-4BDE-866D-931929074668}"/>
    <cellStyle name="Vírgula 4 2 3 3 2 5" xfId="3092" xr:uid="{63A4A263-8ED7-44BB-81F3-428A1BCBF4F6}"/>
    <cellStyle name="Vírgula 4 2 3 3 2 6" xfId="7752" xr:uid="{58B42587-FAC1-432C-8F7E-798225FD336F}"/>
    <cellStyle name="Vírgula 4 2 3 3 3" xfId="3093" xr:uid="{215CF61B-ADFE-44E7-B25B-B58942E240B7}"/>
    <cellStyle name="Vírgula 4 2 3 3 3 2" xfId="3094" xr:uid="{B765AAB9-A702-4605-801C-1AF252EA06D0}"/>
    <cellStyle name="Vírgula 4 2 3 3 3 2 2" xfId="3095" xr:uid="{651AD040-0B3C-4FFC-AD3A-44299E66555E}"/>
    <cellStyle name="Vírgula 4 2 3 3 3 2 3" xfId="7759" xr:uid="{CC8D88BA-4DDD-4977-A6E4-5DA95416686E}"/>
    <cellStyle name="Vírgula 4 2 3 3 3 3" xfId="3096" xr:uid="{75153EA5-46A8-4A8D-B400-9F429A1AF577}"/>
    <cellStyle name="Vírgula 4 2 3 3 3 4" xfId="7758" xr:uid="{02C04855-6D42-4B78-8464-17723BC5A8D5}"/>
    <cellStyle name="Vírgula 4 2 3 3 4" xfId="3097" xr:uid="{0504C74B-1B62-4BC5-9997-A0BD319CD805}"/>
    <cellStyle name="Vírgula 4 2 3 3 4 2" xfId="3098" xr:uid="{46197092-DC6E-4319-91D6-F4689DADCA20}"/>
    <cellStyle name="Vírgula 4 2 3 3 4 2 2" xfId="3099" xr:uid="{2998C4AB-C93D-46FA-A608-F86AD3E9274E}"/>
    <cellStyle name="Vírgula 4 2 3 3 4 2 3" xfId="7761" xr:uid="{D30FBDA6-0321-4D26-86E8-B0CF1EEBA2B4}"/>
    <cellStyle name="Vírgula 4 2 3 3 4 3" xfId="3100" xr:uid="{EF94F711-9E36-42E0-A631-8D537F746166}"/>
    <cellStyle name="Vírgula 4 2 3 3 4 4" xfId="7760" xr:uid="{EC184CF7-DC17-44A6-B659-EA9632DFFD23}"/>
    <cellStyle name="Vírgula 4 2 3 3 5" xfId="3101" xr:uid="{8080940C-DA0A-4970-9936-5778EFB0670F}"/>
    <cellStyle name="Vírgula 4 2 3 3 5 2" xfId="3102" xr:uid="{EE891ED5-7855-4BA5-A6B4-5D860DC5BB2F}"/>
    <cellStyle name="Vírgula 4 2 3 3 5 3" xfId="7762" xr:uid="{960FFAB7-729F-4CE0-9E23-3413C0BDD7E4}"/>
    <cellStyle name="Vírgula 4 2 3 3 6" xfId="3103" xr:uid="{739EA18F-E91A-44F5-92F6-54FAF3194F9F}"/>
    <cellStyle name="Vírgula 4 2 3 3 7" xfId="7751" xr:uid="{BB3BFAD4-FDED-4FC8-A9BD-9C532904A01D}"/>
    <cellStyle name="Vírgula 4 2 3 4" xfId="3104" xr:uid="{8C112499-F8A4-4717-8E71-A9AA5B1E8A70}"/>
    <cellStyle name="Vírgula 4 2 3 4 2" xfId="3105" xr:uid="{54773FC5-D52C-487C-80AE-9C55E184DAEE}"/>
    <cellStyle name="Vírgula 4 2 3 4 2 2" xfId="3106" xr:uid="{3ECD534C-0319-462A-B755-516FEFF635E5}"/>
    <cellStyle name="Vírgula 4 2 3 4 2 2 2" xfId="3107" xr:uid="{00EC2B93-4779-4BCF-B72A-562E5DB4D91B}"/>
    <cellStyle name="Vírgula 4 2 3 4 2 2 3" xfId="7765" xr:uid="{2EACB2E1-B551-41E7-9A9F-9829F47FBDF2}"/>
    <cellStyle name="Vírgula 4 2 3 4 2 3" xfId="3108" xr:uid="{F777DCCC-DF1E-4A22-9E13-23045941ACEF}"/>
    <cellStyle name="Vírgula 4 2 3 4 2 4" xfId="7764" xr:uid="{19055754-C139-4A0E-B4B8-AA7F3CE29A5C}"/>
    <cellStyle name="Vírgula 4 2 3 4 3" xfId="3109" xr:uid="{1865F74A-D43E-4F9A-B596-C77D0E4B5C88}"/>
    <cellStyle name="Vírgula 4 2 3 4 3 2" xfId="3110" xr:uid="{28118A5D-46E7-4470-BD43-613F14DF1852}"/>
    <cellStyle name="Vírgula 4 2 3 4 3 2 2" xfId="3111" xr:uid="{7D030B4E-0E7B-4200-9010-CB0E7602D513}"/>
    <cellStyle name="Vírgula 4 2 3 4 3 2 3" xfId="7767" xr:uid="{530DFE9F-FDAD-4247-A1E6-83FAC6F242D0}"/>
    <cellStyle name="Vírgula 4 2 3 4 3 3" xfId="3112" xr:uid="{F9F4A1D6-A588-446B-A791-BAB4E1AAC4B9}"/>
    <cellStyle name="Vírgula 4 2 3 4 3 4" xfId="7766" xr:uid="{87757D49-327B-4D16-8867-25A0F51E309C}"/>
    <cellStyle name="Vírgula 4 2 3 4 4" xfId="3113" xr:uid="{F199D419-4DCC-4B0E-A537-EE7BE2B147B5}"/>
    <cellStyle name="Vírgula 4 2 3 4 4 2" xfId="3114" xr:uid="{350B13C5-7421-4B75-9C0F-B74C182E3B83}"/>
    <cellStyle name="Vírgula 4 2 3 4 4 3" xfId="7768" xr:uid="{4B3F076A-61D5-488E-84B8-1DDFDD8E12F6}"/>
    <cellStyle name="Vírgula 4 2 3 4 5" xfId="3115" xr:uid="{168949EB-9918-4433-82ED-5BA40E087F4B}"/>
    <cellStyle name="Vírgula 4 2 3 4 6" xfId="7763" xr:uid="{898D83E1-F872-4E6D-917B-82F3E59A4A9A}"/>
    <cellStyle name="Vírgula 4 2 3 5" xfId="3116" xr:uid="{3B0C1AE1-D251-4C64-81E8-BD2EC99B5BD7}"/>
    <cellStyle name="Vírgula 4 2 3 5 2" xfId="3117" xr:uid="{E7FBA2D5-1E62-4630-A292-BFDCE035AFCE}"/>
    <cellStyle name="Vírgula 4 2 3 5 2 2" xfId="3118" xr:uid="{ED5091CC-3791-4B7F-BFFC-49383BFAFFDC}"/>
    <cellStyle name="Vírgula 4 2 3 5 2 3" xfId="7770" xr:uid="{EC1D69FB-240F-4464-A772-94820BD333EE}"/>
    <cellStyle name="Vírgula 4 2 3 5 3" xfId="3119" xr:uid="{0AFCB05F-CB81-4507-9F8D-11802B789307}"/>
    <cellStyle name="Vírgula 4 2 3 5 4" xfId="7769" xr:uid="{BB860BE2-9BEB-47EB-AEBA-5F2AE188D8BF}"/>
    <cellStyle name="Vírgula 4 2 3 6" xfId="3120" xr:uid="{DFED23CC-7FD4-48A9-8751-B0D0DAB5479E}"/>
    <cellStyle name="Vírgula 4 2 3 6 2" xfId="3121" xr:uid="{576EC1DC-F6E7-494E-A6BD-323553873806}"/>
    <cellStyle name="Vírgula 4 2 3 6 2 2" xfId="3122" xr:uid="{8C701CF6-5996-4B0F-B4C7-009E386B44C2}"/>
    <cellStyle name="Vírgula 4 2 3 6 2 3" xfId="7772" xr:uid="{00493ABA-C9B6-48B5-AF10-6B64F56681C6}"/>
    <cellStyle name="Vírgula 4 2 3 6 3" xfId="3123" xr:uid="{CB91EC16-C7F1-4D60-8D33-EEB7F7F0F1A9}"/>
    <cellStyle name="Vírgula 4 2 3 6 4" xfId="7771" xr:uid="{C72D3326-8450-46F5-A9AC-B363B8184759}"/>
    <cellStyle name="Vírgula 4 2 3 7" xfId="3124" xr:uid="{A495CD3D-F7F9-478D-84BB-57FD494CC37A}"/>
    <cellStyle name="Vírgula 4 2 3 7 2" xfId="3125" xr:uid="{A13DF374-54E0-430C-8DB4-96F88375E992}"/>
    <cellStyle name="Vírgula 4 2 3 7 3" xfId="7773" xr:uid="{61739A96-0852-48CB-8ADF-752C5EDCA888}"/>
    <cellStyle name="Vírgula 4 2 3 8" xfId="3126" xr:uid="{F25E2DC8-9756-4CD6-B8B4-7CD4C7CD108B}"/>
    <cellStyle name="Vírgula 4 2 3 9" xfId="7738" xr:uid="{11B0C735-EE94-4225-BCF5-4778114FC853}"/>
    <cellStyle name="Vírgula 4 2 4" xfId="3127" xr:uid="{043803E9-03DC-4267-B72D-F9856C8B6CB0}"/>
    <cellStyle name="Vírgula 4 2 4 2" xfId="3128" xr:uid="{0844CD81-365A-49D9-9DFF-A09111281865}"/>
    <cellStyle name="Vírgula 4 2 4 2 2" xfId="3129" xr:uid="{E07D7F9E-E60B-401E-8CD0-28186A925D11}"/>
    <cellStyle name="Vírgula 4 2 4 2 2 2" xfId="3130" xr:uid="{8F89EAC3-3995-4FD8-ADD7-76793A43EABF}"/>
    <cellStyle name="Vírgula 4 2 4 2 2 2 2" xfId="3131" xr:uid="{FC1CE91A-6704-422D-9896-967408CF6B61}"/>
    <cellStyle name="Vírgula 4 2 4 2 2 2 2 2" xfId="3132" xr:uid="{3C703B70-0E55-4629-8D8C-D500492F7464}"/>
    <cellStyle name="Vírgula 4 2 4 2 2 2 2 3" xfId="7778" xr:uid="{88AB785D-2E39-41E9-9577-0645D2F42BD0}"/>
    <cellStyle name="Vírgula 4 2 4 2 2 2 3" xfId="3133" xr:uid="{665D71EB-877E-4C7B-B67B-B6EC1261DB55}"/>
    <cellStyle name="Vírgula 4 2 4 2 2 2 4" xfId="7777" xr:uid="{74C4F179-D935-449D-9896-E6572CB547EA}"/>
    <cellStyle name="Vírgula 4 2 4 2 2 3" xfId="3134" xr:uid="{9C226876-40B3-4DA6-9841-1EDB0E2063B7}"/>
    <cellStyle name="Vírgula 4 2 4 2 2 3 2" xfId="3135" xr:uid="{3296E8C2-0530-4310-A19C-2A6FD54D16B0}"/>
    <cellStyle name="Vírgula 4 2 4 2 2 3 2 2" xfId="3136" xr:uid="{F9E85FD3-D99B-4633-97AD-56D02C59A9C9}"/>
    <cellStyle name="Vírgula 4 2 4 2 2 3 2 3" xfId="7780" xr:uid="{F1B540E8-595A-4CFF-83BA-B9EE5383C7B3}"/>
    <cellStyle name="Vírgula 4 2 4 2 2 3 3" xfId="3137" xr:uid="{429C5CB4-ED96-4768-875C-E8845F0A4905}"/>
    <cellStyle name="Vírgula 4 2 4 2 2 3 4" xfId="7779" xr:uid="{FA4A07AC-383E-412C-A1F5-5823C66539D3}"/>
    <cellStyle name="Vírgula 4 2 4 2 2 4" xfId="3138" xr:uid="{2646730D-F9C0-423F-9D52-D61F3C572F86}"/>
    <cellStyle name="Vírgula 4 2 4 2 2 4 2" xfId="3139" xr:uid="{9F637955-BA7A-47A2-8BEC-2426AF912F93}"/>
    <cellStyle name="Vírgula 4 2 4 2 2 4 3" xfId="7781" xr:uid="{B52F2050-736C-4BD5-B8AC-1368064A2D3A}"/>
    <cellStyle name="Vírgula 4 2 4 2 2 5" xfId="3140" xr:uid="{5A83458F-CC13-4AAA-B0CA-06BC1655C45A}"/>
    <cellStyle name="Vírgula 4 2 4 2 2 6" xfId="7776" xr:uid="{D124B99E-8541-4553-A3C7-73297DD83C2C}"/>
    <cellStyle name="Vírgula 4 2 4 2 3" xfId="3141" xr:uid="{D0E6128A-51AA-484C-A5C8-628328FCB76D}"/>
    <cellStyle name="Vírgula 4 2 4 2 3 2" xfId="3142" xr:uid="{BFC2C78C-F943-4A32-9725-05A8D2E5F10E}"/>
    <cellStyle name="Vírgula 4 2 4 2 3 2 2" xfId="3143" xr:uid="{FEEBAA8F-0A5E-4DEE-B15E-F9051D20B850}"/>
    <cellStyle name="Vírgula 4 2 4 2 3 2 3" xfId="7783" xr:uid="{A03D5F61-9596-4B92-BC50-E0864C17FD78}"/>
    <cellStyle name="Vírgula 4 2 4 2 3 3" xfId="3144" xr:uid="{C89D05F0-6F5B-4667-85B0-EB39FC4BB2B9}"/>
    <cellStyle name="Vírgula 4 2 4 2 3 4" xfId="7782" xr:uid="{F0DCB4CB-2BF3-4E11-B25E-F9E10320CB56}"/>
    <cellStyle name="Vírgula 4 2 4 2 4" xfId="3145" xr:uid="{208B53CA-5E1E-4BCC-BE9A-E3BCEDC9C836}"/>
    <cellStyle name="Vírgula 4 2 4 2 4 2" xfId="3146" xr:uid="{0AC1FE99-A5BB-43A4-BCCF-DB34411C205F}"/>
    <cellStyle name="Vírgula 4 2 4 2 4 2 2" xfId="3147" xr:uid="{EDB2E207-8933-4A50-B25D-F9DCBDC91791}"/>
    <cellStyle name="Vírgula 4 2 4 2 4 2 3" xfId="7785" xr:uid="{92E2C537-BF76-4D27-AF75-E66C45DBC56F}"/>
    <cellStyle name="Vírgula 4 2 4 2 4 3" xfId="3148" xr:uid="{D9512AC3-CBB3-4AC0-A0A6-25FFD658582B}"/>
    <cellStyle name="Vírgula 4 2 4 2 4 4" xfId="7784" xr:uid="{3310ADD3-1D63-487D-A3F2-259659E3117D}"/>
    <cellStyle name="Vírgula 4 2 4 2 5" xfId="3149" xr:uid="{80757C85-735D-41DE-A91A-1A53AAD45E9B}"/>
    <cellStyle name="Vírgula 4 2 4 2 5 2" xfId="3150" xr:uid="{C1045983-AD51-431C-A9CF-C6165800E7FB}"/>
    <cellStyle name="Vírgula 4 2 4 2 5 3" xfId="7786" xr:uid="{8021DE98-9DC9-4F9D-976E-4F8773F9752D}"/>
    <cellStyle name="Vírgula 4 2 4 2 6" xfId="3151" xr:uid="{3CD7309F-A0A1-4153-9737-F40952A545B4}"/>
    <cellStyle name="Vírgula 4 2 4 2 7" xfId="7775" xr:uid="{65794093-24EB-48EE-A102-02249D0F68D3}"/>
    <cellStyle name="Vírgula 4 2 4 3" xfId="3152" xr:uid="{A1B1E01C-7A91-4677-AB77-460355EDD03A}"/>
    <cellStyle name="Vírgula 4 2 4 3 2" xfId="3153" xr:uid="{544EC8AC-81BE-439F-8344-80436BFDA18A}"/>
    <cellStyle name="Vírgula 4 2 4 3 2 2" xfId="3154" xr:uid="{B961D5B9-86F3-4F80-A839-820EC202537F}"/>
    <cellStyle name="Vírgula 4 2 4 3 2 2 2" xfId="3155" xr:uid="{C127BF8B-C860-4432-95CD-3301B5578CE7}"/>
    <cellStyle name="Vírgula 4 2 4 3 2 2 2 2" xfId="3156" xr:uid="{C7F2D00E-D95A-483C-934C-001A8A67E4BA}"/>
    <cellStyle name="Vírgula 4 2 4 3 2 2 2 3" xfId="7790" xr:uid="{3B259516-1EFB-46DC-BBC9-198F0B6F0509}"/>
    <cellStyle name="Vírgula 4 2 4 3 2 2 3" xfId="3157" xr:uid="{4A5B8EC0-9901-4373-A663-23456AC86C2C}"/>
    <cellStyle name="Vírgula 4 2 4 3 2 2 4" xfId="7789" xr:uid="{C91E1B04-BA2E-4FC2-9E9B-C0FCBAB5552A}"/>
    <cellStyle name="Vírgula 4 2 4 3 2 3" xfId="3158" xr:uid="{99F70DE9-3FF6-41BF-AB82-6D4E599F28E4}"/>
    <cellStyle name="Vírgula 4 2 4 3 2 3 2" xfId="3159" xr:uid="{CB1F18BC-4762-46C8-83D6-FD567A38C5DE}"/>
    <cellStyle name="Vírgula 4 2 4 3 2 3 2 2" xfId="3160" xr:uid="{A2AC3F23-5347-41B3-A9BD-10DF29F3099E}"/>
    <cellStyle name="Vírgula 4 2 4 3 2 3 2 3" xfId="7792" xr:uid="{0B1768C8-886E-45B4-9129-875C8B7E8BF7}"/>
    <cellStyle name="Vírgula 4 2 4 3 2 3 3" xfId="3161" xr:uid="{E2301E58-5ECC-43ED-9A36-3C9E0E6EF5C8}"/>
    <cellStyle name="Vírgula 4 2 4 3 2 3 4" xfId="7791" xr:uid="{E53CE43B-8819-4A9A-85C4-2B37709F2A58}"/>
    <cellStyle name="Vírgula 4 2 4 3 2 4" xfId="3162" xr:uid="{2158BACB-4477-4169-8FE2-969E628B41AC}"/>
    <cellStyle name="Vírgula 4 2 4 3 2 4 2" xfId="3163" xr:uid="{19F553DB-5F44-41E8-AB49-88FFB8E74F67}"/>
    <cellStyle name="Vírgula 4 2 4 3 2 4 3" xfId="7793" xr:uid="{4118FC2B-A2B5-48FC-B517-E22BB917AB27}"/>
    <cellStyle name="Vírgula 4 2 4 3 2 5" xfId="3164" xr:uid="{156D4E95-4AB9-4289-B7B3-D2211F7103B7}"/>
    <cellStyle name="Vírgula 4 2 4 3 2 6" xfId="7788" xr:uid="{CCE8C6DB-AF22-4A25-B6BC-C5805F5FAC65}"/>
    <cellStyle name="Vírgula 4 2 4 3 3" xfId="3165" xr:uid="{86137AE9-B612-4433-80D2-C14512CFEEC9}"/>
    <cellStyle name="Vírgula 4 2 4 3 3 2" xfId="3166" xr:uid="{E92C3E11-BE7C-4BC0-88E1-EEB252038899}"/>
    <cellStyle name="Vírgula 4 2 4 3 3 2 2" xfId="3167" xr:uid="{AC757461-16DA-4D1F-A46F-9E64794C711F}"/>
    <cellStyle name="Vírgula 4 2 4 3 3 2 3" xfId="7795" xr:uid="{DA146EBA-3388-4AD0-BE2B-14574306C8E4}"/>
    <cellStyle name="Vírgula 4 2 4 3 3 3" xfId="3168" xr:uid="{EB4ABA22-2BD1-4940-B0EC-6CF25B45253D}"/>
    <cellStyle name="Vírgula 4 2 4 3 3 4" xfId="7794" xr:uid="{F9D25DFC-C529-4E9B-8E08-3680F0BEDB89}"/>
    <cellStyle name="Vírgula 4 2 4 3 4" xfId="3169" xr:uid="{5B8241FB-9416-4F41-B0CE-D1A23AA128F4}"/>
    <cellStyle name="Vírgula 4 2 4 3 4 2" xfId="3170" xr:uid="{E7E8917F-C536-45EA-86C2-3F05BECD881C}"/>
    <cellStyle name="Vírgula 4 2 4 3 4 2 2" xfId="3171" xr:uid="{7A4555B1-DF59-4A65-A5DC-5E309ACACCE0}"/>
    <cellStyle name="Vírgula 4 2 4 3 4 2 3" xfId="7797" xr:uid="{1CDBAFA3-CA03-4009-8069-8530D823C85D}"/>
    <cellStyle name="Vírgula 4 2 4 3 4 3" xfId="3172" xr:uid="{2A7BB3F7-5506-49A0-A441-884C3AD94F9B}"/>
    <cellStyle name="Vírgula 4 2 4 3 4 4" xfId="7796" xr:uid="{A53CC1ED-BB59-4279-87B4-B9D43B232419}"/>
    <cellStyle name="Vírgula 4 2 4 3 5" xfId="3173" xr:uid="{E18051FE-8127-4894-87AC-F60E867CE322}"/>
    <cellStyle name="Vírgula 4 2 4 3 5 2" xfId="3174" xr:uid="{84897027-D70A-485B-996B-9EAA6B324F52}"/>
    <cellStyle name="Vírgula 4 2 4 3 5 3" xfId="7798" xr:uid="{F183441B-5EF2-4A4A-9D59-8BEFE3C04D60}"/>
    <cellStyle name="Vírgula 4 2 4 3 6" xfId="3175" xr:uid="{78A4D2F6-226B-4B1D-9B23-B261216E191D}"/>
    <cellStyle name="Vírgula 4 2 4 3 7" xfId="7787" xr:uid="{A006A8D3-A28B-4FD1-88F0-0F0D4CE13E03}"/>
    <cellStyle name="Vírgula 4 2 4 4" xfId="3176" xr:uid="{AEAF3726-CDAC-4D51-8A9A-EF39D414B141}"/>
    <cellStyle name="Vírgula 4 2 4 4 2" xfId="3177" xr:uid="{13A0EC21-0FC5-4798-9CB0-3279F2F9BCA4}"/>
    <cellStyle name="Vírgula 4 2 4 4 2 2" xfId="3178" xr:uid="{2CD9C23A-EFAB-442D-B4FC-798C1DB5DDE5}"/>
    <cellStyle name="Vírgula 4 2 4 4 2 2 2" xfId="3179" xr:uid="{A436ED6D-D751-496B-82CF-E79C1C26DEBC}"/>
    <cellStyle name="Vírgula 4 2 4 4 2 2 3" xfId="7801" xr:uid="{24A6C425-AAE4-4481-915D-07BC6B5B4AC3}"/>
    <cellStyle name="Vírgula 4 2 4 4 2 3" xfId="3180" xr:uid="{81B72501-3B83-4909-A069-A95D2FCC96FB}"/>
    <cellStyle name="Vírgula 4 2 4 4 2 4" xfId="7800" xr:uid="{447265F0-269F-4EE1-8FD9-A674A32971E4}"/>
    <cellStyle name="Vírgula 4 2 4 4 3" xfId="3181" xr:uid="{CE43E604-0B4D-469B-9C87-2C837AE2DDBE}"/>
    <cellStyle name="Vírgula 4 2 4 4 3 2" xfId="3182" xr:uid="{D0F14649-E629-4C6D-8B2C-B2480F531A13}"/>
    <cellStyle name="Vírgula 4 2 4 4 3 2 2" xfId="3183" xr:uid="{A2F94057-52E3-4237-A333-EEA525352FA8}"/>
    <cellStyle name="Vírgula 4 2 4 4 3 2 3" xfId="7803" xr:uid="{A96F6EB7-9250-458F-90F1-58D1043F79D3}"/>
    <cellStyle name="Vírgula 4 2 4 4 3 3" xfId="3184" xr:uid="{BF8FB10B-D709-4ED0-B49A-46C9A4DB2932}"/>
    <cellStyle name="Vírgula 4 2 4 4 3 4" xfId="7802" xr:uid="{EA8B2C51-E271-43F6-94C9-9133A09DFAB3}"/>
    <cellStyle name="Vírgula 4 2 4 4 4" xfId="3185" xr:uid="{51FF5917-33A2-41E0-9FF6-03C4E5342CF1}"/>
    <cellStyle name="Vírgula 4 2 4 4 4 2" xfId="3186" xr:uid="{B84D760A-0A8D-4ABF-B249-ABFBBCF85006}"/>
    <cellStyle name="Vírgula 4 2 4 4 4 3" xfId="7804" xr:uid="{80169CB2-401D-4D13-A0B8-38253077E44D}"/>
    <cellStyle name="Vírgula 4 2 4 4 5" xfId="3187" xr:uid="{298F4F82-A68F-4157-88E7-3C0E064716A8}"/>
    <cellStyle name="Vírgula 4 2 4 4 6" xfId="7799" xr:uid="{F5B105F1-EBDB-4E8D-A0A8-1D955F09669B}"/>
    <cellStyle name="Vírgula 4 2 4 5" xfId="3188" xr:uid="{AA40877F-559F-451D-A8C9-38D9A03D6EEC}"/>
    <cellStyle name="Vírgula 4 2 4 5 2" xfId="3189" xr:uid="{266F9756-CB6E-409D-8B45-03D5B570418A}"/>
    <cellStyle name="Vírgula 4 2 4 5 2 2" xfId="3190" xr:uid="{FD5E1491-6BAE-4ABC-8C4D-FC161B179363}"/>
    <cellStyle name="Vírgula 4 2 4 5 2 3" xfId="7806" xr:uid="{AB47117E-DE28-40B5-B9A6-F5B1CF799666}"/>
    <cellStyle name="Vírgula 4 2 4 5 3" xfId="3191" xr:uid="{CDB70A33-1B97-42BC-8162-CD42B3C2B699}"/>
    <cellStyle name="Vírgula 4 2 4 5 4" xfId="7805" xr:uid="{2034B254-3C5D-4722-B06B-800C95E64A32}"/>
    <cellStyle name="Vírgula 4 2 4 6" xfId="3192" xr:uid="{3A45D497-8488-4B93-8CD3-4B2E2649206A}"/>
    <cellStyle name="Vírgula 4 2 4 6 2" xfId="3193" xr:uid="{380A3E01-3826-4A8B-A251-C70B777D99A9}"/>
    <cellStyle name="Vírgula 4 2 4 6 2 2" xfId="3194" xr:uid="{50E08475-DE5D-4EA7-8465-1EEB9FDBE8D7}"/>
    <cellStyle name="Vírgula 4 2 4 6 2 3" xfId="7808" xr:uid="{1EA26EAE-6D52-4CC5-A001-5C823F604EB8}"/>
    <cellStyle name="Vírgula 4 2 4 6 3" xfId="3195" xr:uid="{55B5D3A4-D885-43D6-AADE-1E89940B5A6F}"/>
    <cellStyle name="Vírgula 4 2 4 6 4" xfId="7807" xr:uid="{8D9703A8-725E-4C3A-A59A-66BBC453EF1E}"/>
    <cellStyle name="Vírgula 4 2 4 7" xfId="3196" xr:uid="{5ACA0B96-D3E7-4EEF-BDC2-265208B7E51F}"/>
    <cellStyle name="Vírgula 4 2 4 7 2" xfId="3197" xr:uid="{B9F251F6-6DAE-41C3-8BB7-FA8CE8D4049D}"/>
    <cellStyle name="Vírgula 4 2 4 7 3" xfId="7809" xr:uid="{E8011644-BE87-4746-84AF-D0B2D0761D22}"/>
    <cellStyle name="Vírgula 4 2 4 8" xfId="3198" xr:uid="{169E4BF7-2044-4C2B-95B7-9E6A97A6BEF3}"/>
    <cellStyle name="Vírgula 4 2 4 9" xfId="7774" xr:uid="{A30388CF-B098-453E-93F6-06EE1013787E}"/>
    <cellStyle name="Vírgula 4 2 5" xfId="3199" xr:uid="{C20CA056-7E6F-4789-9443-F82C87685A87}"/>
    <cellStyle name="Vírgula 4 2 5 2" xfId="3200" xr:uid="{34FC926C-916B-495E-99D1-84535CC150B3}"/>
    <cellStyle name="Vírgula 4 2 5 2 2" xfId="3201" xr:uid="{62CE0E59-A573-417F-ADC9-2B49A97D309C}"/>
    <cellStyle name="Vírgula 4 2 5 2 2 2" xfId="3202" xr:uid="{2C1BFA89-599D-4EA8-B369-32D5621B3037}"/>
    <cellStyle name="Vírgula 4 2 5 2 2 2 2" xfId="3203" xr:uid="{9E2573FC-9F85-4930-BB49-3D327C8FADD1}"/>
    <cellStyle name="Vírgula 4 2 5 2 2 2 2 2" xfId="3204" xr:uid="{1A64DDDD-0542-4174-9981-82F2BC4DA123}"/>
    <cellStyle name="Vírgula 4 2 5 2 2 2 2 3" xfId="7814" xr:uid="{986C83BF-7933-4691-B9C0-B33EFAA5557E}"/>
    <cellStyle name="Vírgula 4 2 5 2 2 2 3" xfId="3205" xr:uid="{3431F06B-97B3-494F-8AB4-73E280B8577A}"/>
    <cellStyle name="Vírgula 4 2 5 2 2 2 4" xfId="7813" xr:uid="{A1D93526-7E5F-40B1-95A4-71FA5BD53029}"/>
    <cellStyle name="Vírgula 4 2 5 2 2 3" xfId="3206" xr:uid="{6E9DF35B-0907-462A-8682-C0453D3D4E08}"/>
    <cellStyle name="Vírgula 4 2 5 2 2 3 2" xfId="3207" xr:uid="{709BB650-764B-4B1A-AF6A-1BA4FEE27E36}"/>
    <cellStyle name="Vírgula 4 2 5 2 2 3 2 2" xfId="3208" xr:uid="{9AD52608-539F-40FB-B77B-F9AB48E25201}"/>
    <cellStyle name="Vírgula 4 2 5 2 2 3 2 3" xfId="7816" xr:uid="{DE2C1A5F-C5B8-467B-A80F-67B6F989376A}"/>
    <cellStyle name="Vírgula 4 2 5 2 2 3 3" xfId="3209" xr:uid="{31F58941-474B-4FB9-A7C9-7F43AA1352D7}"/>
    <cellStyle name="Vírgula 4 2 5 2 2 3 4" xfId="7815" xr:uid="{13B96E99-890E-4DD2-9EEB-B598E076F788}"/>
    <cellStyle name="Vírgula 4 2 5 2 2 4" xfId="3210" xr:uid="{E9A88261-CE83-4E8E-ADC7-49ACE8FD9A7B}"/>
    <cellStyle name="Vírgula 4 2 5 2 2 4 2" xfId="3211" xr:uid="{6E28729C-A3F1-43A1-9548-0F7142687A40}"/>
    <cellStyle name="Vírgula 4 2 5 2 2 4 3" xfId="7817" xr:uid="{3A7E3271-C911-4C3D-BD4D-36960F3E6EDF}"/>
    <cellStyle name="Vírgula 4 2 5 2 2 5" xfId="3212" xr:uid="{E406E1A6-E685-426F-A62A-28037CE6425F}"/>
    <cellStyle name="Vírgula 4 2 5 2 2 6" xfId="7812" xr:uid="{99476310-DA6D-4896-847F-E75ABC8621E6}"/>
    <cellStyle name="Vírgula 4 2 5 2 3" xfId="3213" xr:uid="{D76314B4-40EF-46E4-9A65-1BB666185CF9}"/>
    <cellStyle name="Vírgula 4 2 5 2 3 2" xfId="3214" xr:uid="{1F2064E3-E443-4069-8B58-9812A4D0D195}"/>
    <cellStyle name="Vírgula 4 2 5 2 3 2 2" xfId="3215" xr:uid="{F57A3E5F-EC61-4917-9DAE-529A40CAAA6C}"/>
    <cellStyle name="Vírgula 4 2 5 2 3 2 3" xfId="7819" xr:uid="{DAF2386D-AF1B-4F10-A498-90F137404E3B}"/>
    <cellStyle name="Vírgula 4 2 5 2 3 3" xfId="3216" xr:uid="{4D7D5912-4F74-4443-AF69-2517CD486B26}"/>
    <cellStyle name="Vírgula 4 2 5 2 3 4" xfId="7818" xr:uid="{90B75A87-F513-456E-A51F-C939336B9218}"/>
    <cellStyle name="Vírgula 4 2 5 2 4" xfId="3217" xr:uid="{9B03F33E-C904-4FFC-A93B-C167DEDF7116}"/>
    <cellStyle name="Vírgula 4 2 5 2 4 2" xfId="3218" xr:uid="{F1AA05EF-91F0-4990-A283-A6115C4A699C}"/>
    <cellStyle name="Vírgula 4 2 5 2 4 2 2" xfId="3219" xr:uid="{E87BA9EF-64AE-4C15-9E2C-CFF0CAA87E5C}"/>
    <cellStyle name="Vírgula 4 2 5 2 4 2 3" xfId="7821" xr:uid="{C2D80AFA-B840-4CFE-A7A2-B8F6F32B7E72}"/>
    <cellStyle name="Vírgula 4 2 5 2 4 3" xfId="3220" xr:uid="{FB374256-EF1D-46D6-978E-F18FC44AEF36}"/>
    <cellStyle name="Vírgula 4 2 5 2 4 4" xfId="7820" xr:uid="{93994678-43C6-41C6-8AB4-8B84A9D561A1}"/>
    <cellStyle name="Vírgula 4 2 5 2 5" xfId="3221" xr:uid="{11FD82D3-576B-4C5D-9AEE-F71A828AF1F3}"/>
    <cellStyle name="Vírgula 4 2 5 2 5 2" xfId="3222" xr:uid="{16DC63B8-1D56-47B9-942D-7B60F4C02C01}"/>
    <cellStyle name="Vírgula 4 2 5 2 5 3" xfId="7822" xr:uid="{7DBB97D2-CCD6-4177-90B0-BE4597E2A79F}"/>
    <cellStyle name="Vírgula 4 2 5 2 6" xfId="3223" xr:uid="{E05BECA0-37C0-4891-A288-37E3C177E0F4}"/>
    <cellStyle name="Vírgula 4 2 5 2 7" xfId="7811" xr:uid="{7F9E88E7-9A73-45FA-B9DC-302BE8F6DFD2}"/>
    <cellStyle name="Vírgula 4 2 5 3" xfId="3224" xr:uid="{8C2A734D-AC05-4DC0-B475-17F64D6756AB}"/>
    <cellStyle name="Vírgula 4 2 5 3 2" xfId="3225" xr:uid="{731D1E43-0982-4F22-937F-3573A6E1EADC}"/>
    <cellStyle name="Vírgula 4 2 5 3 2 2" xfId="3226" xr:uid="{F5B31A79-F272-4038-87F8-CCADB15ED016}"/>
    <cellStyle name="Vírgula 4 2 5 3 2 2 2" xfId="3227" xr:uid="{D49B2476-BA7B-458F-9F44-D21B0975552B}"/>
    <cellStyle name="Vírgula 4 2 5 3 2 2 2 2" xfId="3228" xr:uid="{CC7200FC-67D7-44EE-83C7-3925CE465321}"/>
    <cellStyle name="Vírgula 4 2 5 3 2 2 2 3" xfId="7826" xr:uid="{3E4D8440-D074-49E1-82E9-147103C8C849}"/>
    <cellStyle name="Vírgula 4 2 5 3 2 2 3" xfId="3229" xr:uid="{8EC3A10F-F16D-4EDF-B133-7C5886705258}"/>
    <cellStyle name="Vírgula 4 2 5 3 2 2 4" xfId="7825" xr:uid="{1237F26F-66DC-44B6-B391-9A0F6686E630}"/>
    <cellStyle name="Vírgula 4 2 5 3 2 3" xfId="3230" xr:uid="{065EA890-87EA-43E8-B0CF-91B5C19F3AD3}"/>
    <cellStyle name="Vírgula 4 2 5 3 2 3 2" xfId="3231" xr:uid="{5A8BAD48-CA58-4ABA-8A44-19A5CA9EDE46}"/>
    <cellStyle name="Vírgula 4 2 5 3 2 3 2 2" xfId="3232" xr:uid="{6C27361D-034F-4224-8114-0204D3604213}"/>
    <cellStyle name="Vírgula 4 2 5 3 2 3 2 3" xfId="7828" xr:uid="{1D77BA33-21F2-4F37-A688-F63795C735DC}"/>
    <cellStyle name="Vírgula 4 2 5 3 2 3 3" xfId="3233" xr:uid="{DD62C525-6507-4510-A7AA-CA87CFC6D859}"/>
    <cellStyle name="Vírgula 4 2 5 3 2 3 4" xfId="7827" xr:uid="{DDC450A6-C121-4682-82A5-FA737C0993F5}"/>
    <cellStyle name="Vírgula 4 2 5 3 2 4" xfId="3234" xr:uid="{97EAD25E-5BAA-4964-AF21-4C3AD8E439C8}"/>
    <cellStyle name="Vírgula 4 2 5 3 2 4 2" xfId="3235" xr:uid="{215F1615-89B2-4CA4-A288-F6854D494C71}"/>
    <cellStyle name="Vírgula 4 2 5 3 2 4 3" xfId="7829" xr:uid="{4DEB046D-F32F-49C5-B491-61E7FCE995C8}"/>
    <cellStyle name="Vírgula 4 2 5 3 2 5" xfId="3236" xr:uid="{0A8B6AB7-035E-4581-BDF1-46CC75B21704}"/>
    <cellStyle name="Vírgula 4 2 5 3 2 6" xfId="7824" xr:uid="{3BF47109-2B68-4B63-B5CF-F702199B4FAE}"/>
    <cellStyle name="Vírgula 4 2 5 3 3" xfId="3237" xr:uid="{5E3307FF-9C38-43E7-B245-A260FCB67CBA}"/>
    <cellStyle name="Vírgula 4 2 5 3 3 2" xfId="3238" xr:uid="{51D85692-9BC4-47E4-B4C6-93E35DBF9705}"/>
    <cellStyle name="Vírgula 4 2 5 3 3 2 2" xfId="3239" xr:uid="{DCA9885D-1176-4E03-ADF3-AA2654A8A345}"/>
    <cellStyle name="Vírgula 4 2 5 3 3 2 3" xfId="7831" xr:uid="{9E1217A0-C21C-47A7-B46C-348B29873593}"/>
    <cellStyle name="Vírgula 4 2 5 3 3 3" xfId="3240" xr:uid="{5344F8F4-C5A8-494B-9C21-700370875BF8}"/>
    <cellStyle name="Vírgula 4 2 5 3 3 4" xfId="7830" xr:uid="{4CAFDFA7-5648-43DD-B8FB-3C1BE473C31C}"/>
    <cellStyle name="Vírgula 4 2 5 3 4" xfId="3241" xr:uid="{C81E67D3-8614-47EE-962F-6841CE48E51E}"/>
    <cellStyle name="Vírgula 4 2 5 3 4 2" xfId="3242" xr:uid="{B7C3A3E9-ECE2-4A8D-89FA-A479F3DA665B}"/>
    <cellStyle name="Vírgula 4 2 5 3 4 2 2" xfId="3243" xr:uid="{E35B2709-D3E0-4584-821D-B9045D3174E3}"/>
    <cellStyle name="Vírgula 4 2 5 3 4 2 3" xfId="7833" xr:uid="{E83AEAE0-EB57-43DF-9043-3B9A2ADE8862}"/>
    <cellStyle name="Vírgula 4 2 5 3 4 3" xfId="3244" xr:uid="{2D72EB5E-38EF-40DC-B513-98951183BA17}"/>
    <cellStyle name="Vírgula 4 2 5 3 4 4" xfId="7832" xr:uid="{E1910BC7-733F-4473-96FF-395D96DD8D3B}"/>
    <cellStyle name="Vírgula 4 2 5 3 5" xfId="3245" xr:uid="{947282CD-6DEA-46F0-8710-A866E9175483}"/>
    <cellStyle name="Vírgula 4 2 5 3 5 2" xfId="3246" xr:uid="{D2124ECB-F743-43FD-A260-36C89EA4768A}"/>
    <cellStyle name="Vírgula 4 2 5 3 5 3" xfId="7834" xr:uid="{918FB970-29BB-4567-ADB3-68A3BE76814B}"/>
    <cellStyle name="Vírgula 4 2 5 3 6" xfId="3247" xr:uid="{DE83EBB0-8DDF-4C97-A005-532D6972DE39}"/>
    <cellStyle name="Vírgula 4 2 5 3 7" xfId="7823" xr:uid="{B14F2670-86AD-4B08-8C8E-DE038365344F}"/>
    <cellStyle name="Vírgula 4 2 5 4" xfId="3248" xr:uid="{32939653-0044-468E-A3E7-8C8C50D15D61}"/>
    <cellStyle name="Vírgula 4 2 5 4 2" xfId="3249" xr:uid="{170A25A8-BA4D-44F4-A183-F7C9CB225D61}"/>
    <cellStyle name="Vírgula 4 2 5 4 2 2" xfId="3250" xr:uid="{DB12356C-9082-4F2A-97D0-E89B83622E36}"/>
    <cellStyle name="Vírgula 4 2 5 4 2 2 2" xfId="3251" xr:uid="{1A41E09F-0D8C-4B74-A0AE-671A8AEA0D0C}"/>
    <cellStyle name="Vírgula 4 2 5 4 2 2 3" xfId="7837" xr:uid="{EC7A11B1-291D-4894-A674-0534D8360FD6}"/>
    <cellStyle name="Vírgula 4 2 5 4 2 3" xfId="3252" xr:uid="{02219D3A-3718-4893-9B02-E3C15FE9BC32}"/>
    <cellStyle name="Vírgula 4 2 5 4 2 4" xfId="7836" xr:uid="{1948241E-2BE4-470E-8BD4-AC554C73B2A1}"/>
    <cellStyle name="Vírgula 4 2 5 4 3" xfId="3253" xr:uid="{AC7C2853-3A3C-4C9A-8649-D84C485FDCAA}"/>
    <cellStyle name="Vírgula 4 2 5 4 3 2" xfId="3254" xr:uid="{D364E65D-CCF5-453A-A753-A445C5832E25}"/>
    <cellStyle name="Vírgula 4 2 5 4 3 2 2" xfId="3255" xr:uid="{D030A3CD-A270-47F8-AED2-3337F66917CE}"/>
    <cellStyle name="Vírgula 4 2 5 4 3 2 3" xfId="7839" xr:uid="{EE31542A-7187-4489-A7D4-17EECDA0A3AC}"/>
    <cellStyle name="Vírgula 4 2 5 4 3 3" xfId="3256" xr:uid="{0CEA90F7-A3C5-4F7E-95B9-3DB5F02A114A}"/>
    <cellStyle name="Vírgula 4 2 5 4 3 4" xfId="7838" xr:uid="{0FA6A6F7-D8D5-4769-B176-76E9A640FD18}"/>
    <cellStyle name="Vírgula 4 2 5 4 4" xfId="3257" xr:uid="{8BEFB296-BD21-4410-8B47-968415537C6B}"/>
    <cellStyle name="Vírgula 4 2 5 4 4 2" xfId="3258" xr:uid="{6E790C47-25A9-44E6-B0CF-4921260FFFC4}"/>
    <cellStyle name="Vírgula 4 2 5 4 4 3" xfId="7840" xr:uid="{0367942D-C363-4E5A-A8D8-44CA98ED3879}"/>
    <cellStyle name="Vírgula 4 2 5 4 5" xfId="3259" xr:uid="{C5A7AFB3-62FB-4215-8088-DB8158C24928}"/>
    <cellStyle name="Vírgula 4 2 5 4 6" xfId="7835" xr:uid="{F2936B88-A95B-4EF2-AD20-D0572B0ECB2C}"/>
    <cellStyle name="Vírgula 4 2 5 5" xfId="3260" xr:uid="{1A47CC06-A9C8-40A8-BF19-9E42C28B1508}"/>
    <cellStyle name="Vírgula 4 2 5 5 2" xfId="3261" xr:uid="{F9C9112E-7502-47BA-AA12-B0572C052342}"/>
    <cellStyle name="Vírgula 4 2 5 5 2 2" xfId="3262" xr:uid="{83963480-8D92-4A8B-B68E-0BEC0660275D}"/>
    <cellStyle name="Vírgula 4 2 5 5 2 3" xfId="7842" xr:uid="{9BB69FD7-D371-44FA-A4CD-4AC638E69F1C}"/>
    <cellStyle name="Vírgula 4 2 5 5 3" xfId="3263" xr:uid="{23142409-3836-4BD2-9DC3-7845EFB2A55D}"/>
    <cellStyle name="Vírgula 4 2 5 5 4" xfId="7841" xr:uid="{FDBF7A0B-ED61-4996-A5F6-40B49D7B18E9}"/>
    <cellStyle name="Vírgula 4 2 5 6" xfId="3264" xr:uid="{348501C9-3B57-4C0A-9B99-948734C66C12}"/>
    <cellStyle name="Vírgula 4 2 5 6 2" xfId="3265" xr:uid="{6AACA176-7154-4866-9566-C98F6C4D604A}"/>
    <cellStyle name="Vírgula 4 2 5 6 2 2" xfId="3266" xr:uid="{ED98DC9C-7A53-42F3-BBC7-BFE85387E44A}"/>
    <cellStyle name="Vírgula 4 2 5 6 2 3" xfId="7844" xr:uid="{539EDF88-2F5A-4214-BE2F-8A89FF7E2E4E}"/>
    <cellStyle name="Vírgula 4 2 5 6 3" xfId="3267" xr:uid="{653CFB57-FEB3-4BFE-8A4A-8B83C4792B20}"/>
    <cellStyle name="Vírgula 4 2 5 6 4" xfId="7843" xr:uid="{1CE47C88-8BC1-4078-ADED-1E56560C8F09}"/>
    <cellStyle name="Vírgula 4 2 5 7" xfId="3268" xr:uid="{71BCC7F5-9D0B-43B4-8E3E-1C22EE0DA2E6}"/>
    <cellStyle name="Vírgula 4 2 5 7 2" xfId="3269" xr:uid="{85A77085-263D-4A4F-A95C-1411FC9C9C52}"/>
    <cellStyle name="Vírgula 4 2 5 7 3" xfId="7845" xr:uid="{5CEF888B-E6E7-476B-8318-52ABB3D5AE28}"/>
    <cellStyle name="Vírgula 4 2 5 8" xfId="3270" xr:uid="{F5351C20-0B4B-4F77-93FD-510BBC99F612}"/>
    <cellStyle name="Vírgula 4 2 5 9" xfId="7810" xr:uid="{53941D2C-4F7C-46AB-AC30-612438556512}"/>
    <cellStyle name="Vírgula 4 2 6" xfId="3271" xr:uid="{92FAE042-E414-4B0B-969C-ADA634E90EDF}"/>
    <cellStyle name="Vírgula 4 2 6 2" xfId="3272" xr:uid="{DFF8614F-01E9-411A-853C-577AEBDFA382}"/>
    <cellStyle name="Vírgula 4 2 6 2 2" xfId="3273" xr:uid="{31842E1E-A135-4AA2-BE60-A73027DBEEAB}"/>
    <cellStyle name="Vírgula 4 2 6 2 2 2" xfId="3274" xr:uid="{EB28E6B8-015C-49ED-9896-186990760569}"/>
    <cellStyle name="Vírgula 4 2 6 2 2 2 2" xfId="3275" xr:uid="{410C91F0-1FA7-4139-8582-25B18A523BF7}"/>
    <cellStyle name="Vírgula 4 2 6 2 2 2 3" xfId="7849" xr:uid="{1B08A44C-C9C6-42E3-B87C-0A67F7D68240}"/>
    <cellStyle name="Vírgula 4 2 6 2 2 3" xfId="3276" xr:uid="{DF4A1C38-2972-476B-99CD-6062909E9A55}"/>
    <cellStyle name="Vírgula 4 2 6 2 2 4" xfId="7848" xr:uid="{A1BA7E74-E060-4E0A-8F89-8735CC3CC66D}"/>
    <cellStyle name="Vírgula 4 2 6 2 3" xfId="3277" xr:uid="{ACCA1C99-67C5-47BC-9E1E-C213D9CE432F}"/>
    <cellStyle name="Vírgula 4 2 6 2 3 2" xfId="3278" xr:uid="{011FFC5A-2482-4909-ACB6-509CDC167B7F}"/>
    <cellStyle name="Vírgula 4 2 6 2 3 2 2" xfId="3279" xr:uid="{D70D55AD-9F65-480A-A480-72AC1E2C8DFC}"/>
    <cellStyle name="Vírgula 4 2 6 2 3 2 3" xfId="7851" xr:uid="{102A59B8-93CE-400E-82CB-A40EBA7ADED5}"/>
    <cellStyle name="Vírgula 4 2 6 2 3 3" xfId="3280" xr:uid="{0F58F979-81A9-4884-AE08-5DE6C35262A3}"/>
    <cellStyle name="Vírgula 4 2 6 2 3 4" xfId="7850" xr:uid="{410DAE26-87A4-48B0-BFA4-0C3CC0D57C4C}"/>
    <cellStyle name="Vírgula 4 2 6 2 4" xfId="3281" xr:uid="{41EDE234-0B8F-41C1-9E07-6444262B54F9}"/>
    <cellStyle name="Vírgula 4 2 6 2 4 2" xfId="3282" xr:uid="{5C78A797-C9FC-4C31-87D0-F0CEB7DF21B9}"/>
    <cellStyle name="Vírgula 4 2 6 2 4 3" xfId="7852" xr:uid="{DC988112-0ECA-4ADF-8760-CFDDB937DA07}"/>
    <cellStyle name="Vírgula 4 2 6 2 5" xfId="3283" xr:uid="{BF953594-3DC5-4657-9E27-2F61D5E2D6F7}"/>
    <cellStyle name="Vírgula 4 2 6 2 6" xfId="7847" xr:uid="{677DBE5F-1A66-44E6-B8CB-2AA7F23D844B}"/>
    <cellStyle name="Vírgula 4 2 6 3" xfId="3284" xr:uid="{B4596B78-10F7-4313-94E0-CE0F7D5D314C}"/>
    <cellStyle name="Vírgula 4 2 6 3 2" xfId="3285" xr:uid="{E5833E4B-5755-4906-83CD-31F85AFAAFFA}"/>
    <cellStyle name="Vírgula 4 2 6 3 2 2" xfId="3286" xr:uid="{6717B64B-8733-45D3-B954-B0F1B03D4F5E}"/>
    <cellStyle name="Vírgula 4 2 6 3 2 3" xfId="7854" xr:uid="{6D2E853D-FEA8-4BD4-ADC7-EFC3604B32A7}"/>
    <cellStyle name="Vírgula 4 2 6 3 3" xfId="3287" xr:uid="{9F492B37-D93B-444E-8E42-319777676F5E}"/>
    <cellStyle name="Vírgula 4 2 6 3 4" xfId="7853" xr:uid="{8F0FD424-2B34-430C-B473-E6DDA54BF0DE}"/>
    <cellStyle name="Vírgula 4 2 6 4" xfId="3288" xr:uid="{2926A2C3-16C5-44F1-9D79-2EBCDA723770}"/>
    <cellStyle name="Vírgula 4 2 6 4 2" xfId="3289" xr:uid="{645F23FB-BE8D-4118-BF3C-0AC5664BDCDB}"/>
    <cellStyle name="Vírgula 4 2 6 4 2 2" xfId="3290" xr:uid="{32921120-ED63-4472-9095-889A18D951E0}"/>
    <cellStyle name="Vírgula 4 2 6 4 2 3" xfId="7856" xr:uid="{F1E173CA-6BED-4BA0-BE6F-B5037A71C9EC}"/>
    <cellStyle name="Vírgula 4 2 6 4 3" xfId="3291" xr:uid="{425AECF5-63B6-41DC-9BDF-4B56A396278B}"/>
    <cellStyle name="Vírgula 4 2 6 4 4" xfId="7855" xr:uid="{8C8F5560-16B0-4BC5-A400-B0317AAF94EA}"/>
    <cellStyle name="Vírgula 4 2 6 5" xfId="3292" xr:uid="{70EC10A7-D984-457B-AE9C-9D4F1C14BA0A}"/>
    <cellStyle name="Vírgula 4 2 6 5 2" xfId="3293" xr:uid="{CAF81C07-6E45-4FF7-806F-2CE707BF3EC6}"/>
    <cellStyle name="Vírgula 4 2 6 5 3" xfId="7857" xr:uid="{04E5C1A7-186D-4A6B-A24B-368D86578F73}"/>
    <cellStyle name="Vírgula 4 2 6 6" xfId="3294" xr:uid="{9855BFD7-5422-43C8-AE0E-1C36F56D7E53}"/>
    <cellStyle name="Vírgula 4 2 6 7" xfId="7846" xr:uid="{D3C04960-B7A0-46B6-9D43-198149309680}"/>
    <cellStyle name="Vírgula 4 2 7" xfId="3295" xr:uid="{6E327E88-6A74-4E35-8FAF-DE798DE52CB1}"/>
    <cellStyle name="Vírgula 4 2 7 2" xfId="3296" xr:uid="{4E2B2491-A869-45B9-867F-55A43E2AD2C7}"/>
    <cellStyle name="Vírgula 4 2 7 2 2" xfId="3297" xr:uid="{4FCBE81C-FD95-404D-AD2B-5AB2F0BA0712}"/>
    <cellStyle name="Vírgula 4 2 7 2 2 2" xfId="3298" xr:uid="{7733FD6F-FC4E-49EC-BD18-FD69816BAF9A}"/>
    <cellStyle name="Vírgula 4 2 7 2 2 2 2" xfId="3299" xr:uid="{44C228CF-E5C9-46EF-BF4F-5AA1E2C396D7}"/>
    <cellStyle name="Vírgula 4 2 7 2 2 2 3" xfId="7861" xr:uid="{466AEC2B-B7DF-4B18-B07B-1FA660505EC5}"/>
    <cellStyle name="Vírgula 4 2 7 2 2 3" xfId="3300" xr:uid="{7A074FAE-4CA3-443B-8EFA-5C24EAC91ED2}"/>
    <cellStyle name="Vírgula 4 2 7 2 2 4" xfId="7860" xr:uid="{DA342337-BA1B-4365-8FE0-3C051FC98BB6}"/>
    <cellStyle name="Vírgula 4 2 7 2 3" xfId="3301" xr:uid="{CAC3243A-7123-4DD4-A443-BF5021BEE6D4}"/>
    <cellStyle name="Vírgula 4 2 7 2 3 2" xfId="3302" xr:uid="{55C7D428-C9ED-42D9-8BE4-1B7CCFDC4586}"/>
    <cellStyle name="Vírgula 4 2 7 2 3 2 2" xfId="3303" xr:uid="{5C767B7A-10C0-4D08-9071-AF79AD424123}"/>
    <cellStyle name="Vírgula 4 2 7 2 3 2 3" xfId="7863" xr:uid="{6CCBE028-ED61-4144-8CAC-2A03AD794D95}"/>
    <cellStyle name="Vírgula 4 2 7 2 3 3" xfId="3304" xr:uid="{EBB970F6-E9E8-4700-BAF8-030A4749523E}"/>
    <cellStyle name="Vírgula 4 2 7 2 3 4" xfId="7862" xr:uid="{3B423D7B-B680-4E9A-8827-C6863639EA67}"/>
    <cellStyle name="Vírgula 4 2 7 2 4" xfId="3305" xr:uid="{A46C557C-300F-4A29-A2F9-A86A0F2FE116}"/>
    <cellStyle name="Vírgula 4 2 7 2 4 2" xfId="3306" xr:uid="{9755E43E-6744-4FC3-8ABE-3D37B2B56D50}"/>
    <cellStyle name="Vírgula 4 2 7 2 4 3" xfId="7864" xr:uid="{436E15EA-EABA-4418-B6BB-EA9AC3621031}"/>
    <cellStyle name="Vírgula 4 2 7 2 5" xfId="3307" xr:uid="{93AC587E-986D-4589-B10A-74CF33EC69F7}"/>
    <cellStyle name="Vírgula 4 2 7 2 6" xfId="7859" xr:uid="{6BF65918-9783-418E-8548-8C980A60635F}"/>
    <cellStyle name="Vírgula 4 2 7 3" xfId="3308" xr:uid="{AB807CD7-D92D-4976-B7AD-597C9EB7785D}"/>
    <cellStyle name="Vírgula 4 2 7 3 2" xfId="3309" xr:uid="{555245BE-9A42-45EC-9903-B30E28E4760D}"/>
    <cellStyle name="Vírgula 4 2 7 3 2 2" xfId="3310" xr:uid="{48DAAEA9-A3F9-425F-9002-82750ABB889D}"/>
    <cellStyle name="Vírgula 4 2 7 3 2 3" xfId="7866" xr:uid="{B90DBC88-B836-4250-80B7-8CD1914CC47B}"/>
    <cellStyle name="Vírgula 4 2 7 3 3" xfId="3311" xr:uid="{F4B095A4-25E5-468E-B1C6-5084644A24B7}"/>
    <cellStyle name="Vírgula 4 2 7 3 4" xfId="7865" xr:uid="{E2619F39-BA5B-4D50-8630-4FB52F9BE736}"/>
    <cellStyle name="Vírgula 4 2 7 4" xfId="3312" xr:uid="{8E5D0413-1F1F-4DBD-A692-B6E36E003C5A}"/>
    <cellStyle name="Vírgula 4 2 7 4 2" xfId="3313" xr:uid="{35F5011D-5AF4-474C-8401-1AE149DD281E}"/>
    <cellStyle name="Vírgula 4 2 7 4 2 2" xfId="3314" xr:uid="{66831E22-5E5E-46F3-956F-4E7BB54C9355}"/>
    <cellStyle name="Vírgula 4 2 7 4 2 3" xfId="7868" xr:uid="{C8AF6D0B-0133-481B-A697-744C34F8BC9A}"/>
    <cellStyle name="Vírgula 4 2 7 4 3" xfId="3315" xr:uid="{6CFFF939-F220-4438-BB70-25BE31F61936}"/>
    <cellStyle name="Vírgula 4 2 7 4 4" xfId="7867" xr:uid="{CAA975B4-880F-4B08-8050-5FA161848152}"/>
    <cellStyle name="Vírgula 4 2 7 5" xfId="3316" xr:uid="{576B1009-9DC0-46A6-ACCA-D8CFC42E6FA7}"/>
    <cellStyle name="Vírgula 4 2 7 5 2" xfId="3317" xr:uid="{B6E0F378-5CD8-43EA-B0C0-DF55A2332955}"/>
    <cellStyle name="Vírgula 4 2 7 5 3" xfId="7869" xr:uid="{8C9797B0-5CFC-4CCF-8B92-C6E1C0099B92}"/>
    <cellStyle name="Vírgula 4 2 7 6" xfId="3318" xr:uid="{7E24C9AB-07AA-4868-AB1F-E971ADC1EE52}"/>
    <cellStyle name="Vírgula 4 2 7 7" xfId="7858" xr:uid="{995E57F0-064F-4453-AE3C-B2C67B134677}"/>
    <cellStyle name="Vírgula 4 2 8" xfId="3319" xr:uid="{3592E5EC-C475-4847-BCD8-2AF465C5FB6E}"/>
    <cellStyle name="Vírgula 4 2 8 2" xfId="3320" xr:uid="{7AD750C5-F61B-43B5-8367-62FD063F0925}"/>
    <cellStyle name="Vírgula 4 2 8 2 2" xfId="3321" xr:uid="{0681F0AD-6AB2-4F5E-A99C-BBCAC7716356}"/>
    <cellStyle name="Vírgula 4 2 8 2 2 2" xfId="3322" xr:uid="{FAFF6AE9-1C0A-4EA6-ADC0-4FB4659CD54F}"/>
    <cellStyle name="Vírgula 4 2 8 2 2 3" xfId="7872" xr:uid="{D44613B9-CA9A-4105-BB75-D97F903665BD}"/>
    <cellStyle name="Vírgula 4 2 8 2 3" xfId="3323" xr:uid="{BD088C60-059C-4206-8ADF-DBA2EE0046D1}"/>
    <cellStyle name="Vírgula 4 2 8 2 4" xfId="7871" xr:uid="{85F2C7FA-99C1-47F4-849F-C997CDE73FA8}"/>
    <cellStyle name="Vírgula 4 2 8 3" xfId="3324" xr:uid="{B0AD324F-6A7E-4A46-8105-0799A35826A3}"/>
    <cellStyle name="Vírgula 4 2 8 3 2" xfId="3325" xr:uid="{F1735B16-F592-411B-A2E5-ADE6094307F8}"/>
    <cellStyle name="Vírgula 4 2 8 3 2 2" xfId="3326" xr:uid="{9AA6B7CC-A72D-46B5-B1F7-5CBB16B38C4B}"/>
    <cellStyle name="Vírgula 4 2 8 3 2 3" xfId="7874" xr:uid="{6C796163-074C-4A19-8B2B-7FD77ECD4007}"/>
    <cellStyle name="Vírgula 4 2 8 3 3" xfId="3327" xr:uid="{D6AD59CD-B721-44BB-B052-E90A928493EA}"/>
    <cellStyle name="Vírgula 4 2 8 3 4" xfId="7873" xr:uid="{ADDB21B6-7902-41EC-A658-2A7D7E61BF84}"/>
    <cellStyle name="Vírgula 4 2 8 4" xfId="3328" xr:uid="{1AD450E4-9035-4C4B-8F40-C0735180C97E}"/>
    <cellStyle name="Vírgula 4 2 8 4 2" xfId="3329" xr:uid="{69E529D0-DC91-4405-9A79-6FE4326FEF65}"/>
    <cellStyle name="Vírgula 4 2 8 4 3" xfId="7875" xr:uid="{961DC6E0-89B7-4F9D-A420-1F22C7CEB16A}"/>
    <cellStyle name="Vírgula 4 2 8 5" xfId="3330" xr:uid="{F5DB6C0E-5DB3-48E1-AC32-4EE433CBB8F1}"/>
    <cellStyle name="Vírgula 4 2 8 6" xfId="7870" xr:uid="{138828A6-B2F1-426F-A5A6-862C2A99C8B1}"/>
    <cellStyle name="Vírgula 4 2 9" xfId="3331" xr:uid="{30471F37-9F6A-4CC7-BDAB-0229093BD88A}"/>
    <cellStyle name="Vírgula 4 2 9 2" xfId="3332" xr:uid="{E1E544F5-0CD6-434F-8492-D63E3964DBB6}"/>
    <cellStyle name="Vírgula 4 2 9 2 2" xfId="3333" xr:uid="{145B4AAB-9360-4618-8642-82E86D2AF64E}"/>
    <cellStyle name="Vírgula 4 2 9 2 3" xfId="7877" xr:uid="{C5CEA7D9-54C6-4BFD-ACCF-83D7306D0D99}"/>
    <cellStyle name="Vírgula 4 2 9 3" xfId="3334" xr:uid="{A5B0617D-B049-436F-BA15-3DE5ED6597A2}"/>
    <cellStyle name="Vírgula 4 2 9 4" xfId="7876" xr:uid="{B730E10F-F66A-4FD1-B8C5-7CB8B8F95502}"/>
    <cellStyle name="Vírgula 5" xfId="3335" xr:uid="{43D25C56-A508-4C9B-A367-0CAAF52AFAC5}"/>
    <cellStyle name="Vírgula 5 2" xfId="3336" xr:uid="{42EC29E2-40BE-4474-A930-260E0D7C7AE5}"/>
    <cellStyle name="Vírgula 5 2 10" xfId="3337" xr:uid="{54C00CAC-6A3A-4C25-9EA1-3530820BFDE9}"/>
    <cellStyle name="Vírgula 5 2 10 2" xfId="3338" xr:uid="{6394E297-CB45-4167-A3DA-C325454BF59F}"/>
    <cellStyle name="Vírgula 5 2 10 2 2" xfId="3339" xr:uid="{95612139-DD50-4A01-A087-EC5C0F5AA47C}"/>
    <cellStyle name="Vírgula 5 2 10 2 3" xfId="7880" xr:uid="{0E7C5DAD-B8FC-4B2A-9D27-5A5133696588}"/>
    <cellStyle name="Vírgula 5 2 10 3" xfId="3340" xr:uid="{A8E35933-50AE-44F1-9BC7-F512EDDE0F21}"/>
    <cellStyle name="Vírgula 5 2 10 4" xfId="7879" xr:uid="{7747362B-33FD-4640-85A2-5DDE687A61C8}"/>
    <cellStyle name="Vírgula 5 2 11" xfId="3341" xr:uid="{709BA25C-8B5F-4C16-B306-CA3BE2364B7F}"/>
    <cellStyle name="Vírgula 5 2 11 2" xfId="3342" xr:uid="{BB7685A5-7DAE-4900-B989-7B1DED644E61}"/>
    <cellStyle name="Vírgula 5 2 11 3" xfId="7881" xr:uid="{B802CFDA-A63D-4CDA-8943-C9A2E5F30F92}"/>
    <cellStyle name="Vírgula 5 2 12" xfId="3343" xr:uid="{4060249F-B421-4EED-B63D-5865D4A0290C}"/>
    <cellStyle name="Vírgula 5 2 13" xfId="7878" xr:uid="{0D1748B2-CA09-4CC6-AF1A-99F7908C8D01}"/>
    <cellStyle name="Vírgula 5 2 2" xfId="3344" xr:uid="{AFE845DD-8BFA-42F4-B331-4A772DA4BB6E}"/>
    <cellStyle name="Vírgula 5 2 2 10" xfId="3345" xr:uid="{D474BF57-C488-4181-9997-B7D4685672BD}"/>
    <cellStyle name="Vírgula 5 2 2 10 2" xfId="3346" xr:uid="{EF37CE89-138A-4D31-9CB4-CE03301BCC95}"/>
    <cellStyle name="Vírgula 5 2 2 10 3" xfId="7883" xr:uid="{BACBBB19-314D-470A-ADA2-F120B33D6CF1}"/>
    <cellStyle name="Vírgula 5 2 2 11" xfId="3347" xr:uid="{3D7BBFAF-EFD0-456B-9545-B6A566FF2BEB}"/>
    <cellStyle name="Vírgula 5 2 2 12" xfId="7882" xr:uid="{C24DAE8D-BB69-48EF-9FA5-E29B9375153E}"/>
    <cellStyle name="Vírgula 5 2 2 2" xfId="3348" xr:uid="{6BF65BF4-F0C1-4254-A232-3D293E151CFD}"/>
    <cellStyle name="Vírgula 5 2 2 2 2" xfId="3349" xr:uid="{95D150C4-AB2D-4769-A24A-0C806A858211}"/>
    <cellStyle name="Vírgula 5 2 2 2 2 2" xfId="3350" xr:uid="{9FFE1F64-B5B7-4024-9608-28084B78676F}"/>
    <cellStyle name="Vírgula 5 2 2 2 2 2 2" xfId="3351" xr:uid="{0C5C99ED-421A-442E-A3F6-1CB9E6D5F135}"/>
    <cellStyle name="Vírgula 5 2 2 2 2 2 2 2" xfId="3352" xr:uid="{D761CD59-BC48-4F2F-858F-90469C4891A8}"/>
    <cellStyle name="Vírgula 5 2 2 2 2 2 2 2 2" xfId="3353" xr:uid="{73A6BD43-F689-4DB1-8AA8-8D9152CC185E}"/>
    <cellStyle name="Vírgula 5 2 2 2 2 2 2 2 3" xfId="7888" xr:uid="{D7D39CB2-99CF-4DC0-8ACE-1E2EEBEE11BE}"/>
    <cellStyle name="Vírgula 5 2 2 2 2 2 2 3" xfId="3354" xr:uid="{1B1201C1-8D62-4C16-A850-8E5149FFA460}"/>
    <cellStyle name="Vírgula 5 2 2 2 2 2 2 4" xfId="7887" xr:uid="{11DA556A-4ED9-4D24-BDDF-7CC22EF54185}"/>
    <cellStyle name="Vírgula 5 2 2 2 2 2 3" xfId="3355" xr:uid="{DB7A6F28-2EDC-43C9-A75C-61F8DCEB353B}"/>
    <cellStyle name="Vírgula 5 2 2 2 2 2 3 2" xfId="3356" xr:uid="{93E2639A-8916-4849-8D20-1D9859BBC681}"/>
    <cellStyle name="Vírgula 5 2 2 2 2 2 3 2 2" xfId="3357" xr:uid="{CCBECE43-0DE0-466D-B6F5-846453DDE25A}"/>
    <cellStyle name="Vírgula 5 2 2 2 2 2 3 2 3" xfId="7890" xr:uid="{C4B1D314-5F13-4994-A8A4-8120D8E97284}"/>
    <cellStyle name="Vírgula 5 2 2 2 2 2 3 3" xfId="3358" xr:uid="{258B99CF-9C9C-4F57-8CB6-B113FD3DA17F}"/>
    <cellStyle name="Vírgula 5 2 2 2 2 2 3 4" xfId="7889" xr:uid="{E4A79DCD-DFF9-493F-ADAE-7FA1E2542A67}"/>
    <cellStyle name="Vírgula 5 2 2 2 2 2 4" xfId="3359" xr:uid="{EF0B8256-7F30-4EBE-8414-6920BE556D53}"/>
    <cellStyle name="Vírgula 5 2 2 2 2 2 4 2" xfId="3360" xr:uid="{16EDB4C5-BCB9-469D-A27A-2040637A74A7}"/>
    <cellStyle name="Vírgula 5 2 2 2 2 2 4 3" xfId="7891" xr:uid="{3E8B6DD2-CCB5-41F1-B882-77FB267941C7}"/>
    <cellStyle name="Vírgula 5 2 2 2 2 2 5" xfId="3361" xr:uid="{6E0C5911-9ECF-416C-B1B8-BECB0645A65D}"/>
    <cellStyle name="Vírgula 5 2 2 2 2 2 6" xfId="7886" xr:uid="{5A128EB7-63F0-4912-AD25-CAAD01FD4A3B}"/>
    <cellStyle name="Vírgula 5 2 2 2 2 3" xfId="3362" xr:uid="{776A6134-1671-4EA9-A8A6-47B6B881434B}"/>
    <cellStyle name="Vírgula 5 2 2 2 2 3 2" xfId="3363" xr:uid="{5B78FC15-5F2F-4008-A00E-820C1B2D1AE6}"/>
    <cellStyle name="Vírgula 5 2 2 2 2 3 2 2" xfId="3364" xr:uid="{034A4AFC-7BFC-486D-B8D0-5670ECF687E5}"/>
    <cellStyle name="Vírgula 5 2 2 2 2 3 2 3" xfId="7893" xr:uid="{3F48E2B0-59A6-4A4D-9A84-A9A57EE827A3}"/>
    <cellStyle name="Vírgula 5 2 2 2 2 3 3" xfId="3365" xr:uid="{3C12EB6F-D0CB-4FEB-84FC-A7ECFDA75216}"/>
    <cellStyle name="Vírgula 5 2 2 2 2 3 4" xfId="7892" xr:uid="{9A05539B-BA6B-44EA-8483-B5CF6E2BE662}"/>
    <cellStyle name="Vírgula 5 2 2 2 2 4" xfId="3366" xr:uid="{B36343BC-8D3A-4B01-B5FD-3DF187F07589}"/>
    <cellStyle name="Vírgula 5 2 2 2 2 4 2" xfId="3367" xr:uid="{B9B1DA01-C4F2-4D33-BDD3-A8D068D1A542}"/>
    <cellStyle name="Vírgula 5 2 2 2 2 4 2 2" xfId="3368" xr:uid="{7467E1BC-C828-4F91-B20D-89316F15C840}"/>
    <cellStyle name="Vírgula 5 2 2 2 2 4 2 3" xfId="7895" xr:uid="{53106898-91B6-4178-B06D-F3C3F74C3E02}"/>
    <cellStyle name="Vírgula 5 2 2 2 2 4 3" xfId="3369" xr:uid="{B45C3F68-9284-4AAD-A1E8-2003A92959E7}"/>
    <cellStyle name="Vírgula 5 2 2 2 2 4 4" xfId="7894" xr:uid="{0B9D0408-E76C-479A-AB64-EEABB5CFE549}"/>
    <cellStyle name="Vírgula 5 2 2 2 2 5" xfId="3370" xr:uid="{A0CA2ED1-1985-4D51-A707-BE3363935153}"/>
    <cellStyle name="Vírgula 5 2 2 2 2 5 2" xfId="3371" xr:uid="{5A03012F-C531-4A57-9DA3-674CBB836C8C}"/>
    <cellStyle name="Vírgula 5 2 2 2 2 5 3" xfId="7896" xr:uid="{D29F44F8-2F63-414F-B8E5-6CAC747D9E72}"/>
    <cellStyle name="Vírgula 5 2 2 2 2 6" xfId="3372" xr:uid="{50520704-D20F-45E0-8542-A35F495A2C72}"/>
    <cellStyle name="Vírgula 5 2 2 2 2 7" xfId="7885" xr:uid="{ADE8F8D4-3CC3-4BFF-8FF2-509148AC64E9}"/>
    <cellStyle name="Vírgula 5 2 2 2 3" xfId="3373" xr:uid="{C6E36447-EA26-4C00-81B3-79EE53FFAE67}"/>
    <cellStyle name="Vírgula 5 2 2 2 3 2" xfId="3374" xr:uid="{BCDC3BD4-7C17-4B7C-9E8F-C019F4B1F1BC}"/>
    <cellStyle name="Vírgula 5 2 2 2 3 2 2" xfId="3375" xr:uid="{1653DB51-8B2C-4614-AA60-C6E42C20239C}"/>
    <cellStyle name="Vírgula 5 2 2 2 3 2 2 2" xfId="3376" xr:uid="{BE79D0A2-E3E2-486E-A5D6-8913A91EE857}"/>
    <cellStyle name="Vírgula 5 2 2 2 3 2 2 2 2" xfId="3377" xr:uid="{AF193C17-DDC1-4ACF-BC70-5FC5381532A5}"/>
    <cellStyle name="Vírgula 5 2 2 2 3 2 2 2 3" xfId="7900" xr:uid="{FE3D721B-D271-4DAB-8051-0B9F33711B98}"/>
    <cellStyle name="Vírgula 5 2 2 2 3 2 2 3" xfId="3378" xr:uid="{B4F665D9-AC62-4DFB-B5BE-C1B50065C8B5}"/>
    <cellStyle name="Vírgula 5 2 2 2 3 2 2 4" xfId="7899" xr:uid="{952D8680-ABE9-4BF9-AB42-797345F1C814}"/>
    <cellStyle name="Vírgula 5 2 2 2 3 2 3" xfId="3379" xr:uid="{69E7F3E6-AFE4-4A53-81ED-7AF655156DE3}"/>
    <cellStyle name="Vírgula 5 2 2 2 3 2 3 2" xfId="3380" xr:uid="{57A62BBE-7AB8-4A58-BEBB-1729160E54B3}"/>
    <cellStyle name="Vírgula 5 2 2 2 3 2 3 2 2" xfId="3381" xr:uid="{E84CFCB9-8F86-4A15-8DB5-7F11E57DC01F}"/>
    <cellStyle name="Vírgula 5 2 2 2 3 2 3 2 3" xfId="7902" xr:uid="{27E0E523-FFE4-4C88-8A43-AA879FE5C0D2}"/>
    <cellStyle name="Vírgula 5 2 2 2 3 2 3 3" xfId="3382" xr:uid="{A2A118EC-5656-4086-969D-C4E20FC4C94F}"/>
    <cellStyle name="Vírgula 5 2 2 2 3 2 3 4" xfId="7901" xr:uid="{3AD695E7-3E29-406F-9F9F-D20BE9212CE1}"/>
    <cellStyle name="Vírgula 5 2 2 2 3 2 4" xfId="3383" xr:uid="{44715D93-4FE5-4161-BB72-23C88D27D397}"/>
    <cellStyle name="Vírgula 5 2 2 2 3 2 4 2" xfId="3384" xr:uid="{410E3118-F353-4F3F-BDA2-20808C3F6225}"/>
    <cellStyle name="Vírgula 5 2 2 2 3 2 4 3" xfId="7903" xr:uid="{3ECD981C-A73A-422E-91D3-9BC92B44553B}"/>
    <cellStyle name="Vírgula 5 2 2 2 3 2 5" xfId="3385" xr:uid="{BCBC2451-50A0-485A-99ED-074C0AA3A635}"/>
    <cellStyle name="Vírgula 5 2 2 2 3 2 6" xfId="7898" xr:uid="{03728703-DE84-44C0-99A6-F84CC8CB8C21}"/>
    <cellStyle name="Vírgula 5 2 2 2 3 3" xfId="3386" xr:uid="{9C0BED39-1673-4710-B936-F80D28640EB9}"/>
    <cellStyle name="Vírgula 5 2 2 2 3 3 2" xfId="3387" xr:uid="{ABD33053-EB9B-41A1-BFC5-8F98414A5BF4}"/>
    <cellStyle name="Vírgula 5 2 2 2 3 3 2 2" xfId="3388" xr:uid="{D0FF5E99-13E6-4074-A1B2-CC7A89EEED0D}"/>
    <cellStyle name="Vírgula 5 2 2 2 3 3 2 3" xfId="7905" xr:uid="{958CC7FA-9C4E-4340-923C-24685DDB66DF}"/>
    <cellStyle name="Vírgula 5 2 2 2 3 3 3" xfId="3389" xr:uid="{D5E060CA-D7C0-4319-8E04-C21B4B08B845}"/>
    <cellStyle name="Vírgula 5 2 2 2 3 3 4" xfId="7904" xr:uid="{597AD326-8D1B-44CF-8CB0-61578D52F79C}"/>
    <cellStyle name="Vírgula 5 2 2 2 3 4" xfId="3390" xr:uid="{60EC1949-31F3-47EF-A3B2-16D0411523D9}"/>
    <cellStyle name="Vírgula 5 2 2 2 3 4 2" xfId="3391" xr:uid="{EC560FF7-19E7-4D04-A77F-67812CF9FA93}"/>
    <cellStyle name="Vírgula 5 2 2 2 3 4 2 2" xfId="3392" xr:uid="{3C106E18-B98C-4F30-9E11-81D91CDF2B16}"/>
    <cellStyle name="Vírgula 5 2 2 2 3 4 2 3" xfId="7907" xr:uid="{2700967B-3220-476F-ADD2-016256AAD6BD}"/>
    <cellStyle name="Vírgula 5 2 2 2 3 4 3" xfId="3393" xr:uid="{03F4B7FD-0AB6-4EFC-BB87-6E0585141FB8}"/>
    <cellStyle name="Vírgula 5 2 2 2 3 4 4" xfId="7906" xr:uid="{E69FC8E5-2590-4075-AEBB-C3DA20EA2B78}"/>
    <cellStyle name="Vírgula 5 2 2 2 3 5" xfId="3394" xr:uid="{7FC1D00C-F5AE-4A58-AD7F-EDCD739B9373}"/>
    <cellStyle name="Vírgula 5 2 2 2 3 5 2" xfId="3395" xr:uid="{2EC33344-0DA8-4348-93ED-1E755962698E}"/>
    <cellStyle name="Vírgula 5 2 2 2 3 5 3" xfId="7908" xr:uid="{4E4A4E72-0A32-47C1-BE5F-16AF40502148}"/>
    <cellStyle name="Vírgula 5 2 2 2 3 6" xfId="3396" xr:uid="{E8A5FF4B-2EF5-40E9-B5A3-03394677B910}"/>
    <cellStyle name="Vírgula 5 2 2 2 3 7" xfId="7897" xr:uid="{9C71FDA5-846F-4C8D-81C3-DE33B6065317}"/>
    <cellStyle name="Vírgula 5 2 2 2 4" xfId="3397" xr:uid="{792AD32D-46EA-4B53-882C-43FC4086ED34}"/>
    <cellStyle name="Vírgula 5 2 2 2 4 2" xfId="3398" xr:uid="{62E35FBE-AAF8-4049-934A-A1C82A80CBF7}"/>
    <cellStyle name="Vírgula 5 2 2 2 4 2 2" xfId="3399" xr:uid="{2E72C5BD-20C0-4C58-BB6D-2B832F483FFA}"/>
    <cellStyle name="Vírgula 5 2 2 2 4 2 2 2" xfId="3400" xr:uid="{7814A0DE-AD33-449A-919D-47F957D3F237}"/>
    <cellStyle name="Vírgula 5 2 2 2 4 2 2 3" xfId="7911" xr:uid="{FBE26033-25BC-4386-9D62-EE3015276C0B}"/>
    <cellStyle name="Vírgula 5 2 2 2 4 2 3" xfId="3401" xr:uid="{8FD02DD2-F8EF-4B44-9B74-270CEF0C7F5E}"/>
    <cellStyle name="Vírgula 5 2 2 2 4 2 4" xfId="7910" xr:uid="{26F35009-0CBF-43A7-839F-E020EF170039}"/>
    <cellStyle name="Vírgula 5 2 2 2 4 3" xfId="3402" xr:uid="{FE967BFC-666A-46E2-BD71-9A172BEACB17}"/>
    <cellStyle name="Vírgula 5 2 2 2 4 3 2" xfId="3403" xr:uid="{C8DD4D7F-E3CB-4ADC-A1B3-7B2A815FF34A}"/>
    <cellStyle name="Vírgula 5 2 2 2 4 3 2 2" xfId="3404" xr:uid="{D48177F7-C934-48EA-A0EC-C9A9B64956FA}"/>
    <cellStyle name="Vírgula 5 2 2 2 4 3 2 3" xfId="7913" xr:uid="{58F52704-E6D8-4D83-8744-F452CCF9257A}"/>
    <cellStyle name="Vírgula 5 2 2 2 4 3 3" xfId="3405" xr:uid="{6CBA50C1-F974-4F5D-ACF7-7E09FFE262B1}"/>
    <cellStyle name="Vírgula 5 2 2 2 4 3 4" xfId="7912" xr:uid="{188E785A-54BB-4999-B1B2-B542C34FC7E8}"/>
    <cellStyle name="Vírgula 5 2 2 2 4 4" xfId="3406" xr:uid="{045F4703-394F-49DA-9CDC-62D0CA7932CC}"/>
    <cellStyle name="Vírgula 5 2 2 2 4 4 2" xfId="3407" xr:uid="{63E397B1-8D52-463E-A183-E70ED6C044C4}"/>
    <cellStyle name="Vírgula 5 2 2 2 4 4 3" xfId="7914" xr:uid="{11E46F27-F2B0-457B-B081-83C9E55E3317}"/>
    <cellStyle name="Vírgula 5 2 2 2 4 5" xfId="3408" xr:uid="{3159BF45-6C5F-41A7-A09E-5DB406A6D65D}"/>
    <cellStyle name="Vírgula 5 2 2 2 4 6" xfId="7909" xr:uid="{1F950A65-34E5-4CD3-974F-3E9BC8D68D7E}"/>
    <cellStyle name="Vírgula 5 2 2 2 5" xfId="3409" xr:uid="{1A304348-8590-4A96-AE76-BFB05201A9A7}"/>
    <cellStyle name="Vírgula 5 2 2 2 5 2" xfId="3410" xr:uid="{58CE0D47-AFDB-4A25-91EC-50231492A274}"/>
    <cellStyle name="Vírgula 5 2 2 2 5 2 2" xfId="3411" xr:uid="{7EC55046-EA13-42D8-9FD4-6197709B583F}"/>
    <cellStyle name="Vírgula 5 2 2 2 5 2 3" xfId="7916" xr:uid="{29BC0F50-4228-4666-BC15-845C0AB94E46}"/>
    <cellStyle name="Vírgula 5 2 2 2 5 3" xfId="3412" xr:uid="{6A4C4EA4-BA71-46C0-A2A6-860C473E710C}"/>
    <cellStyle name="Vírgula 5 2 2 2 5 4" xfId="7915" xr:uid="{CCC9EC1B-0D5E-4D9C-9180-1E3BBCCD987D}"/>
    <cellStyle name="Vírgula 5 2 2 2 6" xfId="3413" xr:uid="{5503D441-5B58-481A-94F2-C8FADA736D8F}"/>
    <cellStyle name="Vírgula 5 2 2 2 6 2" xfId="3414" xr:uid="{A02371F0-9F59-4BF1-B873-7A6FF79B8CBE}"/>
    <cellStyle name="Vírgula 5 2 2 2 6 2 2" xfId="3415" xr:uid="{06C0A254-2610-403B-8C02-476292FB3D67}"/>
    <cellStyle name="Vírgula 5 2 2 2 6 2 3" xfId="7918" xr:uid="{967C7AD3-0B0A-495D-800F-0735498CC1D8}"/>
    <cellStyle name="Vírgula 5 2 2 2 6 3" xfId="3416" xr:uid="{3C73F87D-F552-465E-AE6A-0C2731701141}"/>
    <cellStyle name="Vírgula 5 2 2 2 6 4" xfId="7917" xr:uid="{48FB4994-09DB-46EE-B1BD-6411AA6EC002}"/>
    <cellStyle name="Vírgula 5 2 2 2 7" xfId="3417" xr:uid="{2BFBFFA0-3217-4A9A-8A37-15D6E4384DAC}"/>
    <cellStyle name="Vírgula 5 2 2 2 7 2" xfId="3418" xr:uid="{E9AC2279-6757-4A2F-822B-6997F0EE2080}"/>
    <cellStyle name="Vírgula 5 2 2 2 7 3" xfId="7919" xr:uid="{F4D686B2-3CC8-4EDC-8EBE-B4F5E5E6FD6C}"/>
    <cellStyle name="Vírgula 5 2 2 2 8" xfId="3419" xr:uid="{32BDFC9E-2860-4777-9A6E-E1DE7F067381}"/>
    <cellStyle name="Vírgula 5 2 2 2 9" xfId="7884" xr:uid="{4DB1943D-B1B1-4C1F-8307-4AA5275DFFBE}"/>
    <cellStyle name="Vírgula 5 2 2 3" xfId="3420" xr:uid="{6C19F383-7855-4906-8837-27D2EFB68B49}"/>
    <cellStyle name="Vírgula 5 2 2 3 2" xfId="3421" xr:uid="{939E5378-6EB2-4BD5-93A7-C448990F94D5}"/>
    <cellStyle name="Vírgula 5 2 2 3 2 2" xfId="3422" xr:uid="{E894508C-A417-4A8E-B31E-2F7ACB532048}"/>
    <cellStyle name="Vírgula 5 2 2 3 2 2 2" xfId="3423" xr:uid="{36955704-D5EF-498B-871A-2C0AABBF4A94}"/>
    <cellStyle name="Vírgula 5 2 2 3 2 2 2 2" xfId="3424" xr:uid="{7D7F789D-BA50-4F0B-B9F7-81D77C696878}"/>
    <cellStyle name="Vírgula 5 2 2 3 2 2 2 2 2" xfId="3425" xr:uid="{738420C1-9D59-4507-BFFD-45D1340B2310}"/>
    <cellStyle name="Vírgula 5 2 2 3 2 2 2 2 3" xfId="7924" xr:uid="{281B72D0-F466-4CDB-AE72-4A69500A44FA}"/>
    <cellStyle name="Vírgula 5 2 2 3 2 2 2 3" xfId="3426" xr:uid="{1BD2C0C8-CB14-41EA-BA68-C260AD23A141}"/>
    <cellStyle name="Vírgula 5 2 2 3 2 2 2 4" xfId="7923" xr:uid="{6DB2D293-DA07-4C56-A5BC-A3672878B4D9}"/>
    <cellStyle name="Vírgula 5 2 2 3 2 2 3" xfId="3427" xr:uid="{33E15912-AB02-4A7B-8357-388CFD05D757}"/>
    <cellStyle name="Vírgula 5 2 2 3 2 2 3 2" xfId="3428" xr:uid="{7A3C4B9D-A8C9-4E51-9488-480EECEE3BA4}"/>
    <cellStyle name="Vírgula 5 2 2 3 2 2 3 2 2" xfId="3429" xr:uid="{B4828CCE-0D18-4418-9097-389F6F5E916F}"/>
    <cellStyle name="Vírgula 5 2 2 3 2 2 3 2 3" xfId="7926" xr:uid="{D211CBA6-039B-4028-9A39-8FD8080B9733}"/>
    <cellStyle name="Vírgula 5 2 2 3 2 2 3 3" xfId="3430" xr:uid="{35DCCA67-6769-44D1-A813-C546DEA02601}"/>
    <cellStyle name="Vírgula 5 2 2 3 2 2 3 4" xfId="7925" xr:uid="{2882AA6C-F98A-42C2-ACDE-0C6BFDE532DB}"/>
    <cellStyle name="Vírgula 5 2 2 3 2 2 4" xfId="3431" xr:uid="{4B52C3B3-26BE-4F61-94CD-A14916ED50AD}"/>
    <cellStyle name="Vírgula 5 2 2 3 2 2 4 2" xfId="3432" xr:uid="{E423145F-E7D0-4102-935A-0F108386729B}"/>
    <cellStyle name="Vírgula 5 2 2 3 2 2 4 3" xfId="7927" xr:uid="{29CABEA4-4169-4E30-953F-544085D05C6B}"/>
    <cellStyle name="Vírgula 5 2 2 3 2 2 5" xfId="3433" xr:uid="{104D3CAA-6EF6-47CA-978F-EC398628862D}"/>
    <cellStyle name="Vírgula 5 2 2 3 2 2 6" xfId="7922" xr:uid="{74754016-A85B-4B1A-9601-1AB004E43A1F}"/>
    <cellStyle name="Vírgula 5 2 2 3 2 3" xfId="3434" xr:uid="{837DD79E-84F7-4FF9-8F0D-107645CA2BF2}"/>
    <cellStyle name="Vírgula 5 2 2 3 2 3 2" xfId="3435" xr:uid="{ADD11383-123C-4C46-952E-465062BE4F89}"/>
    <cellStyle name="Vírgula 5 2 2 3 2 3 2 2" xfId="3436" xr:uid="{3DFE61DB-6CB4-4B85-9DB5-6375C0930BEB}"/>
    <cellStyle name="Vírgula 5 2 2 3 2 3 2 3" xfId="7929" xr:uid="{5435705E-1BF1-4D68-86DA-FA211AB5D64A}"/>
    <cellStyle name="Vírgula 5 2 2 3 2 3 3" xfId="3437" xr:uid="{32A9DA07-E8F8-4490-BDF2-471B70869F42}"/>
    <cellStyle name="Vírgula 5 2 2 3 2 3 4" xfId="7928" xr:uid="{07144135-D4BC-429F-B29D-0AA9D9337336}"/>
    <cellStyle name="Vírgula 5 2 2 3 2 4" xfId="3438" xr:uid="{18C3D7B2-B58A-494B-81D5-75DD66958AC0}"/>
    <cellStyle name="Vírgula 5 2 2 3 2 4 2" xfId="3439" xr:uid="{5356875A-C896-41EB-B7B0-9773FC5E168F}"/>
    <cellStyle name="Vírgula 5 2 2 3 2 4 2 2" xfId="3440" xr:uid="{5710FEF9-59FB-43D8-8EB7-780ABA202B7C}"/>
    <cellStyle name="Vírgula 5 2 2 3 2 4 2 3" xfId="7931" xr:uid="{0CA3FDD0-F7A9-4C9E-A927-9AEED2964425}"/>
    <cellStyle name="Vírgula 5 2 2 3 2 4 3" xfId="3441" xr:uid="{44EEFDBE-59AB-4EA7-8AF9-EC757433FBF6}"/>
    <cellStyle name="Vírgula 5 2 2 3 2 4 4" xfId="7930" xr:uid="{E768E5F1-BF72-40B3-8C4F-4E10F98B049B}"/>
    <cellStyle name="Vírgula 5 2 2 3 2 5" xfId="3442" xr:uid="{919D38EF-C01A-4228-AEA7-84E0B8F3AF4A}"/>
    <cellStyle name="Vírgula 5 2 2 3 2 5 2" xfId="3443" xr:uid="{7D65C14E-9DA4-4636-844F-C4932B217828}"/>
    <cellStyle name="Vírgula 5 2 2 3 2 5 3" xfId="7932" xr:uid="{AD53023F-1695-407F-9BD9-B6878923417B}"/>
    <cellStyle name="Vírgula 5 2 2 3 2 6" xfId="3444" xr:uid="{BD26478A-280C-45C4-8CE1-6F2217FF0197}"/>
    <cellStyle name="Vírgula 5 2 2 3 2 7" xfId="7921" xr:uid="{BFD72D14-4A4A-4A8B-86BA-7B565FA7F613}"/>
    <cellStyle name="Vírgula 5 2 2 3 3" xfId="3445" xr:uid="{731C4D9C-CB7E-4247-8274-57D3A8F188E7}"/>
    <cellStyle name="Vírgula 5 2 2 3 3 2" xfId="3446" xr:uid="{03A04551-170F-4161-B32C-4D6AE8994E5F}"/>
    <cellStyle name="Vírgula 5 2 2 3 3 2 2" xfId="3447" xr:uid="{7277AF96-EF29-4E63-8B50-C2978A2C889A}"/>
    <cellStyle name="Vírgula 5 2 2 3 3 2 2 2" xfId="3448" xr:uid="{B926620C-B0D0-4977-B857-3EB4F1E1FEEA}"/>
    <cellStyle name="Vírgula 5 2 2 3 3 2 2 2 2" xfId="3449" xr:uid="{6C5C4111-04F2-40C1-825C-70EDD281AD2B}"/>
    <cellStyle name="Vírgula 5 2 2 3 3 2 2 2 3" xfId="7936" xr:uid="{F14BFBE1-A677-427C-9152-E404B1FD6F3F}"/>
    <cellStyle name="Vírgula 5 2 2 3 3 2 2 3" xfId="3450" xr:uid="{62A1854E-C4FE-4E40-A28D-D1B4BCA7C57C}"/>
    <cellStyle name="Vírgula 5 2 2 3 3 2 2 4" xfId="7935" xr:uid="{1BBFF9B1-6723-420F-B023-C02494F6D366}"/>
    <cellStyle name="Vírgula 5 2 2 3 3 2 3" xfId="3451" xr:uid="{00C635AD-5E01-4C7C-A581-7C25D5E79075}"/>
    <cellStyle name="Vírgula 5 2 2 3 3 2 3 2" xfId="3452" xr:uid="{801957F6-D98E-4B13-8423-B1B4E7E9047B}"/>
    <cellStyle name="Vírgula 5 2 2 3 3 2 3 2 2" xfId="3453" xr:uid="{4F9E7D3A-1CD5-4F8D-86BB-21FFB388F71C}"/>
    <cellStyle name="Vírgula 5 2 2 3 3 2 3 2 3" xfId="7938" xr:uid="{D16AF385-C1EF-4679-94EA-5DBF0CE2D6C4}"/>
    <cellStyle name="Vírgula 5 2 2 3 3 2 3 3" xfId="3454" xr:uid="{61D02413-F2C0-45CE-82B2-C821DEAE0D98}"/>
    <cellStyle name="Vírgula 5 2 2 3 3 2 3 4" xfId="7937" xr:uid="{066D66DC-3FE4-4DD6-B5A4-E285E86F17D5}"/>
    <cellStyle name="Vírgula 5 2 2 3 3 2 4" xfId="3455" xr:uid="{15D82FD5-B773-4DEF-9A0F-2B62F1750596}"/>
    <cellStyle name="Vírgula 5 2 2 3 3 2 4 2" xfId="3456" xr:uid="{8DAF3926-1597-410E-956D-C9A9A8833E2F}"/>
    <cellStyle name="Vírgula 5 2 2 3 3 2 4 3" xfId="7939" xr:uid="{1510A0D9-194B-4033-B924-95CB75E6D4F9}"/>
    <cellStyle name="Vírgula 5 2 2 3 3 2 5" xfId="3457" xr:uid="{00DA2194-6D21-4F7B-A3E6-E22CEE04A38B}"/>
    <cellStyle name="Vírgula 5 2 2 3 3 2 6" xfId="7934" xr:uid="{B13D8A46-6C38-47ED-B7F9-DEBAEEA69A36}"/>
    <cellStyle name="Vírgula 5 2 2 3 3 3" xfId="3458" xr:uid="{3F9C9203-F3C9-4FCB-BE3A-E8FDF171C1D9}"/>
    <cellStyle name="Vírgula 5 2 2 3 3 3 2" xfId="3459" xr:uid="{73DFBD0A-69FC-464D-82C1-AA12034C47B9}"/>
    <cellStyle name="Vírgula 5 2 2 3 3 3 2 2" xfId="3460" xr:uid="{FA8E2D2E-1DC7-4A0D-AAE0-0D33FBE1C17E}"/>
    <cellStyle name="Vírgula 5 2 2 3 3 3 2 3" xfId="7941" xr:uid="{A7A7A152-5A53-466D-B863-22EB48BF3F8B}"/>
    <cellStyle name="Vírgula 5 2 2 3 3 3 3" xfId="3461" xr:uid="{4622A9E0-1727-4326-9F2A-B58CD6F5E588}"/>
    <cellStyle name="Vírgula 5 2 2 3 3 3 4" xfId="7940" xr:uid="{6A7E8C99-3C78-4CC4-8D10-C854FB886719}"/>
    <cellStyle name="Vírgula 5 2 2 3 3 4" xfId="3462" xr:uid="{997F247E-A728-4B9C-A73D-A8BF1CACD2A6}"/>
    <cellStyle name="Vírgula 5 2 2 3 3 4 2" xfId="3463" xr:uid="{EC9F80F9-5231-48E4-B132-68A7971A8CA3}"/>
    <cellStyle name="Vírgula 5 2 2 3 3 4 2 2" xfId="3464" xr:uid="{0E858501-F212-47F6-9360-68BE5D9350BA}"/>
    <cellStyle name="Vírgula 5 2 2 3 3 4 2 3" xfId="7943" xr:uid="{C8FD3CAB-DF04-4A64-83C9-D817E8A0B953}"/>
    <cellStyle name="Vírgula 5 2 2 3 3 4 3" xfId="3465" xr:uid="{937C7D78-BBD2-4F37-8D61-47819D4E60DF}"/>
    <cellStyle name="Vírgula 5 2 2 3 3 4 4" xfId="7942" xr:uid="{C46666CD-9640-4284-9702-9BC97B33E173}"/>
    <cellStyle name="Vírgula 5 2 2 3 3 5" xfId="3466" xr:uid="{269117D7-F568-4448-BFB7-4E57A233FABC}"/>
    <cellStyle name="Vírgula 5 2 2 3 3 5 2" xfId="3467" xr:uid="{802A7FFA-7034-4B34-9A08-D60766C472C9}"/>
    <cellStyle name="Vírgula 5 2 2 3 3 5 3" xfId="7944" xr:uid="{742400B2-B518-41CE-8B3E-5C6D29281EA0}"/>
    <cellStyle name="Vírgula 5 2 2 3 3 6" xfId="3468" xr:uid="{B5E540AF-DD2E-4712-B682-58D63F25E0CB}"/>
    <cellStyle name="Vírgula 5 2 2 3 3 7" xfId="7933" xr:uid="{1349C4D2-73F1-438C-A188-18C2AB099C10}"/>
    <cellStyle name="Vírgula 5 2 2 3 4" xfId="3469" xr:uid="{7FFB711C-A00C-4CE3-99E7-EE5268F476BD}"/>
    <cellStyle name="Vírgula 5 2 2 3 4 2" xfId="3470" xr:uid="{E5F5A27D-2BB0-4713-A517-D5FA9EA35FEA}"/>
    <cellStyle name="Vírgula 5 2 2 3 4 2 2" xfId="3471" xr:uid="{419C205E-8BC0-4CB1-896C-8CDFB161977A}"/>
    <cellStyle name="Vírgula 5 2 2 3 4 2 2 2" xfId="3472" xr:uid="{01A6624D-A405-473C-AD0A-5687193030C5}"/>
    <cellStyle name="Vírgula 5 2 2 3 4 2 2 3" xfId="7947" xr:uid="{DA09AFD1-1CDB-4FF6-B0BA-9BB9E3156CA5}"/>
    <cellStyle name="Vírgula 5 2 2 3 4 2 3" xfId="3473" xr:uid="{D73056E0-A9A9-41B7-981B-98EAEC1EC536}"/>
    <cellStyle name="Vírgula 5 2 2 3 4 2 4" xfId="7946" xr:uid="{12B9050A-F4A5-4983-9940-B7F69D9E4F34}"/>
    <cellStyle name="Vírgula 5 2 2 3 4 3" xfId="3474" xr:uid="{E3BF5F66-E93E-460A-90A9-17C351127D2D}"/>
    <cellStyle name="Vírgula 5 2 2 3 4 3 2" xfId="3475" xr:uid="{5B1E4C90-9FD6-4515-BAEF-726EAC7C8FFD}"/>
    <cellStyle name="Vírgula 5 2 2 3 4 3 2 2" xfId="3476" xr:uid="{A8778594-7554-4B10-A3FF-5CD11A21E2DC}"/>
    <cellStyle name="Vírgula 5 2 2 3 4 3 2 3" xfId="7949" xr:uid="{2F1ACE20-3A63-4929-ACAE-0031200C2A18}"/>
    <cellStyle name="Vírgula 5 2 2 3 4 3 3" xfId="3477" xr:uid="{88A78CBA-C352-434F-9464-FA35847BBBFD}"/>
    <cellStyle name="Vírgula 5 2 2 3 4 3 4" xfId="7948" xr:uid="{330B811C-0F02-488C-9690-35F43B4CC55D}"/>
    <cellStyle name="Vírgula 5 2 2 3 4 4" xfId="3478" xr:uid="{E6528E4D-8F8D-4974-8A77-16C231D0546D}"/>
    <cellStyle name="Vírgula 5 2 2 3 4 4 2" xfId="3479" xr:uid="{ADF33ADF-0471-4A88-9A9D-0E54CBD6DC2B}"/>
    <cellStyle name="Vírgula 5 2 2 3 4 4 3" xfId="7950" xr:uid="{7E4F7833-DCD0-465E-B1CD-9F07FF96C10A}"/>
    <cellStyle name="Vírgula 5 2 2 3 4 5" xfId="3480" xr:uid="{19FD7033-32CB-4B96-A635-E3AE79B1D41E}"/>
    <cellStyle name="Vírgula 5 2 2 3 4 6" xfId="7945" xr:uid="{F48214CF-EDB5-4780-8B2F-3B74ABEFD5B4}"/>
    <cellStyle name="Vírgula 5 2 2 3 5" xfId="3481" xr:uid="{ECC89F56-543D-4E2C-ACC6-8A4A6D2D08C6}"/>
    <cellStyle name="Vírgula 5 2 2 3 5 2" xfId="3482" xr:uid="{31D4E485-7959-435B-8909-F67E92E913FE}"/>
    <cellStyle name="Vírgula 5 2 2 3 5 2 2" xfId="3483" xr:uid="{FF15D662-6148-4A33-B1C5-03C6EB6D4391}"/>
    <cellStyle name="Vírgula 5 2 2 3 5 2 3" xfId="7952" xr:uid="{F3D9A683-D86D-449A-AA93-4A8F0EDB2877}"/>
    <cellStyle name="Vírgula 5 2 2 3 5 3" xfId="3484" xr:uid="{86F32585-5DE1-427A-8122-FB8D0EF467E5}"/>
    <cellStyle name="Vírgula 5 2 2 3 5 4" xfId="7951" xr:uid="{76EEEC5B-81E8-4D98-B636-AE1C79DFE1F7}"/>
    <cellStyle name="Vírgula 5 2 2 3 6" xfId="3485" xr:uid="{773D81C7-1AAD-4111-B500-00B14F96BDE0}"/>
    <cellStyle name="Vírgula 5 2 2 3 6 2" xfId="3486" xr:uid="{BC4A08C7-A603-43D6-AC66-37F30C4C335F}"/>
    <cellStyle name="Vírgula 5 2 2 3 6 2 2" xfId="3487" xr:uid="{6BB73C07-EA2B-4CE9-B4D5-859800A066D9}"/>
    <cellStyle name="Vírgula 5 2 2 3 6 2 3" xfId="7954" xr:uid="{43E4AF50-2DEE-450A-8942-8836F9C37711}"/>
    <cellStyle name="Vírgula 5 2 2 3 6 3" xfId="3488" xr:uid="{53D1031A-C2E9-4CF9-9D1A-FF7AB7D1044B}"/>
    <cellStyle name="Vírgula 5 2 2 3 6 4" xfId="7953" xr:uid="{EA200002-16E6-4E42-8C49-3BB9E97CD48B}"/>
    <cellStyle name="Vírgula 5 2 2 3 7" xfId="3489" xr:uid="{8D5CC834-EB73-4EA6-84F3-742C1E6ED5F1}"/>
    <cellStyle name="Vírgula 5 2 2 3 7 2" xfId="3490" xr:uid="{8EE99078-065E-4878-B602-6113F2FAABA6}"/>
    <cellStyle name="Vírgula 5 2 2 3 7 3" xfId="7955" xr:uid="{22DD3854-C2B3-4996-8D08-2AC7C51ADDF7}"/>
    <cellStyle name="Vírgula 5 2 2 3 8" xfId="3491" xr:uid="{F786EDDC-46C1-45DF-A9C7-31D4B7F89C96}"/>
    <cellStyle name="Vírgula 5 2 2 3 9" xfId="7920" xr:uid="{F42649AF-8647-47AF-9FB1-AD3E7942DEFE}"/>
    <cellStyle name="Vírgula 5 2 2 4" xfId="3492" xr:uid="{15944444-F95D-4DEB-849D-92892A82C267}"/>
    <cellStyle name="Vírgula 5 2 2 4 2" xfId="3493" xr:uid="{AA81424F-FD56-412D-8E71-BD886DB41B82}"/>
    <cellStyle name="Vírgula 5 2 2 4 2 2" xfId="3494" xr:uid="{A87A87B0-C75F-4F1B-831F-E94D79711530}"/>
    <cellStyle name="Vírgula 5 2 2 4 2 2 2" xfId="3495" xr:uid="{8F1194C3-DFD7-431E-942F-7FDC6CC7B615}"/>
    <cellStyle name="Vírgula 5 2 2 4 2 2 2 2" xfId="3496" xr:uid="{797AEB90-209B-42C9-BBCC-5CE0FD50215A}"/>
    <cellStyle name="Vírgula 5 2 2 4 2 2 2 2 2" xfId="3497" xr:uid="{A62C37F7-6361-452D-8568-E28647658544}"/>
    <cellStyle name="Vírgula 5 2 2 4 2 2 2 2 3" xfId="7960" xr:uid="{CC83BB3F-20F1-4A9B-97E4-D0A2DD9C8CE6}"/>
    <cellStyle name="Vírgula 5 2 2 4 2 2 2 3" xfId="3498" xr:uid="{DC000B25-8D92-46ED-9E01-38AC2D0DE5A0}"/>
    <cellStyle name="Vírgula 5 2 2 4 2 2 2 4" xfId="7959" xr:uid="{F7AD56A4-6671-4A0A-A085-EC3FAFA41075}"/>
    <cellStyle name="Vírgula 5 2 2 4 2 2 3" xfId="3499" xr:uid="{D604226E-6B59-42EE-BB2C-55F3CD785432}"/>
    <cellStyle name="Vírgula 5 2 2 4 2 2 3 2" xfId="3500" xr:uid="{7F640218-DBE7-4794-B97B-C8F507818ABE}"/>
    <cellStyle name="Vírgula 5 2 2 4 2 2 3 2 2" xfId="3501" xr:uid="{4D2AAD32-B53D-4F24-9917-691BB0F562D4}"/>
    <cellStyle name="Vírgula 5 2 2 4 2 2 3 2 3" xfId="7962" xr:uid="{D41AC05A-6124-4FBE-87C3-A1D0C1369AD7}"/>
    <cellStyle name="Vírgula 5 2 2 4 2 2 3 3" xfId="3502" xr:uid="{7C21C4B7-3F69-4BBC-ABC7-B6BD53C81596}"/>
    <cellStyle name="Vírgula 5 2 2 4 2 2 3 4" xfId="7961" xr:uid="{7E2B17BD-F5B3-4FF3-8BFC-374326010C14}"/>
    <cellStyle name="Vírgula 5 2 2 4 2 2 4" xfId="3503" xr:uid="{6198E904-E235-4211-91ED-C78B6A096AC5}"/>
    <cellStyle name="Vírgula 5 2 2 4 2 2 4 2" xfId="3504" xr:uid="{6B8C7719-8F49-4F32-82D4-98C82CC3EAF7}"/>
    <cellStyle name="Vírgula 5 2 2 4 2 2 4 3" xfId="7963" xr:uid="{40C2E5E2-A5F9-48AC-AEC3-3DD0BB115310}"/>
    <cellStyle name="Vírgula 5 2 2 4 2 2 5" xfId="3505" xr:uid="{8047F189-FF70-41E3-B5FA-558B7F68087E}"/>
    <cellStyle name="Vírgula 5 2 2 4 2 2 6" xfId="7958" xr:uid="{7CB3666E-7DD5-4BD0-BE58-23A479B6A799}"/>
    <cellStyle name="Vírgula 5 2 2 4 2 3" xfId="3506" xr:uid="{25FCFBF4-2422-4488-B268-90E840E555AF}"/>
    <cellStyle name="Vírgula 5 2 2 4 2 3 2" xfId="3507" xr:uid="{CF64E9C0-307C-40E5-82CF-BAB90B403A97}"/>
    <cellStyle name="Vírgula 5 2 2 4 2 3 2 2" xfId="3508" xr:uid="{34B90165-3945-4DD5-95B1-4F211C1B1F4E}"/>
    <cellStyle name="Vírgula 5 2 2 4 2 3 2 3" xfId="7965" xr:uid="{6CD177C4-24AE-4127-B074-4B888AA85C38}"/>
    <cellStyle name="Vírgula 5 2 2 4 2 3 3" xfId="3509" xr:uid="{C738F342-1AB6-4D87-81E2-B1811E0C4062}"/>
    <cellStyle name="Vírgula 5 2 2 4 2 3 4" xfId="7964" xr:uid="{E10F5AD3-A0A5-41C5-B888-3B718A6B5A10}"/>
    <cellStyle name="Vírgula 5 2 2 4 2 4" xfId="3510" xr:uid="{DC34A91F-61DA-4EF0-97E6-9C75075AB4FC}"/>
    <cellStyle name="Vírgula 5 2 2 4 2 4 2" xfId="3511" xr:uid="{33ACFEE4-B3CA-44C2-BCD5-81720E0D52FD}"/>
    <cellStyle name="Vírgula 5 2 2 4 2 4 2 2" xfId="3512" xr:uid="{12FC3A52-0639-4085-B0CE-A64EF0D066A3}"/>
    <cellStyle name="Vírgula 5 2 2 4 2 4 2 3" xfId="7967" xr:uid="{E624E168-413F-498E-B206-29CB991E041A}"/>
    <cellStyle name="Vírgula 5 2 2 4 2 4 3" xfId="3513" xr:uid="{9E0DD7C1-2CC0-4C9B-8C39-AF8FFFD1C1B4}"/>
    <cellStyle name="Vírgula 5 2 2 4 2 4 4" xfId="7966" xr:uid="{1D0873C0-BE8B-4210-BC1B-EF81C27A1FE9}"/>
    <cellStyle name="Vírgula 5 2 2 4 2 5" xfId="3514" xr:uid="{C15E004E-C9A5-4DB8-B916-CE5B7D88DE76}"/>
    <cellStyle name="Vírgula 5 2 2 4 2 5 2" xfId="3515" xr:uid="{07C9C9CE-4D47-4767-A013-17F152C930D0}"/>
    <cellStyle name="Vírgula 5 2 2 4 2 5 3" xfId="7968" xr:uid="{052BEA17-CFE6-4DD4-99E1-87DEC0D28CDB}"/>
    <cellStyle name="Vírgula 5 2 2 4 2 6" xfId="3516" xr:uid="{E90DEF14-7511-4C17-B23F-C4CD8C0B2E88}"/>
    <cellStyle name="Vírgula 5 2 2 4 2 7" xfId="7957" xr:uid="{00365E63-D72E-4075-8683-2FD27276E844}"/>
    <cellStyle name="Vírgula 5 2 2 4 3" xfId="3517" xr:uid="{EADFB190-D27D-49E0-9786-F30DBD048A99}"/>
    <cellStyle name="Vírgula 5 2 2 4 3 2" xfId="3518" xr:uid="{2107E7AD-5707-456A-B36E-715C90C8FB98}"/>
    <cellStyle name="Vírgula 5 2 2 4 3 2 2" xfId="3519" xr:uid="{73DF617D-1A0F-40AD-8261-E5760474DBB3}"/>
    <cellStyle name="Vírgula 5 2 2 4 3 2 2 2" xfId="3520" xr:uid="{BCC04CF6-ABBB-441A-84D9-59FB0E034606}"/>
    <cellStyle name="Vírgula 5 2 2 4 3 2 2 2 2" xfId="3521" xr:uid="{A5471B98-7CD1-4F91-A2BE-CA1359FA0114}"/>
    <cellStyle name="Vírgula 5 2 2 4 3 2 2 2 3" xfId="7972" xr:uid="{8A2F115A-93C9-4BC0-A1C8-D7F8A6A77C44}"/>
    <cellStyle name="Vírgula 5 2 2 4 3 2 2 3" xfId="3522" xr:uid="{F5B06869-5713-4C76-91E0-3A0A7357B1ED}"/>
    <cellStyle name="Vírgula 5 2 2 4 3 2 2 4" xfId="7971" xr:uid="{D7EA3F8E-FD9D-4E00-B89D-25131BA54625}"/>
    <cellStyle name="Vírgula 5 2 2 4 3 2 3" xfId="3523" xr:uid="{F56B6567-73FA-49EA-B944-7CD99DF53EEA}"/>
    <cellStyle name="Vírgula 5 2 2 4 3 2 3 2" xfId="3524" xr:uid="{F2853A39-33AF-4D80-AD18-C802AEAFA02F}"/>
    <cellStyle name="Vírgula 5 2 2 4 3 2 3 2 2" xfId="3525" xr:uid="{52394CB6-5243-4E80-94DF-EEE53DB67CB8}"/>
    <cellStyle name="Vírgula 5 2 2 4 3 2 3 2 3" xfId="7974" xr:uid="{CA8DAB23-E214-47A8-9FF1-A76EA13C2547}"/>
    <cellStyle name="Vírgula 5 2 2 4 3 2 3 3" xfId="3526" xr:uid="{0F4FE0FD-020F-499D-A546-C0D52CCF61B1}"/>
    <cellStyle name="Vírgula 5 2 2 4 3 2 3 4" xfId="7973" xr:uid="{57F25AF4-BCF7-492E-B846-6514DDF960D1}"/>
    <cellStyle name="Vírgula 5 2 2 4 3 2 4" xfId="3527" xr:uid="{C1F5274A-11DA-4BE7-97E7-6F60494CD878}"/>
    <cellStyle name="Vírgula 5 2 2 4 3 2 4 2" xfId="3528" xr:uid="{41AD426A-2A03-4AB4-8B77-D03552839432}"/>
    <cellStyle name="Vírgula 5 2 2 4 3 2 4 3" xfId="7975" xr:uid="{59F1286F-1D7B-4E02-9C5B-37E5890BF5A5}"/>
    <cellStyle name="Vírgula 5 2 2 4 3 2 5" xfId="3529" xr:uid="{2B394283-585C-4B6C-ABC4-F6C4EEE863CE}"/>
    <cellStyle name="Vírgula 5 2 2 4 3 2 6" xfId="7970" xr:uid="{BAE85351-5C6E-4BD7-B2B5-8CF66B7CC486}"/>
    <cellStyle name="Vírgula 5 2 2 4 3 3" xfId="3530" xr:uid="{D4DB7DD8-FF7A-4DD6-86F6-FCACFF7AF846}"/>
    <cellStyle name="Vírgula 5 2 2 4 3 3 2" xfId="3531" xr:uid="{380D56A1-7C8E-446D-ADD9-404B3CDD001B}"/>
    <cellStyle name="Vírgula 5 2 2 4 3 3 2 2" xfId="3532" xr:uid="{9808D557-A962-4CB5-B422-738B648DFDDB}"/>
    <cellStyle name="Vírgula 5 2 2 4 3 3 2 3" xfId="7977" xr:uid="{C052D27A-AEA0-4F06-A193-78665B511849}"/>
    <cellStyle name="Vírgula 5 2 2 4 3 3 3" xfId="3533" xr:uid="{DA8CE029-4219-4CFF-AFB8-78101165AF34}"/>
    <cellStyle name="Vírgula 5 2 2 4 3 3 4" xfId="7976" xr:uid="{B48D6FBC-6972-4EAB-86C0-20B2A8611DC1}"/>
    <cellStyle name="Vírgula 5 2 2 4 3 4" xfId="3534" xr:uid="{67638A4C-14E7-4679-B8E3-093A59A269BA}"/>
    <cellStyle name="Vírgula 5 2 2 4 3 4 2" xfId="3535" xr:uid="{90195694-0E7E-4781-BB86-93EB18B71279}"/>
    <cellStyle name="Vírgula 5 2 2 4 3 4 2 2" xfId="3536" xr:uid="{0D683FA7-7017-4376-B436-7B313C68BD63}"/>
    <cellStyle name="Vírgula 5 2 2 4 3 4 2 3" xfId="7979" xr:uid="{2FCBC524-2732-4EEB-B07D-7E7693851029}"/>
    <cellStyle name="Vírgula 5 2 2 4 3 4 3" xfId="3537" xr:uid="{638344F8-BACE-4425-A9E4-B36E06FCEDEA}"/>
    <cellStyle name="Vírgula 5 2 2 4 3 4 4" xfId="7978" xr:uid="{E559366F-820A-4F49-8E21-9DD3DDE8B1E6}"/>
    <cellStyle name="Vírgula 5 2 2 4 3 5" xfId="3538" xr:uid="{DEF23182-ACDB-4254-AE97-60C46AE63DC9}"/>
    <cellStyle name="Vírgula 5 2 2 4 3 5 2" xfId="3539" xr:uid="{8EA37AA1-76EF-4521-9DE0-6E7247E433A1}"/>
    <cellStyle name="Vírgula 5 2 2 4 3 5 3" xfId="7980" xr:uid="{6667E3E6-49C8-49EC-A694-10AE69B9DE21}"/>
    <cellStyle name="Vírgula 5 2 2 4 3 6" xfId="3540" xr:uid="{BA7D1D36-866C-4B60-A92F-AF004A7E8ABD}"/>
    <cellStyle name="Vírgula 5 2 2 4 3 7" xfId="7969" xr:uid="{762C76E9-F80D-40B9-BE90-402DD69C7C08}"/>
    <cellStyle name="Vírgula 5 2 2 4 4" xfId="3541" xr:uid="{F0363605-9B9B-497F-9B67-9A099E6CF307}"/>
    <cellStyle name="Vírgula 5 2 2 4 4 2" xfId="3542" xr:uid="{8AD7F66B-DA32-4F0F-8F8B-3111B5540BAF}"/>
    <cellStyle name="Vírgula 5 2 2 4 4 2 2" xfId="3543" xr:uid="{6D3ECDCC-E930-4F79-8006-6451C9F2183B}"/>
    <cellStyle name="Vírgula 5 2 2 4 4 2 2 2" xfId="3544" xr:uid="{4A42B6EA-9784-46E8-AF7A-B5CB904C27DB}"/>
    <cellStyle name="Vírgula 5 2 2 4 4 2 2 3" xfId="7983" xr:uid="{DEAF6AF9-E81D-4DDE-9AE4-273CABDF1239}"/>
    <cellStyle name="Vírgula 5 2 2 4 4 2 3" xfId="3545" xr:uid="{ABB781AC-0763-4B74-A468-3E60F68EACEB}"/>
    <cellStyle name="Vírgula 5 2 2 4 4 2 4" xfId="7982" xr:uid="{EE94C1DB-FEE4-4226-B697-79D7683E909F}"/>
    <cellStyle name="Vírgula 5 2 2 4 4 3" xfId="3546" xr:uid="{4412AD56-B9FC-4F39-BD8D-5FF7525B9F59}"/>
    <cellStyle name="Vírgula 5 2 2 4 4 3 2" xfId="3547" xr:uid="{7CDDE8C3-2A44-42A2-8930-796057D45659}"/>
    <cellStyle name="Vírgula 5 2 2 4 4 3 2 2" xfId="3548" xr:uid="{F7A0903B-8B5B-40F2-ADFA-3174992CEF4A}"/>
    <cellStyle name="Vírgula 5 2 2 4 4 3 2 3" xfId="7985" xr:uid="{25EAB95E-DB55-4054-8B1A-AE42D1404DFF}"/>
    <cellStyle name="Vírgula 5 2 2 4 4 3 3" xfId="3549" xr:uid="{E55517DB-8325-4383-BCBE-6D70E7088F08}"/>
    <cellStyle name="Vírgula 5 2 2 4 4 3 4" xfId="7984" xr:uid="{B63E12F5-C38B-472F-BB84-98C0781D11B1}"/>
    <cellStyle name="Vírgula 5 2 2 4 4 4" xfId="3550" xr:uid="{CEEBCE17-7019-4555-B385-9F300EB4BAEE}"/>
    <cellStyle name="Vírgula 5 2 2 4 4 4 2" xfId="3551" xr:uid="{6C7B1B7F-7C57-4C6D-B13C-22CFD247B528}"/>
    <cellStyle name="Vírgula 5 2 2 4 4 4 3" xfId="7986" xr:uid="{88781805-0F9D-4410-8481-0589B462C63B}"/>
    <cellStyle name="Vírgula 5 2 2 4 4 5" xfId="3552" xr:uid="{8D808858-C472-44A3-9113-F228C0F96244}"/>
    <cellStyle name="Vírgula 5 2 2 4 4 6" xfId="7981" xr:uid="{FCF90791-E45B-4612-AF2A-904B23459E08}"/>
    <cellStyle name="Vírgula 5 2 2 4 5" xfId="3553" xr:uid="{F7D95670-F1A5-492F-8A57-CA849DFC24FC}"/>
    <cellStyle name="Vírgula 5 2 2 4 5 2" xfId="3554" xr:uid="{2F715A7B-30FD-4FBA-9753-6A880FC128E0}"/>
    <cellStyle name="Vírgula 5 2 2 4 5 2 2" xfId="3555" xr:uid="{731C0954-4513-4DD5-ABB6-8498E1ACBF1A}"/>
    <cellStyle name="Vírgula 5 2 2 4 5 2 3" xfId="7988" xr:uid="{33AE1EBB-A500-4323-9DD0-2E68BAE48DC6}"/>
    <cellStyle name="Vírgula 5 2 2 4 5 3" xfId="3556" xr:uid="{002D5164-1015-407D-A61C-80ACCC83F823}"/>
    <cellStyle name="Vírgula 5 2 2 4 5 4" xfId="7987" xr:uid="{A510B55B-DE17-4932-91FB-7367E632A121}"/>
    <cellStyle name="Vírgula 5 2 2 4 6" xfId="3557" xr:uid="{192F4D3A-0E36-4761-8D4E-D4D1AA2F89A4}"/>
    <cellStyle name="Vírgula 5 2 2 4 6 2" xfId="3558" xr:uid="{E4861CB8-1A17-45AC-AB06-CFEEB2B16E99}"/>
    <cellStyle name="Vírgula 5 2 2 4 6 2 2" xfId="3559" xr:uid="{F7447764-FD03-4A97-BC97-7F89A99FFB7D}"/>
    <cellStyle name="Vírgula 5 2 2 4 6 2 3" xfId="7990" xr:uid="{63714B61-12EA-428F-B665-E15F5FDC50B9}"/>
    <cellStyle name="Vírgula 5 2 2 4 6 3" xfId="3560" xr:uid="{B493065E-95C1-4035-B487-E4FB720F45ED}"/>
    <cellStyle name="Vírgula 5 2 2 4 6 4" xfId="7989" xr:uid="{C0E6E939-775C-40B5-8000-309CBF7D5A8D}"/>
    <cellStyle name="Vírgula 5 2 2 4 7" xfId="3561" xr:uid="{73439D07-AC16-44FE-9367-6666E92CEC4F}"/>
    <cellStyle name="Vírgula 5 2 2 4 7 2" xfId="3562" xr:uid="{C3C1F1F6-303A-4669-922C-67B0D633CFB9}"/>
    <cellStyle name="Vírgula 5 2 2 4 7 3" xfId="7991" xr:uid="{5104AE73-9BA5-4F91-855D-2DC01C3B9186}"/>
    <cellStyle name="Vírgula 5 2 2 4 8" xfId="3563" xr:uid="{F56EDF70-D866-412C-9A94-7801DA044832}"/>
    <cellStyle name="Vírgula 5 2 2 4 9" xfId="7956" xr:uid="{50D8E6C1-1327-426B-8339-1B436F134811}"/>
    <cellStyle name="Vírgula 5 2 2 5" xfId="3564" xr:uid="{817BA19A-1327-49B9-8E5E-D7B736CD350E}"/>
    <cellStyle name="Vírgula 5 2 2 5 2" xfId="3565" xr:uid="{CF6CA7B5-9D3F-4610-9599-32E0364EC52C}"/>
    <cellStyle name="Vírgula 5 2 2 5 2 2" xfId="3566" xr:uid="{8EA5CB9C-9AB2-4024-A7D0-22F78E5EB058}"/>
    <cellStyle name="Vírgula 5 2 2 5 2 2 2" xfId="3567" xr:uid="{3C6F57F1-DCC8-4231-A8F5-B719F3C1AA13}"/>
    <cellStyle name="Vírgula 5 2 2 5 2 2 2 2" xfId="3568" xr:uid="{3D40BFD4-4A35-4876-865A-C333FBCA4731}"/>
    <cellStyle name="Vírgula 5 2 2 5 2 2 2 3" xfId="7995" xr:uid="{728E6E19-864A-49DA-9500-EA9BA183A266}"/>
    <cellStyle name="Vírgula 5 2 2 5 2 2 3" xfId="3569" xr:uid="{DB9938EA-1C3E-4B0A-AAA7-83C465F894F1}"/>
    <cellStyle name="Vírgula 5 2 2 5 2 2 4" xfId="7994" xr:uid="{62A639E4-639C-434A-B8E7-AD48F8878801}"/>
    <cellStyle name="Vírgula 5 2 2 5 2 3" xfId="3570" xr:uid="{1B3ED768-CE4A-460B-B29C-B251FA907E31}"/>
    <cellStyle name="Vírgula 5 2 2 5 2 3 2" xfId="3571" xr:uid="{8C9CD281-98DA-4EEE-AE3A-EBC2184AD047}"/>
    <cellStyle name="Vírgula 5 2 2 5 2 3 2 2" xfId="3572" xr:uid="{0BD37B3B-A0AF-478F-ADF2-E94205231F8F}"/>
    <cellStyle name="Vírgula 5 2 2 5 2 3 2 3" xfId="7997" xr:uid="{08EE8A3B-DA91-4DBE-84DD-C1A7835BFFCE}"/>
    <cellStyle name="Vírgula 5 2 2 5 2 3 3" xfId="3573" xr:uid="{0240E06A-3C7D-4158-A45B-8EFF5A7EFCA1}"/>
    <cellStyle name="Vírgula 5 2 2 5 2 3 4" xfId="7996" xr:uid="{62B488DD-F845-4220-BB8A-9A2D0FD0914B}"/>
    <cellStyle name="Vírgula 5 2 2 5 2 4" xfId="3574" xr:uid="{13ACDCCC-2E3F-4373-840C-5187B2F8ABCC}"/>
    <cellStyle name="Vírgula 5 2 2 5 2 4 2" xfId="3575" xr:uid="{CE467324-7249-4DF4-A760-A01E26F65008}"/>
    <cellStyle name="Vírgula 5 2 2 5 2 4 3" xfId="7998" xr:uid="{08BF16FE-E11F-4D74-B2AF-62A85B867270}"/>
    <cellStyle name="Vírgula 5 2 2 5 2 5" xfId="3576" xr:uid="{506068FE-63EA-4024-9EAA-51BC094488BE}"/>
    <cellStyle name="Vírgula 5 2 2 5 2 6" xfId="7993" xr:uid="{D2439F50-0B36-4D64-B2BD-CC994B809017}"/>
    <cellStyle name="Vírgula 5 2 2 5 3" xfId="3577" xr:uid="{160655C2-700C-4EB7-928F-730ADA017DFE}"/>
    <cellStyle name="Vírgula 5 2 2 5 3 2" xfId="3578" xr:uid="{ABE95E18-1C53-4243-8E1D-32DD423AFE22}"/>
    <cellStyle name="Vírgula 5 2 2 5 3 2 2" xfId="3579" xr:uid="{E7DCD898-93A3-420C-B860-59E66C4C25E4}"/>
    <cellStyle name="Vírgula 5 2 2 5 3 2 3" xfId="8000" xr:uid="{E692348F-64B4-4112-A062-38CEAF50A907}"/>
    <cellStyle name="Vírgula 5 2 2 5 3 3" xfId="3580" xr:uid="{F9971A61-983D-44E6-8665-A8B719584384}"/>
    <cellStyle name="Vírgula 5 2 2 5 3 4" xfId="7999" xr:uid="{B02A9C42-58C1-466E-9A78-4FBEC9908858}"/>
    <cellStyle name="Vírgula 5 2 2 5 4" xfId="3581" xr:uid="{A5975505-48DC-4E40-9D53-BDF9DFD143E9}"/>
    <cellStyle name="Vírgula 5 2 2 5 4 2" xfId="3582" xr:uid="{C15B6C07-DE62-4452-B651-A2AF37BD1E42}"/>
    <cellStyle name="Vírgula 5 2 2 5 4 2 2" xfId="3583" xr:uid="{5505EC4E-BFA1-4240-92A7-8626CBCE7A2D}"/>
    <cellStyle name="Vírgula 5 2 2 5 4 2 3" xfId="8002" xr:uid="{066DF5D9-1897-4D94-A3DD-02CDA604984C}"/>
    <cellStyle name="Vírgula 5 2 2 5 4 3" xfId="3584" xr:uid="{B6E2FF8F-1404-40F4-A26C-4F44B4F77435}"/>
    <cellStyle name="Vírgula 5 2 2 5 4 4" xfId="8001" xr:uid="{EE63D1DA-AF70-4B49-8DEF-162B4BF0F28E}"/>
    <cellStyle name="Vírgula 5 2 2 5 5" xfId="3585" xr:uid="{72D35325-43C6-43D4-9540-C8CBBE63C9D9}"/>
    <cellStyle name="Vírgula 5 2 2 5 5 2" xfId="3586" xr:uid="{CEF3165F-BAA5-419F-950D-A8A1775AE8B9}"/>
    <cellStyle name="Vírgula 5 2 2 5 5 3" xfId="8003" xr:uid="{E11AEFC9-93B0-48B1-8149-C9E2970502A4}"/>
    <cellStyle name="Vírgula 5 2 2 5 6" xfId="3587" xr:uid="{00AEA0E5-F7A5-4A9F-9793-B5D3320C6806}"/>
    <cellStyle name="Vírgula 5 2 2 5 7" xfId="7992" xr:uid="{5DDB531A-08DD-409D-A9D7-5C355A1EFE39}"/>
    <cellStyle name="Vírgula 5 2 2 6" xfId="3588" xr:uid="{380EF9CF-91BD-41C5-9C6B-B2950FC96025}"/>
    <cellStyle name="Vírgula 5 2 2 6 2" xfId="3589" xr:uid="{046D316E-3383-4884-952A-822F4E5D483D}"/>
    <cellStyle name="Vírgula 5 2 2 6 2 2" xfId="3590" xr:uid="{E7A19E54-B9F8-4862-985E-DD4419F3B9D8}"/>
    <cellStyle name="Vírgula 5 2 2 6 2 2 2" xfId="3591" xr:uid="{A30A8F70-099B-4F0A-877D-BFB0FF3EC1CD}"/>
    <cellStyle name="Vírgula 5 2 2 6 2 2 2 2" xfId="3592" xr:uid="{9E80F759-2461-450C-84EE-A334C33E824C}"/>
    <cellStyle name="Vírgula 5 2 2 6 2 2 2 3" xfId="8007" xr:uid="{D8A2CCDB-20C1-4BB1-916C-4D4BAA51AECC}"/>
    <cellStyle name="Vírgula 5 2 2 6 2 2 3" xfId="3593" xr:uid="{DCDCCDEE-03B8-4CE7-BCF3-4540280FA825}"/>
    <cellStyle name="Vírgula 5 2 2 6 2 2 4" xfId="8006" xr:uid="{2BF34852-BA88-4443-A11C-BDFC8F5F3D5E}"/>
    <cellStyle name="Vírgula 5 2 2 6 2 3" xfId="3594" xr:uid="{970C064A-5035-4966-8A8B-0F554366E40E}"/>
    <cellStyle name="Vírgula 5 2 2 6 2 3 2" xfId="3595" xr:uid="{25CB825F-039F-4D56-8D51-C46981C67C14}"/>
    <cellStyle name="Vírgula 5 2 2 6 2 3 2 2" xfId="3596" xr:uid="{7C6371EF-DE83-49D3-B867-214D7FFCBEF8}"/>
    <cellStyle name="Vírgula 5 2 2 6 2 3 2 3" xfId="8009" xr:uid="{DE26D812-83B0-4F25-8B1A-312E88BA691D}"/>
    <cellStyle name="Vírgula 5 2 2 6 2 3 3" xfId="3597" xr:uid="{C313B20A-0AC6-4F7E-AC1B-957AC515A6AB}"/>
    <cellStyle name="Vírgula 5 2 2 6 2 3 4" xfId="8008" xr:uid="{763C81AB-3D6A-425F-8A59-5B6EBF4C4D49}"/>
    <cellStyle name="Vírgula 5 2 2 6 2 4" xfId="3598" xr:uid="{646DF070-43DA-4716-AA3F-DB017323C6C9}"/>
    <cellStyle name="Vírgula 5 2 2 6 2 4 2" xfId="3599" xr:uid="{30043622-3832-49C8-AD6C-E47BBE16712C}"/>
    <cellStyle name="Vírgula 5 2 2 6 2 4 3" xfId="8010" xr:uid="{0B46B71D-B6C2-4C2D-91D7-DA9ADBC213BD}"/>
    <cellStyle name="Vírgula 5 2 2 6 2 5" xfId="3600" xr:uid="{B9C63FE9-4FE8-44D9-8608-EBC2B1C1E2C8}"/>
    <cellStyle name="Vírgula 5 2 2 6 2 6" xfId="8005" xr:uid="{B4527638-402D-47A5-96A4-F7EC9C6FDFE0}"/>
    <cellStyle name="Vírgula 5 2 2 6 3" xfId="3601" xr:uid="{E4F865F8-FB1E-4AE2-8A4F-9ED7424F7C4B}"/>
    <cellStyle name="Vírgula 5 2 2 6 3 2" xfId="3602" xr:uid="{40A91740-70EC-4F04-B750-6D3DF5CA8C35}"/>
    <cellStyle name="Vírgula 5 2 2 6 3 2 2" xfId="3603" xr:uid="{53924B4E-B061-4F71-AD3C-4BF1AD4DFDDC}"/>
    <cellStyle name="Vírgula 5 2 2 6 3 2 3" xfId="8012" xr:uid="{047AF1EC-36E6-41C3-A656-8B8A37815E65}"/>
    <cellStyle name="Vírgula 5 2 2 6 3 3" xfId="3604" xr:uid="{88BA92EF-648D-4837-8513-B1DBF5786D7E}"/>
    <cellStyle name="Vírgula 5 2 2 6 3 4" xfId="8011" xr:uid="{161AEA71-C20C-49C7-A50E-776C121A7C9D}"/>
    <cellStyle name="Vírgula 5 2 2 6 4" xfId="3605" xr:uid="{CFCA2396-2A15-44DF-AAFF-881FCE54D3A8}"/>
    <cellStyle name="Vírgula 5 2 2 6 4 2" xfId="3606" xr:uid="{60680E76-DEAD-4291-A533-0426C88B14EB}"/>
    <cellStyle name="Vírgula 5 2 2 6 4 2 2" xfId="3607" xr:uid="{6141F721-F28B-4A92-9E6B-B2EB8EA01AD9}"/>
    <cellStyle name="Vírgula 5 2 2 6 4 2 3" xfId="8014" xr:uid="{52F25241-25BD-42B7-9BFD-39C2A0FC0AC2}"/>
    <cellStyle name="Vírgula 5 2 2 6 4 3" xfId="3608" xr:uid="{FB481149-9E31-4358-B01B-17C44375482F}"/>
    <cellStyle name="Vírgula 5 2 2 6 4 4" xfId="8013" xr:uid="{962F546C-F2D3-469F-9640-15EEF9E49142}"/>
    <cellStyle name="Vírgula 5 2 2 6 5" xfId="3609" xr:uid="{BF897EA6-5960-4AE7-9DB4-8D8323D74FAE}"/>
    <cellStyle name="Vírgula 5 2 2 6 5 2" xfId="3610" xr:uid="{58100A79-FDED-46CE-AC0F-F877C0BCFB38}"/>
    <cellStyle name="Vírgula 5 2 2 6 5 3" xfId="8015" xr:uid="{F58A87E0-DD1F-46B6-9D33-CA1943B568BA}"/>
    <cellStyle name="Vírgula 5 2 2 6 6" xfId="3611" xr:uid="{49AC151E-8D43-4045-BD72-FDFF344C265E}"/>
    <cellStyle name="Vírgula 5 2 2 6 7" xfId="8004" xr:uid="{933D133A-0E14-4412-9A03-690E3C4A319E}"/>
    <cellStyle name="Vírgula 5 2 2 7" xfId="3612" xr:uid="{AD23FF8F-E65E-4B97-AFA8-547CA8697687}"/>
    <cellStyle name="Vírgula 5 2 2 7 2" xfId="3613" xr:uid="{95FE5914-DBEC-4472-8C6E-633296185692}"/>
    <cellStyle name="Vírgula 5 2 2 7 2 2" xfId="3614" xr:uid="{69B32915-5DF6-4AD7-B011-D0481412F056}"/>
    <cellStyle name="Vírgula 5 2 2 7 2 2 2" xfId="3615" xr:uid="{A9A703A3-089A-491A-B2A4-0A92A74314E3}"/>
    <cellStyle name="Vírgula 5 2 2 7 2 2 3" xfId="8018" xr:uid="{DE8FB478-AB78-40D3-975C-8ED27A0DD551}"/>
    <cellStyle name="Vírgula 5 2 2 7 2 3" xfId="3616" xr:uid="{4E60F953-E416-4FFB-BB0D-9C641A1A5923}"/>
    <cellStyle name="Vírgula 5 2 2 7 2 4" xfId="8017" xr:uid="{6161A6A0-6B28-4FC1-AC05-5CBD68C21A4D}"/>
    <cellStyle name="Vírgula 5 2 2 7 3" xfId="3617" xr:uid="{1ED7932A-AAEB-4A85-A416-706540E69864}"/>
    <cellStyle name="Vírgula 5 2 2 7 3 2" xfId="3618" xr:uid="{6E021B98-F9DA-47BB-91B6-4F1F8A31D7D6}"/>
    <cellStyle name="Vírgula 5 2 2 7 3 2 2" xfId="3619" xr:uid="{AF54C773-5A16-44D1-83D6-B7C8D0A1E831}"/>
    <cellStyle name="Vírgula 5 2 2 7 3 2 3" xfId="8020" xr:uid="{ADEB338F-7636-4623-90C1-C201EDB1D3B4}"/>
    <cellStyle name="Vírgula 5 2 2 7 3 3" xfId="3620" xr:uid="{C83DDCAB-3B2B-4D15-ACAA-40159694D9D5}"/>
    <cellStyle name="Vírgula 5 2 2 7 3 4" xfId="8019" xr:uid="{39403F35-2358-4177-BC4E-9711A38A76AC}"/>
    <cellStyle name="Vírgula 5 2 2 7 4" xfId="3621" xr:uid="{742711A6-75F2-49B2-B0BE-178C047CD177}"/>
    <cellStyle name="Vírgula 5 2 2 7 4 2" xfId="3622" xr:uid="{406DFA34-AAF9-454D-985B-34D993995BB3}"/>
    <cellStyle name="Vírgula 5 2 2 7 4 3" xfId="8021" xr:uid="{D632F19C-5D27-487E-AC17-6D304713FC44}"/>
    <cellStyle name="Vírgula 5 2 2 7 5" xfId="3623" xr:uid="{4B0B06FA-4E33-466B-B526-E24D26559B56}"/>
    <cellStyle name="Vírgula 5 2 2 7 6" xfId="8016" xr:uid="{39AFC46B-8EDC-4D83-A8EC-55F553C57E81}"/>
    <cellStyle name="Vírgula 5 2 2 8" xfId="3624" xr:uid="{E0BEC346-89BA-48B9-B00C-8B53098ECEA5}"/>
    <cellStyle name="Vírgula 5 2 2 8 2" xfId="3625" xr:uid="{EEDC3115-A0BB-4410-83D0-0AC2AB7908A0}"/>
    <cellStyle name="Vírgula 5 2 2 8 2 2" xfId="3626" xr:uid="{25A95BFF-5466-4200-9FB5-BAB1221DB370}"/>
    <cellStyle name="Vírgula 5 2 2 8 2 3" xfId="8023" xr:uid="{57B095D0-DE4F-4925-926F-933B7370A1A5}"/>
    <cellStyle name="Vírgula 5 2 2 8 3" xfId="3627" xr:uid="{593FDD0A-E955-4074-9A75-72C17B6B8901}"/>
    <cellStyle name="Vírgula 5 2 2 8 4" xfId="8022" xr:uid="{E7357C81-9A8E-43B7-9A03-4798B9A19659}"/>
    <cellStyle name="Vírgula 5 2 2 9" xfId="3628" xr:uid="{FBC5BCCA-4F9D-49D9-AFF0-69180B8BCDF2}"/>
    <cellStyle name="Vírgula 5 2 2 9 2" xfId="3629" xr:uid="{6BEA0CA0-F7D3-426E-88A9-2F7C6289562E}"/>
    <cellStyle name="Vírgula 5 2 2 9 2 2" xfId="3630" xr:uid="{CEFC6909-2182-417E-BE73-3EDC314F0606}"/>
    <cellStyle name="Vírgula 5 2 2 9 2 3" xfId="8025" xr:uid="{E80DC7BC-1A0F-4463-8252-A8FAF2B9DC19}"/>
    <cellStyle name="Vírgula 5 2 2 9 3" xfId="3631" xr:uid="{3305ADFC-8F27-409B-BD5B-9F7BBEB153C2}"/>
    <cellStyle name="Vírgula 5 2 2 9 4" xfId="8024" xr:uid="{355980D8-1CE4-4B87-AE90-F8E441B7E458}"/>
    <cellStyle name="Vírgula 5 2 3" xfId="3632" xr:uid="{9DB417F2-0FFC-4613-B321-4DBDE1AB84FB}"/>
    <cellStyle name="Vírgula 5 2 3 2" xfId="3633" xr:uid="{0CC0E83D-C445-4954-B7DE-FC658B2CBD7F}"/>
    <cellStyle name="Vírgula 5 2 3 2 2" xfId="3634" xr:uid="{4CCB67ED-D1D3-4E39-8438-BDB9E1743898}"/>
    <cellStyle name="Vírgula 5 2 3 2 2 2" xfId="3635" xr:uid="{48440CD0-BAA4-42AF-9B23-3AB145716494}"/>
    <cellStyle name="Vírgula 5 2 3 2 2 2 2" xfId="3636" xr:uid="{B9AC484B-C828-4954-A519-31BF259F7BE3}"/>
    <cellStyle name="Vírgula 5 2 3 2 2 2 2 2" xfId="3637" xr:uid="{24B74C25-2356-4885-A3C0-F4D414F9531B}"/>
    <cellStyle name="Vírgula 5 2 3 2 2 2 2 3" xfId="8030" xr:uid="{33AF5FFE-FDD6-421A-B0FE-855748B45E25}"/>
    <cellStyle name="Vírgula 5 2 3 2 2 2 3" xfId="3638" xr:uid="{00EBC4AF-98FF-4E16-93F6-ED1734B9F4E2}"/>
    <cellStyle name="Vírgula 5 2 3 2 2 2 4" xfId="8029" xr:uid="{C31BEDFF-4622-44C7-BB2B-626594160D22}"/>
    <cellStyle name="Vírgula 5 2 3 2 2 3" xfId="3639" xr:uid="{A6938153-DE13-4E49-83B1-9DE31B316086}"/>
    <cellStyle name="Vírgula 5 2 3 2 2 3 2" xfId="3640" xr:uid="{187EF6E4-6AEE-49E3-BE02-38ADCE17491B}"/>
    <cellStyle name="Vírgula 5 2 3 2 2 3 2 2" xfId="3641" xr:uid="{1B7213FA-D0E6-4BF7-A7FF-B6F83846B903}"/>
    <cellStyle name="Vírgula 5 2 3 2 2 3 2 3" xfId="8032" xr:uid="{6A170160-799D-481D-8669-A77EC6A3E19C}"/>
    <cellStyle name="Vírgula 5 2 3 2 2 3 3" xfId="3642" xr:uid="{BAB8A07F-4CFA-4FC5-A548-6279DF97CC30}"/>
    <cellStyle name="Vírgula 5 2 3 2 2 3 4" xfId="8031" xr:uid="{4096FB5C-D28A-4136-87C7-895349BD282D}"/>
    <cellStyle name="Vírgula 5 2 3 2 2 4" xfId="3643" xr:uid="{2CED9315-8FEE-488F-9483-DCAA548A7D69}"/>
    <cellStyle name="Vírgula 5 2 3 2 2 4 2" xfId="3644" xr:uid="{E372230A-FA4D-4E7C-B08A-49CC97B8EB8C}"/>
    <cellStyle name="Vírgula 5 2 3 2 2 4 3" xfId="8033" xr:uid="{76793708-B0FA-41F4-B198-C9D69A5EA0B0}"/>
    <cellStyle name="Vírgula 5 2 3 2 2 5" xfId="3645" xr:uid="{B3CCBC62-CD2B-4A34-A162-E72F60F657B4}"/>
    <cellStyle name="Vírgula 5 2 3 2 2 6" xfId="8028" xr:uid="{2B7648DF-795A-4275-8988-C74F57E4571C}"/>
    <cellStyle name="Vírgula 5 2 3 2 3" xfId="3646" xr:uid="{0A727EAE-8483-4B0A-A43F-E13DD424F356}"/>
    <cellStyle name="Vírgula 5 2 3 2 3 2" xfId="3647" xr:uid="{A61968BA-64FC-49A2-A02C-1B2E98218DB7}"/>
    <cellStyle name="Vírgula 5 2 3 2 3 2 2" xfId="3648" xr:uid="{E996ED2E-8698-448A-A12F-AD85DCF79B2C}"/>
    <cellStyle name="Vírgula 5 2 3 2 3 2 3" xfId="8035" xr:uid="{53499F78-9D58-41FE-8EE0-CAC79058D69D}"/>
    <cellStyle name="Vírgula 5 2 3 2 3 3" xfId="3649" xr:uid="{BA9C8944-315C-4994-861D-18C898E55AF7}"/>
    <cellStyle name="Vírgula 5 2 3 2 3 4" xfId="8034" xr:uid="{47E1C425-4119-4975-9BEF-D7AE0634D54A}"/>
    <cellStyle name="Vírgula 5 2 3 2 4" xfId="3650" xr:uid="{F3ED4AFE-7BD3-4071-A8BB-260B7643CC41}"/>
    <cellStyle name="Vírgula 5 2 3 2 4 2" xfId="3651" xr:uid="{F3712135-954F-4E8E-A5AD-9AD33CD96BC1}"/>
    <cellStyle name="Vírgula 5 2 3 2 4 2 2" xfId="3652" xr:uid="{9484A29B-D2B5-47FF-9127-E31E0A01F0A5}"/>
    <cellStyle name="Vírgula 5 2 3 2 4 2 3" xfId="8037" xr:uid="{51E0DDBC-E974-46A2-992F-E04A682F58A1}"/>
    <cellStyle name="Vírgula 5 2 3 2 4 3" xfId="3653" xr:uid="{4E7C2AAF-631F-4DF8-AD19-40786FA0BDAF}"/>
    <cellStyle name="Vírgula 5 2 3 2 4 4" xfId="8036" xr:uid="{D8281A18-4B33-4A00-8E4B-28ABF9BAEEFA}"/>
    <cellStyle name="Vírgula 5 2 3 2 5" xfId="3654" xr:uid="{278A5A4F-1D8E-4288-AD1E-4A3C97981226}"/>
    <cellStyle name="Vírgula 5 2 3 2 5 2" xfId="3655" xr:uid="{3459EFE5-4480-43C3-97F5-3960AB5B7128}"/>
    <cellStyle name="Vírgula 5 2 3 2 5 3" xfId="8038" xr:uid="{4FC47E2D-9905-406C-BE72-ED39B9D47650}"/>
    <cellStyle name="Vírgula 5 2 3 2 6" xfId="3656" xr:uid="{F2B4030B-3D58-46CA-A8FB-47B53B022ECF}"/>
    <cellStyle name="Vírgula 5 2 3 2 7" xfId="8027" xr:uid="{2D3253D5-5868-4D18-B536-30714B1F35C7}"/>
    <cellStyle name="Vírgula 5 2 3 3" xfId="3657" xr:uid="{518FBA80-E9A8-40FB-A3C3-D42C7E5E4625}"/>
    <cellStyle name="Vírgula 5 2 3 3 2" xfId="3658" xr:uid="{F585C6D7-5D21-401D-89B4-6832A1B72C8D}"/>
    <cellStyle name="Vírgula 5 2 3 3 2 2" xfId="3659" xr:uid="{A19A99A6-66D2-40D6-9CB5-4C932C05A170}"/>
    <cellStyle name="Vírgula 5 2 3 3 2 2 2" xfId="3660" xr:uid="{77D845D8-93FA-4DA9-8715-B5A113AEF17F}"/>
    <cellStyle name="Vírgula 5 2 3 3 2 2 2 2" xfId="3661" xr:uid="{20A54774-D30A-4ACE-88A9-861B153A5170}"/>
    <cellStyle name="Vírgula 5 2 3 3 2 2 2 3" xfId="8042" xr:uid="{D8A9DA51-C18C-40E2-87D2-0757D6EF2E1C}"/>
    <cellStyle name="Vírgula 5 2 3 3 2 2 3" xfId="3662" xr:uid="{A053D622-803F-41CC-BEB6-74F03279550B}"/>
    <cellStyle name="Vírgula 5 2 3 3 2 2 4" xfId="8041" xr:uid="{BF15E0E8-7085-4302-AE05-0F7A38D916FA}"/>
    <cellStyle name="Vírgula 5 2 3 3 2 3" xfId="3663" xr:uid="{0D036100-2EA3-43F4-8D11-156F719F7A62}"/>
    <cellStyle name="Vírgula 5 2 3 3 2 3 2" xfId="3664" xr:uid="{DFDAC2BB-3D3E-489D-8A9D-0EADAF9680C9}"/>
    <cellStyle name="Vírgula 5 2 3 3 2 3 2 2" xfId="3665" xr:uid="{7A771F5C-A45B-410E-BBEE-144BD190A7D8}"/>
    <cellStyle name="Vírgula 5 2 3 3 2 3 2 3" xfId="8044" xr:uid="{5A124402-D0F6-4D8C-BCBB-4C5DAB0AC80E}"/>
    <cellStyle name="Vírgula 5 2 3 3 2 3 3" xfId="3666" xr:uid="{A7A7C3B0-42E3-4443-AE6D-ED8E76F4C905}"/>
    <cellStyle name="Vírgula 5 2 3 3 2 3 4" xfId="8043" xr:uid="{61191581-CC9E-4078-B567-2530B6A6C662}"/>
    <cellStyle name="Vírgula 5 2 3 3 2 4" xfId="3667" xr:uid="{8440EA90-6947-4C1E-922B-C0CBD2B338C7}"/>
    <cellStyle name="Vírgula 5 2 3 3 2 4 2" xfId="3668" xr:uid="{F007B375-E14D-41C6-8A1D-AE8FA53BDFAC}"/>
    <cellStyle name="Vírgula 5 2 3 3 2 4 3" xfId="8045" xr:uid="{12E3142C-6710-4A5E-9AC3-09C3E999B738}"/>
    <cellStyle name="Vírgula 5 2 3 3 2 5" xfId="3669" xr:uid="{D3941A28-24DD-48B9-A4AC-B26CBC7FA730}"/>
    <cellStyle name="Vírgula 5 2 3 3 2 6" xfId="8040" xr:uid="{E99F107C-CEDC-49EE-A158-142912AA31B6}"/>
    <cellStyle name="Vírgula 5 2 3 3 3" xfId="3670" xr:uid="{4C2B41A2-A689-4130-AE3C-38AB24914EA2}"/>
    <cellStyle name="Vírgula 5 2 3 3 3 2" xfId="3671" xr:uid="{FE508147-113F-4767-AB37-88A53521C997}"/>
    <cellStyle name="Vírgula 5 2 3 3 3 2 2" xfId="3672" xr:uid="{C13F247A-55C0-4395-A6C6-0FC4AE43CC06}"/>
    <cellStyle name="Vírgula 5 2 3 3 3 2 3" xfId="8047" xr:uid="{183C40D6-8BF0-4506-817B-491D8118232C}"/>
    <cellStyle name="Vírgula 5 2 3 3 3 3" xfId="3673" xr:uid="{6975A61E-0ABA-40E5-9BFA-0C7FDE226B02}"/>
    <cellStyle name="Vírgula 5 2 3 3 3 4" xfId="8046" xr:uid="{4DEAC590-246E-422E-8796-D3CB05B93AA6}"/>
    <cellStyle name="Vírgula 5 2 3 3 4" xfId="3674" xr:uid="{7785FF85-8226-4674-95E0-0862588904C6}"/>
    <cellStyle name="Vírgula 5 2 3 3 4 2" xfId="3675" xr:uid="{846DEFDA-BFAD-4BAB-8F0E-00E36EEC6215}"/>
    <cellStyle name="Vírgula 5 2 3 3 4 2 2" xfId="3676" xr:uid="{39B0BE26-DB2E-4F62-BAFF-9E10BB775F25}"/>
    <cellStyle name="Vírgula 5 2 3 3 4 2 3" xfId="8049" xr:uid="{4D443E0F-5BC5-43B1-86BE-B8EABD4106E0}"/>
    <cellStyle name="Vírgula 5 2 3 3 4 3" xfId="3677" xr:uid="{7687DAB7-7EA0-4628-AFF0-0B3AAA5FFD1C}"/>
    <cellStyle name="Vírgula 5 2 3 3 4 4" xfId="8048" xr:uid="{420D7892-309A-473E-B16F-05D4B17F29D7}"/>
    <cellStyle name="Vírgula 5 2 3 3 5" xfId="3678" xr:uid="{6EDCAA03-21FE-42C9-BED2-6156946B57A9}"/>
    <cellStyle name="Vírgula 5 2 3 3 5 2" xfId="3679" xr:uid="{90A5FD19-32BF-4A15-A10B-D84201FAE00C}"/>
    <cellStyle name="Vírgula 5 2 3 3 5 3" xfId="8050" xr:uid="{CD84B783-37E8-49B1-838E-93625EFC5043}"/>
    <cellStyle name="Vírgula 5 2 3 3 6" xfId="3680" xr:uid="{2991A6C2-5C4A-4A9B-B88D-DF113671FC5C}"/>
    <cellStyle name="Vírgula 5 2 3 3 7" xfId="8039" xr:uid="{9B3C84CD-160A-4CF2-ADA3-C2E43E6CEC26}"/>
    <cellStyle name="Vírgula 5 2 3 4" xfId="3681" xr:uid="{99542610-04A8-4292-AA5F-EDA611C69FED}"/>
    <cellStyle name="Vírgula 5 2 3 4 2" xfId="3682" xr:uid="{86743EB9-A2C8-4930-A703-E41F691E6209}"/>
    <cellStyle name="Vírgula 5 2 3 4 2 2" xfId="3683" xr:uid="{C5A2C290-321E-4D92-808D-59DAF836394E}"/>
    <cellStyle name="Vírgula 5 2 3 4 2 2 2" xfId="3684" xr:uid="{A2F9FDAE-ACCD-4AC0-95AB-5B891F90E487}"/>
    <cellStyle name="Vírgula 5 2 3 4 2 2 3" xfId="8053" xr:uid="{CA32A90B-26E2-43DF-B803-08C3AFD04337}"/>
    <cellStyle name="Vírgula 5 2 3 4 2 3" xfId="3685" xr:uid="{1F7067C1-CDF7-4DFC-96C0-4064C018FC79}"/>
    <cellStyle name="Vírgula 5 2 3 4 2 4" xfId="8052" xr:uid="{84D794AB-61A2-44F0-9F06-C58C357DFC6E}"/>
    <cellStyle name="Vírgula 5 2 3 4 3" xfId="3686" xr:uid="{2E8D8732-FA57-472D-916C-7A8CAF9D84C3}"/>
    <cellStyle name="Vírgula 5 2 3 4 3 2" xfId="3687" xr:uid="{8D470924-7D92-4807-9FF1-A8F72BC7BDF1}"/>
    <cellStyle name="Vírgula 5 2 3 4 3 2 2" xfId="3688" xr:uid="{29936186-F480-43D6-9825-2AA2185041A9}"/>
    <cellStyle name="Vírgula 5 2 3 4 3 2 3" xfId="8055" xr:uid="{B4850C7D-DACC-44A1-B339-CF73A101F9E5}"/>
    <cellStyle name="Vírgula 5 2 3 4 3 3" xfId="3689" xr:uid="{CFCFC3FF-5F49-4E2C-8F7D-BACF5582A8FE}"/>
    <cellStyle name="Vírgula 5 2 3 4 3 4" xfId="8054" xr:uid="{EE03D78A-F94E-4C97-BE75-F81C98950B80}"/>
    <cellStyle name="Vírgula 5 2 3 4 4" xfId="3690" xr:uid="{4F3550B6-BF51-4B27-B59A-D855A9EA55B6}"/>
    <cellStyle name="Vírgula 5 2 3 4 4 2" xfId="3691" xr:uid="{C1C9210C-CC14-48D6-9DE4-BAE792596B03}"/>
    <cellStyle name="Vírgula 5 2 3 4 4 3" xfId="8056" xr:uid="{EB6C2DB1-EF62-4724-BD67-F9776AFBCEBB}"/>
    <cellStyle name="Vírgula 5 2 3 4 5" xfId="3692" xr:uid="{0A43AADD-EA32-4FD2-8828-E330457809F4}"/>
    <cellStyle name="Vírgula 5 2 3 4 6" xfId="8051" xr:uid="{A7318B0D-2F14-45E2-9FA0-9FAB0A3A8D30}"/>
    <cellStyle name="Vírgula 5 2 3 5" xfId="3693" xr:uid="{CEE4D33A-F527-42B7-92D5-7AF2FB1D04CE}"/>
    <cellStyle name="Vírgula 5 2 3 5 2" xfId="3694" xr:uid="{A24DFF79-90ED-4BA0-A803-5C66B3C7080C}"/>
    <cellStyle name="Vírgula 5 2 3 5 2 2" xfId="3695" xr:uid="{5C8A966C-C048-4D32-AC51-BDDDB7CE0CF2}"/>
    <cellStyle name="Vírgula 5 2 3 5 2 3" xfId="8058" xr:uid="{82D73DAC-A238-4893-8B83-04FAFCC2A7BB}"/>
    <cellStyle name="Vírgula 5 2 3 5 3" xfId="3696" xr:uid="{EA588206-ACA5-4D62-A3EE-A22CC79EB90E}"/>
    <cellStyle name="Vírgula 5 2 3 5 4" xfId="8057" xr:uid="{593111F2-E71C-464B-B551-5882476B5433}"/>
    <cellStyle name="Vírgula 5 2 3 6" xfId="3697" xr:uid="{9D068A0C-BD8C-41FF-BA84-0370DC87EBA7}"/>
    <cellStyle name="Vírgula 5 2 3 6 2" xfId="3698" xr:uid="{ADE3682F-BF5C-4CC2-B5C0-2AC3A9997FBB}"/>
    <cellStyle name="Vírgula 5 2 3 6 2 2" xfId="3699" xr:uid="{F5221495-7028-4996-B19A-7882DF5AC97E}"/>
    <cellStyle name="Vírgula 5 2 3 6 2 3" xfId="8060" xr:uid="{321561B8-E3AE-485C-B004-E266EC0564AE}"/>
    <cellStyle name="Vírgula 5 2 3 6 3" xfId="3700" xr:uid="{132B1174-C5E8-42FE-A4BA-B3C13CEAAB97}"/>
    <cellStyle name="Vírgula 5 2 3 6 4" xfId="8059" xr:uid="{0D8A8558-CD5A-4A21-A708-28E5C4D8C60C}"/>
    <cellStyle name="Vírgula 5 2 3 7" xfId="3701" xr:uid="{6A1CA4A3-B2BA-4CCA-808E-62EFF106E817}"/>
    <cellStyle name="Vírgula 5 2 3 7 2" xfId="3702" xr:uid="{E625CBE5-BFEC-4CE8-92B3-E80965AE23E2}"/>
    <cellStyle name="Vírgula 5 2 3 7 3" xfId="8061" xr:uid="{14103B57-744F-4970-8A36-AA40A38CF19E}"/>
    <cellStyle name="Vírgula 5 2 3 8" xfId="3703" xr:uid="{2A6CE7E9-158F-4741-B6C1-D68FA30A68B9}"/>
    <cellStyle name="Vírgula 5 2 3 9" xfId="8026" xr:uid="{30355CA0-3AF2-4298-AA18-CAA64270728A}"/>
    <cellStyle name="Vírgula 5 2 4" xfId="3704" xr:uid="{ACD188E7-2596-4CDB-9E61-BC1254E21FE8}"/>
    <cellStyle name="Vírgula 5 2 4 2" xfId="3705" xr:uid="{C7E5B685-9B45-4F56-A3A2-E3FCC236EDB7}"/>
    <cellStyle name="Vírgula 5 2 4 2 2" xfId="3706" xr:uid="{044D6893-0838-4CC1-A5BB-58F985F18D72}"/>
    <cellStyle name="Vírgula 5 2 4 2 2 2" xfId="3707" xr:uid="{02778959-01D0-4455-9372-6BEF3F8F2013}"/>
    <cellStyle name="Vírgula 5 2 4 2 2 2 2" xfId="3708" xr:uid="{E943A679-481D-4E26-AD6E-FCD74A4F5180}"/>
    <cellStyle name="Vírgula 5 2 4 2 2 2 2 2" xfId="3709" xr:uid="{C459150D-D524-469E-9E9C-6303183D52AF}"/>
    <cellStyle name="Vírgula 5 2 4 2 2 2 2 3" xfId="8066" xr:uid="{1A6A9E17-CD16-477A-B821-D1349EB0FCFB}"/>
    <cellStyle name="Vírgula 5 2 4 2 2 2 3" xfId="3710" xr:uid="{6490C7E0-B8D4-46DB-99C2-9A18B4879D19}"/>
    <cellStyle name="Vírgula 5 2 4 2 2 2 4" xfId="8065" xr:uid="{6A7FBB6C-3DB0-4398-B9CF-943431807382}"/>
    <cellStyle name="Vírgula 5 2 4 2 2 3" xfId="3711" xr:uid="{6D00114B-9C1C-4D48-89C6-7487138C6A40}"/>
    <cellStyle name="Vírgula 5 2 4 2 2 3 2" xfId="3712" xr:uid="{0B20651B-FCD7-45C9-A29C-6A1C76AB48B2}"/>
    <cellStyle name="Vírgula 5 2 4 2 2 3 2 2" xfId="3713" xr:uid="{BE2D77EA-3F12-4840-8347-C007392C57FC}"/>
    <cellStyle name="Vírgula 5 2 4 2 2 3 2 3" xfId="8068" xr:uid="{42B65E09-DB11-44AA-868F-C99BAF131001}"/>
    <cellStyle name="Vírgula 5 2 4 2 2 3 3" xfId="3714" xr:uid="{9921730E-B7B8-41FF-923E-40FED8F31988}"/>
    <cellStyle name="Vírgula 5 2 4 2 2 3 4" xfId="8067" xr:uid="{024F1E58-910A-482D-A0ED-578FB264AA8B}"/>
    <cellStyle name="Vírgula 5 2 4 2 2 4" xfId="3715" xr:uid="{9FE9A7D4-2678-454D-83D9-C3F87C901098}"/>
    <cellStyle name="Vírgula 5 2 4 2 2 4 2" xfId="3716" xr:uid="{6E45C912-2C6E-4121-949A-C52229CF0D84}"/>
    <cellStyle name="Vírgula 5 2 4 2 2 4 3" xfId="8069" xr:uid="{8D6346BF-6D29-4CDB-BDEA-F5F8E091DD4B}"/>
    <cellStyle name="Vírgula 5 2 4 2 2 5" xfId="3717" xr:uid="{6298B10E-789F-43D5-8E8D-9938B3958E2B}"/>
    <cellStyle name="Vírgula 5 2 4 2 2 6" xfId="8064" xr:uid="{84CFB0C5-87CE-4E42-82AE-DB09C532FD0D}"/>
    <cellStyle name="Vírgula 5 2 4 2 3" xfId="3718" xr:uid="{AB748617-7640-418B-B1AB-9F8DFC490035}"/>
    <cellStyle name="Vírgula 5 2 4 2 3 2" xfId="3719" xr:uid="{9E5BD27B-C4E2-43BA-8100-B311A5063E1D}"/>
    <cellStyle name="Vírgula 5 2 4 2 3 2 2" xfId="3720" xr:uid="{D29833BB-43A3-471B-AA3D-65ED1442A332}"/>
    <cellStyle name="Vírgula 5 2 4 2 3 2 3" xfId="8071" xr:uid="{67A5B2EA-685D-467E-855E-EFDE1D15B7CB}"/>
    <cellStyle name="Vírgula 5 2 4 2 3 3" xfId="3721" xr:uid="{14FE7894-F763-4AD3-ABD3-1CEAF943A5F0}"/>
    <cellStyle name="Vírgula 5 2 4 2 3 4" xfId="8070" xr:uid="{B7BD983E-754B-4F8B-869A-0E46FFA0E15B}"/>
    <cellStyle name="Vírgula 5 2 4 2 4" xfId="3722" xr:uid="{1E8722F8-2764-4E5A-AFA6-ADFEB2D15DE5}"/>
    <cellStyle name="Vírgula 5 2 4 2 4 2" xfId="3723" xr:uid="{734A02FE-E03E-4D5C-95D7-4AAF6895C9DE}"/>
    <cellStyle name="Vírgula 5 2 4 2 4 2 2" xfId="3724" xr:uid="{BC27C3D2-A70F-48CC-9A23-A65D5823C704}"/>
    <cellStyle name="Vírgula 5 2 4 2 4 2 3" xfId="8073" xr:uid="{A0B63B4E-A57A-4A93-9AE8-34C38DFC2BBE}"/>
    <cellStyle name="Vírgula 5 2 4 2 4 3" xfId="3725" xr:uid="{0E9458F8-B6A4-48A7-AB78-1E5B1218F783}"/>
    <cellStyle name="Vírgula 5 2 4 2 4 4" xfId="8072" xr:uid="{64EFF764-85EC-4F7F-B48B-7C3CC09F127B}"/>
    <cellStyle name="Vírgula 5 2 4 2 5" xfId="3726" xr:uid="{B99395D4-E087-4DE4-86FB-B10F560B4207}"/>
    <cellStyle name="Vírgula 5 2 4 2 5 2" xfId="3727" xr:uid="{EAD8753B-28C5-443A-BF8C-BC62E644B8BF}"/>
    <cellStyle name="Vírgula 5 2 4 2 5 3" xfId="8074" xr:uid="{835206FE-6DFC-495C-BC48-AA6E9F23E195}"/>
    <cellStyle name="Vírgula 5 2 4 2 6" xfId="3728" xr:uid="{33FBF147-1AED-48B2-BFE0-0D32B9F84245}"/>
    <cellStyle name="Vírgula 5 2 4 2 7" xfId="8063" xr:uid="{4EE62581-9F17-4BD2-A3EE-012139F3A401}"/>
    <cellStyle name="Vírgula 5 2 4 3" xfId="3729" xr:uid="{8603B019-1769-4260-BE3C-CEC223F075DC}"/>
    <cellStyle name="Vírgula 5 2 4 3 2" xfId="3730" xr:uid="{284EF9A8-A535-4D72-A66A-33BA77BD5A56}"/>
    <cellStyle name="Vírgula 5 2 4 3 2 2" xfId="3731" xr:uid="{30D431EA-6C2A-46C3-ADAE-EDBC1B18D6D3}"/>
    <cellStyle name="Vírgula 5 2 4 3 2 2 2" xfId="3732" xr:uid="{FE2D1189-C7F1-452C-A691-4F870F579F67}"/>
    <cellStyle name="Vírgula 5 2 4 3 2 2 2 2" xfId="3733" xr:uid="{8147D969-B985-475E-BA00-9C193B790E8E}"/>
    <cellStyle name="Vírgula 5 2 4 3 2 2 2 3" xfId="8078" xr:uid="{F6C1FA15-8593-42CF-9010-E8723700F81C}"/>
    <cellStyle name="Vírgula 5 2 4 3 2 2 3" xfId="3734" xr:uid="{32B3865B-87AE-46D3-A3F2-9FB30C754902}"/>
    <cellStyle name="Vírgula 5 2 4 3 2 2 4" xfId="8077" xr:uid="{60E29F32-710D-4CEF-AE3A-B54268A9D0EB}"/>
    <cellStyle name="Vírgula 5 2 4 3 2 3" xfId="3735" xr:uid="{F03C3087-65A5-41A6-9F2E-E44C9A653866}"/>
    <cellStyle name="Vírgula 5 2 4 3 2 3 2" xfId="3736" xr:uid="{8E826D58-C119-4DB8-84CC-D82D967B5ED6}"/>
    <cellStyle name="Vírgula 5 2 4 3 2 3 2 2" xfId="3737" xr:uid="{E5BE5D14-11D0-4D5E-B7FF-56FC34DB921B}"/>
    <cellStyle name="Vírgula 5 2 4 3 2 3 2 3" xfId="8080" xr:uid="{EF2D0F00-C730-450E-83AE-902E9E35D8CE}"/>
    <cellStyle name="Vírgula 5 2 4 3 2 3 3" xfId="3738" xr:uid="{D01B4419-D7E0-41CB-B8F8-D2D7D4616F40}"/>
    <cellStyle name="Vírgula 5 2 4 3 2 3 4" xfId="8079" xr:uid="{FB2EB512-8324-4F58-9F59-2C274690EF1F}"/>
    <cellStyle name="Vírgula 5 2 4 3 2 4" xfId="3739" xr:uid="{C20F7703-CA75-4903-83C2-ADEEB02EB7FE}"/>
    <cellStyle name="Vírgula 5 2 4 3 2 4 2" xfId="3740" xr:uid="{7C90E4EF-9218-444E-88FA-2B130251BCC4}"/>
    <cellStyle name="Vírgula 5 2 4 3 2 4 3" xfId="8081" xr:uid="{B1DB55EA-5A5C-4F32-8EF2-8527E6F9C91D}"/>
    <cellStyle name="Vírgula 5 2 4 3 2 5" xfId="3741" xr:uid="{9A59D174-28C9-4A0F-9136-5A35B00A108C}"/>
    <cellStyle name="Vírgula 5 2 4 3 2 6" xfId="8076" xr:uid="{0B661B62-D397-4B12-8EE5-C2E93B52AD82}"/>
    <cellStyle name="Vírgula 5 2 4 3 3" xfId="3742" xr:uid="{E1C1206C-CD4F-43ED-947D-61B0307BA8BA}"/>
    <cellStyle name="Vírgula 5 2 4 3 3 2" xfId="3743" xr:uid="{266B0B10-A3F8-490E-BA18-74D87454539B}"/>
    <cellStyle name="Vírgula 5 2 4 3 3 2 2" xfId="3744" xr:uid="{8038AD99-5389-4C5B-96C6-B36ADB20C280}"/>
    <cellStyle name="Vírgula 5 2 4 3 3 2 3" xfId="8083" xr:uid="{3316BD9E-F3FB-4239-B95B-D1F06DF354E6}"/>
    <cellStyle name="Vírgula 5 2 4 3 3 3" xfId="3745" xr:uid="{1F5141B2-86D4-42F0-B5E8-78E57AAF6C0A}"/>
    <cellStyle name="Vírgula 5 2 4 3 3 4" xfId="8082" xr:uid="{5B5CC51B-029D-4FAE-A666-B6ACF9536336}"/>
    <cellStyle name="Vírgula 5 2 4 3 4" xfId="3746" xr:uid="{31C67343-0639-4FA9-B493-BA9C8180B63E}"/>
    <cellStyle name="Vírgula 5 2 4 3 4 2" xfId="3747" xr:uid="{5A440229-F011-4C58-A599-AF458EDFC9C4}"/>
    <cellStyle name="Vírgula 5 2 4 3 4 2 2" xfId="3748" xr:uid="{BF2135F3-02C3-4FA7-9486-D3B863CC8395}"/>
    <cellStyle name="Vírgula 5 2 4 3 4 2 3" xfId="8085" xr:uid="{9187501F-5907-4562-B3E1-CFBB3F1C7B99}"/>
    <cellStyle name="Vírgula 5 2 4 3 4 3" xfId="3749" xr:uid="{D99B01CC-24A9-4F61-B425-1B3BB3DDAD1C}"/>
    <cellStyle name="Vírgula 5 2 4 3 4 4" xfId="8084" xr:uid="{B9872CBB-EBB6-4D32-863A-11AD86693CB1}"/>
    <cellStyle name="Vírgula 5 2 4 3 5" xfId="3750" xr:uid="{45CEDE46-3E58-4F7F-BBAB-B22458DD003A}"/>
    <cellStyle name="Vírgula 5 2 4 3 5 2" xfId="3751" xr:uid="{83C6A446-FB41-4634-B262-CDF1ED40EC4B}"/>
    <cellStyle name="Vírgula 5 2 4 3 5 3" xfId="8086" xr:uid="{B0ACF045-611C-4B09-AF24-01F615F76F86}"/>
    <cellStyle name="Vírgula 5 2 4 3 6" xfId="3752" xr:uid="{3A10F072-CF05-476A-8AFA-336FBE8B1E1A}"/>
    <cellStyle name="Vírgula 5 2 4 3 7" xfId="8075" xr:uid="{BDBD7CE2-F4FD-4376-8488-6439A7DCD8E0}"/>
    <cellStyle name="Vírgula 5 2 4 4" xfId="3753" xr:uid="{1907F6CE-A1BC-450C-B60C-2DD04E14F162}"/>
    <cellStyle name="Vírgula 5 2 4 4 2" xfId="3754" xr:uid="{A72758F0-7557-4B78-881F-F0D2C65EA88A}"/>
    <cellStyle name="Vírgula 5 2 4 4 2 2" xfId="3755" xr:uid="{497C3B17-0FE9-4D6A-801E-8ADFFDA23EF2}"/>
    <cellStyle name="Vírgula 5 2 4 4 2 2 2" xfId="3756" xr:uid="{9716CEAB-9015-42D5-86EB-3E1C514C57E2}"/>
    <cellStyle name="Vírgula 5 2 4 4 2 2 3" xfId="8089" xr:uid="{DC19E40B-1B4E-444F-80AB-5866C674EBC0}"/>
    <cellStyle name="Vírgula 5 2 4 4 2 3" xfId="3757" xr:uid="{906640CE-FC28-4630-B7B6-FB9B16FFDF1A}"/>
    <cellStyle name="Vírgula 5 2 4 4 2 4" xfId="8088" xr:uid="{E12AE9EE-4BAA-4163-A0CD-69BB28CB88E1}"/>
    <cellStyle name="Vírgula 5 2 4 4 3" xfId="3758" xr:uid="{E4BB197C-242B-4493-A987-803E506B798B}"/>
    <cellStyle name="Vírgula 5 2 4 4 3 2" xfId="3759" xr:uid="{8B64FB64-D5F1-44A0-ACBB-90E960AED091}"/>
    <cellStyle name="Vírgula 5 2 4 4 3 2 2" xfId="3760" xr:uid="{19108ABD-8D13-4CD7-8318-D9FA2B8EDD39}"/>
    <cellStyle name="Vírgula 5 2 4 4 3 2 3" xfId="8091" xr:uid="{DF36199D-2786-4F22-B743-4CF28A92755E}"/>
    <cellStyle name="Vírgula 5 2 4 4 3 3" xfId="3761" xr:uid="{F9957816-DFE3-4B83-A247-22C85B63E3A3}"/>
    <cellStyle name="Vírgula 5 2 4 4 3 4" xfId="8090" xr:uid="{6FE0591D-68FA-4BD4-A163-7BE223E2228D}"/>
    <cellStyle name="Vírgula 5 2 4 4 4" xfId="3762" xr:uid="{FF4A134E-117F-4490-ACBB-8C13A620386C}"/>
    <cellStyle name="Vírgula 5 2 4 4 4 2" xfId="3763" xr:uid="{22F59C83-FCFB-4640-A376-5F853AE0CFBD}"/>
    <cellStyle name="Vírgula 5 2 4 4 4 3" xfId="8092" xr:uid="{D28C9B33-B39D-4B28-8191-1F9F884AAEB7}"/>
    <cellStyle name="Vírgula 5 2 4 4 5" xfId="3764" xr:uid="{B69638CE-95ED-42C9-9D8E-B43FDCC962DB}"/>
    <cellStyle name="Vírgula 5 2 4 4 6" xfId="8087" xr:uid="{6882F661-C516-4C74-A460-4C07FBBBD331}"/>
    <cellStyle name="Vírgula 5 2 4 5" xfId="3765" xr:uid="{3A37E2A8-E5E6-4381-8E22-6F304F02F976}"/>
    <cellStyle name="Vírgula 5 2 4 5 2" xfId="3766" xr:uid="{B479A5FD-CFF4-41C6-8EDE-43D5FE3194C7}"/>
    <cellStyle name="Vírgula 5 2 4 5 2 2" xfId="3767" xr:uid="{8586A3D1-4F9E-420D-82C4-DFACD7E3504F}"/>
    <cellStyle name="Vírgula 5 2 4 5 2 3" xfId="8094" xr:uid="{E392A689-04C4-445D-8290-2A14F01221A7}"/>
    <cellStyle name="Vírgula 5 2 4 5 3" xfId="3768" xr:uid="{025D9060-1273-4512-BCB1-9821D52E85A7}"/>
    <cellStyle name="Vírgula 5 2 4 5 4" xfId="8093" xr:uid="{042C62F1-A234-4380-9B82-241E7420E48B}"/>
    <cellStyle name="Vírgula 5 2 4 6" xfId="3769" xr:uid="{E0A32D29-CCE3-4393-A3A5-2C1E1EE2D69C}"/>
    <cellStyle name="Vírgula 5 2 4 6 2" xfId="3770" xr:uid="{B34859A9-BBF8-4046-87CF-9026BF07D519}"/>
    <cellStyle name="Vírgula 5 2 4 6 2 2" xfId="3771" xr:uid="{9C6CD331-5EF7-4ABF-948A-E1E6C6309035}"/>
    <cellStyle name="Vírgula 5 2 4 6 2 3" xfId="8096" xr:uid="{3D1A9FDF-B917-4421-A7DC-2568D12D661A}"/>
    <cellStyle name="Vírgula 5 2 4 6 3" xfId="3772" xr:uid="{73E7003C-27FA-4116-B152-8F56B72F4B26}"/>
    <cellStyle name="Vírgula 5 2 4 6 4" xfId="8095" xr:uid="{4795FD8E-BF8C-419E-A1D0-04B45A626094}"/>
    <cellStyle name="Vírgula 5 2 4 7" xfId="3773" xr:uid="{4A85A0DD-DC20-4B98-85D9-AE10D8DEB077}"/>
    <cellStyle name="Vírgula 5 2 4 7 2" xfId="3774" xr:uid="{86EAA0D9-D50C-4B39-AEC5-61A4348B178F}"/>
    <cellStyle name="Vírgula 5 2 4 7 3" xfId="8097" xr:uid="{2F3BBBDA-7A97-442F-B694-677329774913}"/>
    <cellStyle name="Vírgula 5 2 4 8" xfId="3775" xr:uid="{D32B5BDC-3AF7-4169-AE2D-B954F38CAC59}"/>
    <cellStyle name="Vírgula 5 2 4 9" xfId="8062" xr:uid="{81118080-551B-4DCE-8D29-3A3F6650D3DA}"/>
    <cellStyle name="Vírgula 5 2 5" xfId="3776" xr:uid="{15F0F046-578C-4BC5-AE8D-143C0B43286E}"/>
    <cellStyle name="Vírgula 5 2 5 2" xfId="3777" xr:uid="{3C089EE6-DF9D-4249-A8DA-9780837732BB}"/>
    <cellStyle name="Vírgula 5 2 5 2 2" xfId="3778" xr:uid="{5AD9BCE5-DC5E-4CD0-BB55-1B0510203817}"/>
    <cellStyle name="Vírgula 5 2 5 2 2 2" xfId="3779" xr:uid="{EFA600BB-8414-4227-A5AA-280956B36549}"/>
    <cellStyle name="Vírgula 5 2 5 2 2 2 2" xfId="3780" xr:uid="{9F726096-7804-4312-8B5F-3802BB84B23B}"/>
    <cellStyle name="Vírgula 5 2 5 2 2 2 2 2" xfId="3781" xr:uid="{8AD62913-0C47-4E06-9227-FF44020090D8}"/>
    <cellStyle name="Vírgula 5 2 5 2 2 2 2 3" xfId="8102" xr:uid="{C94D7E59-D6DC-4504-A810-9B6D5E05B16A}"/>
    <cellStyle name="Vírgula 5 2 5 2 2 2 3" xfId="3782" xr:uid="{B2C5CAA1-C497-4333-8518-D1AEDDBC57AC}"/>
    <cellStyle name="Vírgula 5 2 5 2 2 2 4" xfId="8101" xr:uid="{F28F3962-6C2F-41B5-B23E-0B01750FDC36}"/>
    <cellStyle name="Vírgula 5 2 5 2 2 3" xfId="3783" xr:uid="{0436FCF2-0F6D-4FDE-8AFA-BBDAE6C2231A}"/>
    <cellStyle name="Vírgula 5 2 5 2 2 3 2" xfId="3784" xr:uid="{FAC55D92-C47B-47D3-B610-D63CDDC22005}"/>
    <cellStyle name="Vírgula 5 2 5 2 2 3 2 2" xfId="3785" xr:uid="{BFDA4C66-C2DC-4E75-931A-ED28D2BDD2F2}"/>
    <cellStyle name="Vírgula 5 2 5 2 2 3 2 3" xfId="8104" xr:uid="{3988543B-5DAB-4B92-A5B3-7357BDE21739}"/>
    <cellStyle name="Vírgula 5 2 5 2 2 3 3" xfId="3786" xr:uid="{058823B7-0A55-4676-8311-C39CAA464B7E}"/>
    <cellStyle name="Vírgula 5 2 5 2 2 3 4" xfId="8103" xr:uid="{B5E60516-1291-4958-939D-78D574BFFD0D}"/>
    <cellStyle name="Vírgula 5 2 5 2 2 4" xfId="3787" xr:uid="{FA97E4F4-2F0A-4376-931E-B79B0EBBF2FE}"/>
    <cellStyle name="Vírgula 5 2 5 2 2 4 2" xfId="3788" xr:uid="{749345B9-0643-4AED-80C8-F7E9C8758401}"/>
    <cellStyle name="Vírgula 5 2 5 2 2 4 3" xfId="8105" xr:uid="{73A6DD74-2828-47BF-9C8A-B7186A428688}"/>
    <cellStyle name="Vírgula 5 2 5 2 2 5" xfId="3789" xr:uid="{6501A07A-EDAA-4AA0-88C0-C91D76D3017D}"/>
    <cellStyle name="Vírgula 5 2 5 2 2 6" xfId="8100" xr:uid="{BC3757FC-C2F7-48C9-83ED-58AA81321D1A}"/>
    <cellStyle name="Vírgula 5 2 5 2 3" xfId="3790" xr:uid="{C9C3D068-B341-45B1-985F-BE4BA7476445}"/>
    <cellStyle name="Vírgula 5 2 5 2 3 2" xfId="3791" xr:uid="{CBE3B26C-29CD-4CFF-9E7E-D5B5B2E96D58}"/>
    <cellStyle name="Vírgula 5 2 5 2 3 2 2" xfId="3792" xr:uid="{DA300749-BB24-4276-A197-3BB7201CFCF2}"/>
    <cellStyle name="Vírgula 5 2 5 2 3 2 3" xfId="8107" xr:uid="{F3F322A7-1AC1-421F-9BA3-9894D148253A}"/>
    <cellStyle name="Vírgula 5 2 5 2 3 3" xfId="3793" xr:uid="{F8E3730C-61FF-4D93-8696-75AFCDFB3E29}"/>
    <cellStyle name="Vírgula 5 2 5 2 3 4" xfId="8106" xr:uid="{7FB50120-CC67-49C2-A285-357E9B7A728C}"/>
    <cellStyle name="Vírgula 5 2 5 2 4" xfId="3794" xr:uid="{98CE00EF-05CD-4B3B-ADD4-6A2D94DA9276}"/>
    <cellStyle name="Vírgula 5 2 5 2 4 2" xfId="3795" xr:uid="{44210BFF-77FA-4572-9CAB-4D6BF59D1789}"/>
    <cellStyle name="Vírgula 5 2 5 2 4 2 2" xfId="3796" xr:uid="{3A76CCD5-2772-4C4E-B1FC-3532A9F9CFEE}"/>
    <cellStyle name="Vírgula 5 2 5 2 4 2 3" xfId="8109" xr:uid="{58017B9F-74AD-4565-8435-8928B1DE5143}"/>
    <cellStyle name="Vírgula 5 2 5 2 4 3" xfId="3797" xr:uid="{88A49EE5-3818-4812-AD29-A1F6AC20D21C}"/>
    <cellStyle name="Vírgula 5 2 5 2 4 4" xfId="8108" xr:uid="{CF37784C-FECE-49CA-8FBF-C52C0373FF13}"/>
    <cellStyle name="Vírgula 5 2 5 2 5" xfId="3798" xr:uid="{CB5BC3D1-A29B-46ED-8B2B-CC2D0E565909}"/>
    <cellStyle name="Vírgula 5 2 5 2 5 2" xfId="3799" xr:uid="{CEDB1923-C82C-433E-8985-2B34200DDC90}"/>
    <cellStyle name="Vírgula 5 2 5 2 5 3" xfId="8110" xr:uid="{4D9BE6E5-E7B1-42CF-9B52-99567F42D3E4}"/>
    <cellStyle name="Vírgula 5 2 5 2 6" xfId="3800" xr:uid="{1535242E-3EBB-44BD-86B9-AFCFD5BD46AD}"/>
    <cellStyle name="Vírgula 5 2 5 2 7" xfId="8099" xr:uid="{46E39903-72F9-4C0B-BA94-0722257F02F2}"/>
    <cellStyle name="Vírgula 5 2 5 3" xfId="3801" xr:uid="{3250BFEA-CA29-4DFF-9695-9AAC92B23E2E}"/>
    <cellStyle name="Vírgula 5 2 5 3 2" xfId="3802" xr:uid="{4A490C41-3513-4180-82CF-F713C5A89DC7}"/>
    <cellStyle name="Vírgula 5 2 5 3 2 2" xfId="3803" xr:uid="{532F9484-0D00-4B98-8757-0FA34CEC8DE7}"/>
    <cellStyle name="Vírgula 5 2 5 3 2 2 2" xfId="3804" xr:uid="{A793EC2B-514A-40D2-B15E-A5D5EBB64A19}"/>
    <cellStyle name="Vírgula 5 2 5 3 2 2 2 2" xfId="3805" xr:uid="{CC764628-5EDB-44E5-B20B-3E668C0919AC}"/>
    <cellStyle name="Vírgula 5 2 5 3 2 2 2 3" xfId="8114" xr:uid="{6DFFE88C-730E-4777-A674-406FE182AD7E}"/>
    <cellStyle name="Vírgula 5 2 5 3 2 2 3" xfId="3806" xr:uid="{22B34C59-043B-4424-8DFD-BA3918831B77}"/>
    <cellStyle name="Vírgula 5 2 5 3 2 2 4" xfId="8113" xr:uid="{BB4F43D1-9DE7-44E9-89D7-C43B8CEE6747}"/>
    <cellStyle name="Vírgula 5 2 5 3 2 3" xfId="3807" xr:uid="{BB417F1C-F01E-4862-A137-989E9E369556}"/>
    <cellStyle name="Vírgula 5 2 5 3 2 3 2" xfId="3808" xr:uid="{6B77A2F0-9C7B-445B-8A60-602E53F57B53}"/>
    <cellStyle name="Vírgula 5 2 5 3 2 3 2 2" xfId="3809" xr:uid="{9BB05C15-67CC-419B-A8FD-23796C374548}"/>
    <cellStyle name="Vírgula 5 2 5 3 2 3 2 3" xfId="8116" xr:uid="{938229C2-DE4D-464D-A800-C7E75DBEA15A}"/>
    <cellStyle name="Vírgula 5 2 5 3 2 3 3" xfId="3810" xr:uid="{98FB9BE0-1EAF-443B-B3D2-A6F5DB32417A}"/>
    <cellStyle name="Vírgula 5 2 5 3 2 3 4" xfId="8115" xr:uid="{7AD1377F-E32D-4638-BAC0-3FA8D931E400}"/>
    <cellStyle name="Vírgula 5 2 5 3 2 4" xfId="3811" xr:uid="{140DF600-AC5A-44ED-9245-30C2B94E82D4}"/>
    <cellStyle name="Vírgula 5 2 5 3 2 4 2" xfId="3812" xr:uid="{F544DF6C-5A04-48FA-86C5-30D4B278881E}"/>
    <cellStyle name="Vírgula 5 2 5 3 2 4 3" xfId="8117" xr:uid="{5FC5D9CD-CF31-4F2C-BDFA-19D6CF8C4B3C}"/>
    <cellStyle name="Vírgula 5 2 5 3 2 5" xfId="3813" xr:uid="{C90E04C1-EC6D-44BA-B652-24E3E712789C}"/>
    <cellStyle name="Vírgula 5 2 5 3 2 6" xfId="8112" xr:uid="{6CED5D7B-0B25-4AA2-A70B-4AB8FE1FA3EA}"/>
    <cellStyle name="Vírgula 5 2 5 3 3" xfId="3814" xr:uid="{D4144090-7531-425B-AC45-2B9E7F2479ED}"/>
    <cellStyle name="Vírgula 5 2 5 3 3 2" xfId="3815" xr:uid="{34DCDCF7-4357-40A2-91ED-CABE7B779A8E}"/>
    <cellStyle name="Vírgula 5 2 5 3 3 2 2" xfId="3816" xr:uid="{F2DD9D17-B75A-4D46-91FE-956CBB49886F}"/>
    <cellStyle name="Vírgula 5 2 5 3 3 2 3" xfId="8119" xr:uid="{CC896FFE-3010-466A-8E9B-B3ADA88B1742}"/>
    <cellStyle name="Vírgula 5 2 5 3 3 3" xfId="3817" xr:uid="{30608359-50E2-4CFA-8C95-8D45FA38C880}"/>
    <cellStyle name="Vírgula 5 2 5 3 3 4" xfId="8118" xr:uid="{7E1769A1-573E-4AE3-84C8-30E273D509E8}"/>
    <cellStyle name="Vírgula 5 2 5 3 4" xfId="3818" xr:uid="{BEA0C9BB-FF4A-4D56-8A16-F10BD5E8B099}"/>
    <cellStyle name="Vírgula 5 2 5 3 4 2" xfId="3819" xr:uid="{58F64EBC-5D0B-4CF0-A9CD-23975887B61F}"/>
    <cellStyle name="Vírgula 5 2 5 3 4 2 2" xfId="3820" xr:uid="{D67BC77B-1A56-49B2-AEF0-00EF57FEB479}"/>
    <cellStyle name="Vírgula 5 2 5 3 4 2 3" xfId="8121" xr:uid="{D73B3785-46DD-40C7-902C-6BF2C82EBF14}"/>
    <cellStyle name="Vírgula 5 2 5 3 4 3" xfId="3821" xr:uid="{CED30AAB-652B-4F42-9F49-16E8E6FC0AD8}"/>
    <cellStyle name="Vírgula 5 2 5 3 4 4" xfId="8120" xr:uid="{88585F75-C0DD-4C84-B219-626AB6E37370}"/>
    <cellStyle name="Vírgula 5 2 5 3 5" xfId="3822" xr:uid="{6F0B5380-74E5-4ABA-A2BD-8BE2B6057914}"/>
    <cellStyle name="Vírgula 5 2 5 3 5 2" xfId="3823" xr:uid="{8EE5F541-B6FC-4097-B6D4-721FD9015958}"/>
    <cellStyle name="Vírgula 5 2 5 3 5 3" xfId="8122" xr:uid="{11636D2C-DBC8-470C-965E-03CC4D5D6D15}"/>
    <cellStyle name="Vírgula 5 2 5 3 6" xfId="3824" xr:uid="{3D05DBAB-FFCE-4C67-B2B4-037114F4843A}"/>
    <cellStyle name="Vírgula 5 2 5 3 7" xfId="8111" xr:uid="{0C993E45-D0A2-40C7-BDCD-D1736EB9261C}"/>
    <cellStyle name="Vírgula 5 2 5 4" xfId="3825" xr:uid="{4E0117CC-4E76-415A-B629-ABAC87496BC0}"/>
    <cellStyle name="Vírgula 5 2 5 4 2" xfId="3826" xr:uid="{F954CD57-F818-417B-8EE7-C4A0E7CD9CF1}"/>
    <cellStyle name="Vírgula 5 2 5 4 2 2" xfId="3827" xr:uid="{39690E52-A021-485E-A27C-626F0AE2E3DF}"/>
    <cellStyle name="Vírgula 5 2 5 4 2 2 2" xfId="3828" xr:uid="{43465210-64D4-446B-B8A3-5CCF2C9EF665}"/>
    <cellStyle name="Vírgula 5 2 5 4 2 2 3" xfId="8125" xr:uid="{104EE27F-45C8-412B-B2E0-3901503A0D84}"/>
    <cellStyle name="Vírgula 5 2 5 4 2 3" xfId="3829" xr:uid="{3ACC06FB-9A13-40F4-BBE4-BA06007870F9}"/>
    <cellStyle name="Vírgula 5 2 5 4 2 4" xfId="8124" xr:uid="{237ECD4A-7615-47FC-B7F2-2C89B9DFB1AC}"/>
    <cellStyle name="Vírgula 5 2 5 4 3" xfId="3830" xr:uid="{D9B9ADBC-F335-4E8F-8E17-70AE52FB592E}"/>
    <cellStyle name="Vírgula 5 2 5 4 3 2" xfId="3831" xr:uid="{697B17FB-63A6-4FC8-A3D6-B45B48283890}"/>
    <cellStyle name="Vírgula 5 2 5 4 3 2 2" xfId="3832" xr:uid="{F684EA18-03A8-4A95-9135-48A52DB12588}"/>
    <cellStyle name="Vírgula 5 2 5 4 3 2 3" xfId="8127" xr:uid="{93FCE942-F05B-4EC2-9A21-3A95E9F5379B}"/>
    <cellStyle name="Vírgula 5 2 5 4 3 3" xfId="3833" xr:uid="{3513F14D-DB2D-447B-AE4E-E25FA71F1418}"/>
    <cellStyle name="Vírgula 5 2 5 4 3 4" xfId="8126" xr:uid="{66CDE730-6B0A-4E0A-BD17-95E8FF5E88B0}"/>
    <cellStyle name="Vírgula 5 2 5 4 4" xfId="3834" xr:uid="{FA5C44C2-35CA-48EE-8987-D1C9F207CA62}"/>
    <cellStyle name="Vírgula 5 2 5 4 4 2" xfId="3835" xr:uid="{D02475D5-C7F5-4CBB-B22C-5BE674E5875E}"/>
    <cellStyle name="Vírgula 5 2 5 4 4 3" xfId="8128" xr:uid="{ECA5BF12-4EE2-43EA-BB73-71A84AD6DB5C}"/>
    <cellStyle name="Vírgula 5 2 5 4 5" xfId="3836" xr:uid="{DBC278FF-4194-47FB-9DD6-BD2B8D9ED69F}"/>
    <cellStyle name="Vírgula 5 2 5 4 6" xfId="8123" xr:uid="{E22E2BEF-6F7E-4A28-A5FC-3A984328A831}"/>
    <cellStyle name="Vírgula 5 2 5 5" xfId="3837" xr:uid="{60069412-3091-45D2-9C6E-2D7351F099B8}"/>
    <cellStyle name="Vírgula 5 2 5 5 2" xfId="3838" xr:uid="{FA5D1527-560D-4F4D-92B8-4773FD9EE23F}"/>
    <cellStyle name="Vírgula 5 2 5 5 2 2" xfId="3839" xr:uid="{C05534AC-A2C5-493D-804E-13EE034FB162}"/>
    <cellStyle name="Vírgula 5 2 5 5 2 3" xfId="8130" xr:uid="{96358330-4FD5-4FE2-BD3D-6D62F246AB48}"/>
    <cellStyle name="Vírgula 5 2 5 5 3" xfId="3840" xr:uid="{47CE3522-44B6-45F2-BBBC-50397D5DFD78}"/>
    <cellStyle name="Vírgula 5 2 5 5 4" xfId="8129" xr:uid="{5E92879F-C448-49BC-9C61-FB98EA332F55}"/>
    <cellStyle name="Vírgula 5 2 5 6" xfId="3841" xr:uid="{6990D842-3C7F-4723-BEFA-DA9358819970}"/>
    <cellStyle name="Vírgula 5 2 5 6 2" xfId="3842" xr:uid="{20A33AC5-0206-49DF-B764-81D4A71199E1}"/>
    <cellStyle name="Vírgula 5 2 5 6 2 2" xfId="3843" xr:uid="{33A32EDA-671D-44FC-808E-265B32D50085}"/>
    <cellStyle name="Vírgula 5 2 5 6 2 3" xfId="8132" xr:uid="{8298D51A-D489-4353-914C-3DC37F9CD431}"/>
    <cellStyle name="Vírgula 5 2 5 6 3" xfId="3844" xr:uid="{7527606F-F228-4EC1-96AD-7AA4C956CAC4}"/>
    <cellStyle name="Vírgula 5 2 5 6 4" xfId="8131" xr:uid="{38D3A09F-169E-4F5C-9CA2-6070BCCB0A7C}"/>
    <cellStyle name="Vírgula 5 2 5 7" xfId="3845" xr:uid="{2FFD0898-7D2C-46E6-A411-2DEF3F47F5B5}"/>
    <cellStyle name="Vírgula 5 2 5 7 2" xfId="3846" xr:uid="{B1328088-E2A1-4583-89FD-93DDAF87DB8C}"/>
    <cellStyle name="Vírgula 5 2 5 7 3" xfId="8133" xr:uid="{2DC1740A-F693-4209-9C2A-83DF9DBC0719}"/>
    <cellStyle name="Vírgula 5 2 5 8" xfId="3847" xr:uid="{4FE40ED3-BA10-4218-881B-3CD956C842F1}"/>
    <cellStyle name="Vírgula 5 2 5 9" xfId="8098" xr:uid="{15767A1C-7212-4168-AC85-DF161410F61D}"/>
    <cellStyle name="Vírgula 5 2 6" xfId="3848" xr:uid="{8CB51C98-D78F-4D96-894C-CCDA52941E15}"/>
    <cellStyle name="Vírgula 5 2 6 2" xfId="3849" xr:uid="{8A6C7B14-086F-4323-9095-910A2A92611E}"/>
    <cellStyle name="Vírgula 5 2 6 2 2" xfId="3850" xr:uid="{E619DE35-8357-4748-88D4-30CF11E8D40C}"/>
    <cellStyle name="Vírgula 5 2 6 2 2 2" xfId="3851" xr:uid="{C2683327-8F8C-4016-B36A-782F38D1B417}"/>
    <cellStyle name="Vírgula 5 2 6 2 2 2 2" xfId="3852" xr:uid="{E5160673-6A73-460B-80AD-1AFE231F1FB6}"/>
    <cellStyle name="Vírgula 5 2 6 2 2 2 3" xfId="8137" xr:uid="{509A69C7-E23D-4F07-929B-585F94A9A584}"/>
    <cellStyle name="Vírgula 5 2 6 2 2 3" xfId="3853" xr:uid="{4C17D30D-2EC9-42CE-B2FB-A9262E55A67A}"/>
    <cellStyle name="Vírgula 5 2 6 2 2 4" xfId="8136" xr:uid="{D988CA7E-2B25-4459-BD9B-B811F016543D}"/>
    <cellStyle name="Vírgula 5 2 6 2 3" xfId="3854" xr:uid="{B39B6414-4FB9-4E0A-AE9D-587260A6EBDC}"/>
    <cellStyle name="Vírgula 5 2 6 2 3 2" xfId="3855" xr:uid="{1938AEA7-75C1-4BE3-84DB-CC490C86B393}"/>
    <cellStyle name="Vírgula 5 2 6 2 3 2 2" xfId="3856" xr:uid="{B82708CB-A351-413A-8924-D9665EFB2B55}"/>
    <cellStyle name="Vírgula 5 2 6 2 3 2 3" xfId="8139" xr:uid="{0929D2ED-8132-45C1-98D3-157D6B5924D5}"/>
    <cellStyle name="Vírgula 5 2 6 2 3 3" xfId="3857" xr:uid="{FB3098DE-8005-4188-8567-5E95E08E2A54}"/>
    <cellStyle name="Vírgula 5 2 6 2 3 4" xfId="8138" xr:uid="{5A6283DA-F13E-44F2-A3DE-A7BFCF493D73}"/>
    <cellStyle name="Vírgula 5 2 6 2 4" xfId="3858" xr:uid="{364807F3-DF2B-43B8-817A-16254187D25C}"/>
    <cellStyle name="Vírgula 5 2 6 2 4 2" xfId="3859" xr:uid="{71AE3EF4-33F0-4DDA-9678-2A718E9F2B8A}"/>
    <cellStyle name="Vírgula 5 2 6 2 4 3" xfId="8140" xr:uid="{7A9179A6-48FB-4A0F-8CB9-C2EB440CD41B}"/>
    <cellStyle name="Vírgula 5 2 6 2 5" xfId="3860" xr:uid="{118C6184-CC7F-4BA6-8B90-2F72B570CBB0}"/>
    <cellStyle name="Vírgula 5 2 6 2 6" xfId="8135" xr:uid="{50506C8B-E568-40E4-8355-AB405BCE3088}"/>
    <cellStyle name="Vírgula 5 2 6 3" xfId="3861" xr:uid="{D7CAC1E9-6812-4168-894D-DE3C2C28FB40}"/>
    <cellStyle name="Vírgula 5 2 6 3 2" xfId="3862" xr:uid="{6DAA470E-2130-48AE-92C4-110D1A726D35}"/>
    <cellStyle name="Vírgula 5 2 6 3 2 2" xfId="3863" xr:uid="{D17C0714-E3B4-4109-8C62-07EFE202C7A0}"/>
    <cellStyle name="Vírgula 5 2 6 3 2 3" xfId="8142" xr:uid="{FCC9D04E-0186-4570-857A-B5CF1B2A4146}"/>
    <cellStyle name="Vírgula 5 2 6 3 3" xfId="3864" xr:uid="{724AFA44-5609-42CA-AC63-1FFE16FC6C18}"/>
    <cellStyle name="Vírgula 5 2 6 3 4" xfId="8141" xr:uid="{67B450BA-E430-4CBC-990D-D687320DD1B1}"/>
    <cellStyle name="Vírgula 5 2 6 4" xfId="3865" xr:uid="{20B58E99-EAB5-414C-BA99-CD7AA5DD7B8B}"/>
    <cellStyle name="Vírgula 5 2 6 4 2" xfId="3866" xr:uid="{F69545E6-9C56-466D-A32B-D843E05071B8}"/>
    <cellStyle name="Vírgula 5 2 6 4 2 2" xfId="3867" xr:uid="{06D65550-8F6B-4F23-B11F-02EAC2E500FB}"/>
    <cellStyle name="Vírgula 5 2 6 4 2 3" xfId="8144" xr:uid="{09A32F67-60EF-475E-8369-E06C4967B68D}"/>
    <cellStyle name="Vírgula 5 2 6 4 3" xfId="3868" xr:uid="{FCFEA321-B4D4-4C8B-8B7B-883F08E4E43F}"/>
    <cellStyle name="Vírgula 5 2 6 4 4" xfId="8143" xr:uid="{458F6FD3-0627-43C8-888A-EE02516F50EC}"/>
    <cellStyle name="Vírgula 5 2 6 5" xfId="3869" xr:uid="{C6CDF73D-F210-40BA-94DF-7363EDF3794B}"/>
    <cellStyle name="Vírgula 5 2 6 5 2" xfId="3870" xr:uid="{D1F8CED1-AFF8-4BB4-91B9-08E71C2303A8}"/>
    <cellStyle name="Vírgula 5 2 6 5 3" xfId="8145" xr:uid="{01F5AABC-D6B0-47D3-A147-B9634C9CD384}"/>
    <cellStyle name="Vírgula 5 2 6 6" xfId="3871" xr:uid="{7990B5B5-EDB9-44BA-83BB-70F97F595549}"/>
    <cellStyle name="Vírgula 5 2 6 7" xfId="8134" xr:uid="{FC8F1DC9-C7DD-4F7A-B747-352D5B390716}"/>
    <cellStyle name="Vírgula 5 2 7" xfId="3872" xr:uid="{09C22861-4A38-41F9-BF32-37EAEEF2D3BD}"/>
    <cellStyle name="Vírgula 5 2 7 2" xfId="3873" xr:uid="{45A6E8D8-4773-4C0A-91C4-D2442346A3C7}"/>
    <cellStyle name="Vírgula 5 2 7 2 2" xfId="3874" xr:uid="{048C0CFC-D8E6-46E0-BA8B-2B0475591BA7}"/>
    <cellStyle name="Vírgula 5 2 7 2 2 2" xfId="3875" xr:uid="{B4C995AD-9CE9-4BD4-989C-50DE0EC947AC}"/>
    <cellStyle name="Vírgula 5 2 7 2 2 2 2" xfId="3876" xr:uid="{B0D79AFB-A531-4210-95B6-43BE6387E54F}"/>
    <cellStyle name="Vírgula 5 2 7 2 2 2 3" xfId="8149" xr:uid="{F8BCDF16-6C6E-4152-A9FD-3DF9195DBFA2}"/>
    <cellStyle name="Vírgula 5 2 7 2 2 3" xfId="3877" xr:uid="{190200C9-C4E3-4E44-A928-709C8F22B068}"/>
    <cellStyle name="Vírgula 5 2 7 2 2 4" xfId="8148" xr:uid="{4BEAC4A2-B942-4CD7-855E-C0A6EF4E6A4D}"/>
    <cellStyle name="Vírgula 5 2 7 2 3" xfId="3878" xr:uid="{ABF415BB-0BFE-4D3A-AEF4-F551CE132952}"/>
    <cellStyle name="Vírgula 5 2 7 2 3 2" xfId="3879" xr:uid="{A57638AE-39FE-463C-A8A4-2BCD425C55BD}"/>
    <cellStyle name="Vírgula 5 2 7 2 3 2 2" xfId="3880" xr:uid="{D2E3FB4B-F1BB-4272-9354-AB01066C4AE7}"/>
    <cellStyle name="Vírgula 5 2 7 2 3 2 3" xfId="8151" xr:uid="{72DC3ADC-788B-4509-9D67-12FC5F0DE561}"/>
    <cellStyle name="Vírgula 5 2 7 2 3 3" xfId="3881" xr:uid="{8CB7F26C-052A-4F10-9799-3FF70A4B355D}"/>
    <cellStyle name="Vírgula 5 2 7 2 3 4" xfId="8150" xr:uid="{D4FA0EA0-5BC7-4422-A972-E456E51A8B7A}"/>
    <cellStyle name="Vírgula 5 2 7 2 4" xfId="3882" xr:uid="{A86D0C0D-7A3D-457E-9514-1B20CAADE557}"/>
    <cellStyle name="Vírgula 5 2 7 2 4 2" xfId="3883" xr:uid="{554ED072-CDAA-4188-91CE-CA9767AE8033}"/>
    <cellStyle name="Vírgula 5 2 7 2 4 3" xfId="8152" xr:uid="{1484B4D5-3DBD-4E8F-903C-37BB37F6AD86}"/>
    <cellStyle name="Vírgula 5 2 7 2 5" xfId="3884" xr:uid="{0F6CD0BB-90D9-4CC2-B80A-1E76D8E27C3E}"/>
    <cellStyle name="Vírgula 5 2 7 2 6" xfId="8147" xr:uid="{50A954D0-814C-4E77-8DA8-5B7EC3257AB1}"/>
    <cellStyle name="Vírgula 5 2 7 3" xfId="3885" xr:uid="{01C70E06-0221-474A-A81D-8B76D5395A2F}"/>
    <cellStyle name="Vírgula 5 2 7 3 2" xfId="3886" xr:uid="{61430CA0-1C17-4526-A49D-88141F13458D}"/>
    <cellStyle name="Vírgula 5 2 7 3 2 2" xfId="3887" xr:uid="{EDFB045B-CF2A-4FF2-988A-743737FC7CC7}"/>
    <cellStyle name="Vírgula 5 2 7 3 2 3" xfId="8154" xr:uid="{1F5C9FE6-E943-4484-806C-17A2C65415AA}"/>
    <cellStyle name="Vírgula 5 2 7 3 3" xfId="3888" xr:uid="{BB543DE0-5F05-420E-95DB-27AFEAF73CA5}"/>
    <cellStyle name="Vírgula 5 2 7 3 4" xfId="8153" xr:uid="{9348275A-0582-4915-8B7A-537FB7B043F5}"/>
    <cellStyle name="Vírgula 5 2 7 4" xfId="3889" xr:uid="{C68F8C10-ED64-434C-9922-90C560A7D8F6}"/>
    <cellStyle name="Vírgula 5 2 7 4 2" xfId="3890" xr:uid="{89441A4C-2AE5-4E21-86CC-AAEC3E7EE58F}"/>
    <cellStyle name="Vírgula 5 2 7 4 2 2" xfId="3891" xr:uid="{8A349518-3C74-49C2-9A00-A0FDC7ADCEA3}"/>
    <cellStyle name="Vírgula 5 2 7 4 2 3" xfId="8156" xr:uid="{B78DF231-307C-4BFE-8970-61D7CF39CA62}"/>
    <cellStyle name="Vírgula 5 2 7 4 3" xfId="3892" xr:uid="{92681521-3C30-40AD-967D-782EA2C10A69}"/>
    <cellStyle name="Vírgula 5 2 7 4 4" xfId="8155" xr:uid="{6E0AE341-E802-4185-AD22-C89349E550C1}"/>
    <cellStyle name="Vírgula 5 2 7 5" xfId="3893" xr:uid="{5F9FB6EC-C846-4FD3-8F1D-EBC42CE03ED5}"/>
    <cellStyle name="Vírgula 5 2 7 5 2" xfId="3894" xr:uid="{0EDA9AFD-D727-4D13-8A52-1DE3EA6AF72E}"/>
    <cellStyle name="Vírgula 5 2 7 5 3" xfId="8157" xr:uid="{1FA212FE-0EAA-4F2A-93EA-30C96E4C6835}"/>
    <cellStyle name="Vírgula 5 2 7 6" xfId="3895" xr:uid="{F7B00AD8-6297-4F19-BB18-1DB03BE715ED}"/>
    <cellStyle name="Vírgula 5 2 7 7" xfId="8146" xr:uid="{BB7E48BB-5EF2-4158-90E4-FE1D9C3530CA}"/>
    <cellStyle name="Vírgula 5 2 8" xfId="3896" xr:uid="{8D20B495-0B81-4EDA-B2A6-15AFEE958A82}"/>
    <cellStyle name="Vírgula 5 2 8 2" xfId="3897" xr:uid="{842B1134-8EAF-4FF8-B2F1-D7668C008B90}"/>
    <cellStyle name="Vírgula 5 2 8 2 2" xfId="3898" xr:uid="{1A60A4CC-1885-4F3F-B87B-7299B607C0F8}"/>
    <cellStyle name="Vírgula 5 2 8 2 2 2" xfId="3899" xr:uid="{5A249000-D1BF-4DF8-8A2E-A3FF6B4291C0}"/>
    <cellStyle name="Vírgula 5 2 8 2 2 3" xfId="8160" xr:uid="{F6668A02-F35F-4213-9E46-086B4AB50209}"/>
    <cellStyle name="Vírgula 5 2 8 2 3" xfId="3900" xr:uid="{FE2443B9-48F0-4C73-8A64-822EC2DBAC6D}"/>
    <cellStyle name="Vírgula 5 2 8 2 4" xfId="8159" xr:uid="{3A2CD3CF-2078-4EB6-A1BB-F44CB6E49E7C}"/>
    <cellStyle name="Vírgula 5 2 8 3" xfId="3901" xr:uid="{286EE2BF-356A-4AA4-9514-F45E6EF23A1E}"/>
    <cellStyle name="Vírgula 5 2 8 3 2" xfId="3902" xr:uid="{48611992-35CC-4042-9BBD-59E3BDBDD040}"/>
    <cellStyle name="Vírgula 5 2 8 3 2 2" xfId="3903" xr:uid="{4CF20ABF-2C9D-47C1-9621-E1A96E2B2011}"/>
    <cellStyle name="Vírgula 5 2 8 3 2 3" xfId="8162" xr:uid="{238C0B9E-D995-4DF9-BCDE-729DD594B6F9}"/>
    <cellStyle name="Vírgula 5 2 8 3 3" xfId="3904" xr:uid="{676235BB-99C6-4DB8-8732-596E59A5F8B4}"/>
    <cellStyle name="Vírgula 5 2 8 3 4" xfId="8161" xr:uid="{406D951D-FCDA-411A-BC1A-FD420F2D2CBC}"/>
    <cellStyle name="Vírgula 5 2 8 4" xfId="3905" xr:uid="{6C8891E0-E0D8-442D-9C89-FF9FA7BC940E}"/>
    <cellStyle name="Vírgula 5 2 8 4 2" xfId="3906" xr:uid="{44B16980-6848-4D3E-9CF2-B7E9AFF1AF73}"/>
    <cellStyle name="Vírgula 5 2 8 4 3" xfId="8163" xr:uid="{70E42FD5-4018-4FBF-826A-E7C64780DF4B}"/>
    <cellStyle name="Vírgula 5 2 8 5" xfId="3907" xr:uid="{6BEB5051-7BC1-41FC-A771-56BC8E694F78}"/>
    <cellStyle name="Vírgula 5 2 8 6" xfId="8158" xr:uid="{DE2D1798-5597-43DD-A2A6-A7A43FFF95BB}"/>
    <cellStyle name="Vírgula 5 2 9" xfId="3908" xr:uid="{F396238D-ADF6-4310-8A6D-4CA87B581F6D}"/>
    <cellStyle name="Vírgula 5 2 9 2" xfId="3909" xr:uid="{D26A8C7C-7124-489D-99D2-3160693D35FA}"/>
    <cellStyle name="Vírgula 5 2 9 2 2" xfId="3910" xr:uid="{D3620858-D3D6-4C86-A92B-7E7EFC090A27}"/>
    <cellStyle name="Vírgula 5 2 9 2 3" xfId="8165" xr:uid="{02988BBE-6853-4446-8897-0F7125F9A6E9}"/>
    <cellStyle name="Vírgula 5 2 9 3" xfId="3911" xr:uid="{5A39F043-B51F-4832-9F79-FCE56941273B}"/>
    <cellStyle name="Vírgula 5 2 9 4" xfId="8164" xr:uid="{89F98B15-32F9-4640-A12B-4BA7CC321096}"/>
    <cellStyle name="Vírgula 6" xfId="3912" xr:uid="{6836154B-3024-4F09-9661-CC5A149B5AA4}"/>
    <cellStyle name="Vírgula 6 2" xfId="3913" xr:uid="{908F19D1-2EB9-4A90-80BD-DD36A8833852}"/>
    <cellStyle name="Vírgula 6 2 10" xfId="3914" xr:uid="{D861ECFE-A650-4B55-9D56-E50F2F5F9FC0}"/>
    <cellStyle name="Vírgula 6 2 10 2" xfId="3915" xr:uid="{CE52A971-5023-4F9F-817E-79D57BCE187B}"/>
    <cellStyle name="Vírgula 6 2 10 2 2" xfId="3916" xr:uid="{5C9220EC-91D1-4D77-B8FC-C0A2DF559F18}"/>
    <cellStyle name="Vírgula 6 2 10 2 3" xfId="8168" xr:uid="{219AFB96-F3F3-472E-9217-0A90B4CD088E}"/>
    <cellStyle name="Vírgula 6 2 10 3" xfId="3917" xr:uid="{233D034E-030A-469A-A65B-B9F58AB1109B}"/>
    <cellStyle name="Vírgula 6 2 10 4" xfId="8167" xr:uid="{F95FDDE1-C98D-4283-9433-6DF0CDC5591B}"/>
    <cellStyle name="Vírgula 6 2 11" xfId="3918" xr:uid="{B671CEB6-4025-4142-B6AA-0F0AB2F39FCA}"/>
    <cellStyle name="Vírgula 6 2 11 2" xfId="3919" xr:uid="{F03C2558-0C2A-47A0-9368-C636DCD198A1}"/>
    <cellStyle name="Vírgula 6 2 11 3" xfId="8169" xr:uid="{7FAEE0F7-AF22-4DC6-9284-A4DC16A9E575}"/>
    <cellStyle name="Vírgula 6 2 12" xfId="3920" xr:uid="{D3390EE2-1DE6-4DB8-BAAA-73EACAA8412C}"/>
    <cellStyle name="Vírgula 6 2 13" xfId="8166" xr:uid="{56B2BC7E-D0AF-441C-8A1D-824D3713DACA}"/>
    <cellStyle name="Vírgula 6 2 2" xfId="3921" xr:uid="{321EEB32-DAF8-4F35-BD55-C4C79724A843}"/>
    <cellStyle name="Vírgula 6 2 2 10" xfId="3922" xr:uid="{D1BD163D-2305-4517-BD09-C7598AE206E7}"/>
    <cellStyle name="Vírgula 6 2 2 10 2" xfId="3923" xr:uid="{A1551781-7D87-4090-9303-700D6989E0E8}"/>
    <cellStyle name="Vírgula 6 2 2 10 3" xfId="8171" xr:uid="{3045973E-DD03-478A-AD50-C3BD5A827568}"/>
    <cellStyle name="Vírgula 6 2 2 11" xfId="3924" xr:uid="{035DF88A-9F54-4947-8F35-133407C7B875}"/>
    <cellStyle name="Vírgula 6 2 2 12" xfId="8170" xr:uid="{38036DC7-8198-4A75-A380-23CE7B890D77}"/>
    <cellStyle name="Vírgula 6 2 2 2" xfId="3925" xr:uid="{AF6DCEEB-5171-43E5-ACAB-ED0C5BA5BF32}"/>
    <cellStyle name="Vírgula 6 2 2 2 2" xfId="3926" xr:uid="{89C4FC37-F9F0-4858-BB0E-8DEC88A880A5}"/>
    <cellStyle name="Vírgula 6 2 2 2 2 2" xfId="3927" xr:uid="{C46F82DB-07FD-4484-8C7A-A106E9C866DF}"/>
    <cellStyle name="Vírgula 6 2 2 2 2 2 2" xfId="3928" xr:uid="{7C83DDF1-0823-4286-B4D1-4866E71BB8D1}"/>
    <cellStyle name="Vírgula 6 2 2 2 2 2 2 2" xfId="3929" xr:uid="{651519ED-DC27-4B86-BA24-A20A5794E210}"/>
    <cellStyle name="Vírgula 6 2 2 2 2 2 2 2 2" xfId="3930" xr:uid="{078C3E06-6288-4CD7-81AE-58C4050B9075}"/>
    <cellStyle name="Vírgula 6 2 2 2 2 2 2 2 3" xfId="8176" xr:uid="{785B5921-9154-49BD-BCE1-D37A62784A55}"/>
    <cellStyle name="Vírgula 6 2 2 2 2 2 2 3" xfId="3931" xr:uid="{4595EE21-F68B-40F3-8C01-955D4A6712E8}"/>
    <cellStyle name="Vírgula 6 2 2 2 2 2 2 4" xfId="8175" xr:uid="{4E6D09E5-69BF-41F4-8B0F-DCA6FD65EEBA}"/>
    <cellStyle name="Vírgula 6 2 2 2 2 2 3" xfId="3932" xr:uid="{7D69956E-ED74-4A44-B14D-7E81EAE12399}"/>
    <cellStyle name="Vírgula 6 2 2 2 2 2 3 2" xfId="3933" xr:uid="{B83D629C-DA0E-4836-8940-9CC597B13F47}"/>
    <cellStyle name="Vírgula 6 2 2 2 2 2 3 2 2" xfId="3934" xr:uid="{17FFC6F5-1AA0-4082-A421-EDA9A2973D54}"/>
    <cellStyle name="Vírgula 6 2 2 2 2 2 3 2 3" xfId="8178" xr:uid="{94EAB4FC-64C3-48F7-8774-A247AD3EB864}"/>
    <cellStyle name="Vírgula 6 2 2 2 2 2 3 3" xfId="3935" xr:uid="{FB6AECE7-A2E6-43C8-967B-97758575DF6F}"/>
    <cellStyle name="Vírgula 6 2 2 2 2 2 3 4" xfId="8177" xr:uid="{5EE19B3F-0203-49DD-B9E3-51AF147A0E8A}"/>
    <cellStyle name="Vírgula 6 2 2 2 2 2 4" xfId="3936" xr:uid="{4FEA4EF3-DEFC-4914-88A3-75641A93FE05}"/>
    <cellStyle name="Vírgula 6 2 2 2 2 2 4 2" xfId="3937" xr:uid="{804ED42D-2A42-4A54-8C7E-7DFB49FC046C}"/>
    <cellStyle name="Vírgula 6 2 2 2 2 2 4 3" xfId="8179" xr:uid="{D2323CB0-BD07-459A-BF00-51797F78881D}"/>
    <cellStyle name="Vírgula 6 2 2 2 2 2 5" xfId="3938" xr:uid="{3A9A7178-5377-4ABE-A30F-5971362C736E}"/>
    <cellStyle name="Vírgula 6 2 2 2 2 2 6" xfId="8174" xr:uid="{127DA855-3734-4405-83B5-ECC5DBE08627}"/>
    <cellStyle name="Vírgula 6 2 2 2 2 3" xfId="3939" xr:uid="{8867BE48-C5D7-4CF6-A077-17222416BF9A}"/>
    <cellStyle name="Vírgula 6 2 2 2 2 3 2" xfId="3940" xr:uid="{938C8C94-09B0-42B3-B1A0-5396F8BBD000}"/>
    <cellStyle name="Vírgula 6 2 2 2 2 3 2 2" xfId="3941" xr:uid="{AB8A9422-4D16-4EAB-A939-746843B3C769}"/>
    <cellStyle name="Vírgula 6 2 2 2 2 3 2 3" xfId="8181" xr:uid="{24305C73-70FD-4DD4-AA46-123DB5F1953E}"/>
    <cellStyle name="Vírgula 6 2 2 2 2 3 3" xfId="3942" xr:uid="{B2E06131-8A36-4870-A6E3-B5522DA1612F}"/>
    <cellStyle name="Vírgula 6 2 2 2 2 3 4" xfId="8180" xr:uid="{E1D86DFE-7112-4856-82E2-C6ACB087CB4B}"/>
    <cellStyle name="Vírgula 6 2 2 2 2 4" xfId="3943" xr:uid="{CBAC0D3B-AEB0-4517-A8F3-E7BC8140B8FC}"/>
    <cellStyle name="Vírgula 6 2 2 2 2 4 2" xfId="3944" xr:uid="{9614E8CC-1A16-47B2-8938-8B2192558D1C}"/>
    <cellStyle name="Vírgula 6 2 2 2 2 4 2 2" xfId="3945" xr:uid="{C5DEEAA5-2EC8-4D86-90AF-64D4E779564A}"/>
    <cellStyle name="Vírgula 6 2 2 2 2 4 2 3" xfId="8183" xr:uid="{98D7763E-B74F-4BC1-9A95-4B58749821CF}"/>
    <cellStyle name="Vírgula 6 2 2 2 2 4 3" xfId="3946" xr:uid="{5282F52F-B89F-4FCC-B265-3DBF30919777}"/>
    <cellStyle name="Vírgula 6 2 2 2 2 4 4" xfId="8182" xr:uid="{1008F9A3-0D93-43BE-8294-603B2F0DA44B}"/>
    <cellStyle name="Vírgula 6 2 2 2 2 5" xfId="3947" xr:uid="{C4152602-59C4-4994-B243-C2114C7F9872}"/>
    <cellStyle name="Vírgula 6 2 2 2 2 5 2" xfId="3948" xr:uid="{01FDDDB1-06B2-4398-9DB4-9FF7527B795D}"/>
    <cellStyle name="Vírgula 6 2 2 2 2 5 3" xfId="8184" xr:uid="{88CADE67-456A-439A-A30F-C630544D84B2}"/>
    <cellStyle name="Vírgula 6 2 2 2 2 6" xfId="3949" xr:uid="{DF01685F-7785-4B96-8EA7-9F2036EDDB86}"/>
    <cellStyle name="Vírgula 6 2 2 2 2 7" xfId="8173" xr:uid="{23422723-F1FF-4425-8BB3-BE6D9436A4A5}"/>
    <cellStyle name="Vírgula 6 2 2 2 3" xfId="3950" xr:uid="{CA007BBD-4D23-4F8A-95EB-A8BEE00122AA}"/>
    <cellStyle name="Vírgula 6 2 2 2 3 2" xfId="3951" xr:uid="{ED9CEBA2-CE26-44C4-9DD0-AF68CC37F799}"/>
    <cellStyle name="Vírgula 6 2 2 2 3 2 2" xfId="3952" xr:uid="{7DD25719-7862-4B6F-A4EE-EAB2DE1F6B84}"/>
    <cellStyle name="Vírgula 6 2 2 2 3 2 2 2" xfId="3953" xr:uid="{010620A4-96DD-40D6-A8A2-8C8857D079AC}"/>
    <cellStyle name="Vírgula 6 2 2 2 3 2 2 2 2" xfId="3954" xr:uid="{309FD04E-F806-4AEF-A8DD-94B9BD4DBE1F}"/>
    <cellStyle name="Vírgula 6 2 2 2 3 2 2 2 3" xfId="8188" xr:uid="{E5E9EC1E-D644-41EF-B0A6-9AAED3B912E8}"/>
    <cellStyle name="Vírgula 6 2 2 2 3 2 2 3" xfId="3955" xr:uid="{B0811BEE-D767-4919-82E3-7C6AF1817514}"/>
    <cellStyle name="Vírgula 6 2 2 2 3 2 2 4" xfId="8187" xr:uid="{3A2DBF81-4F1F-41A0-B066-B4C8C53A6EA9}"/>
    <cellStyle name="Vírgula 6 2 2 2 3 2 3" xfId="3956" xr:uid="{22E01A14-06FA-4DB0-9108-89C0219C00D4}"/>
    <cellStyle name="Vírgula 6 2 2 2 3 2 3 2" xfId="3957" xr:uid="{856FCFE4-389B-425D-ABCA-CF9EEA911ACE}"/>
    <cellStyle name="Vírgula 6 2 2 2 3 2 3 2 2" xfId="3958" xr:uid="{0AF58938-F2EB-4788-99C3-86EAB3A2B1D6}"/>
    <cellStyle name="Vírgula 6 2 2 2 3 2 3 2 3" xfId="8190" xr:uid="{7C60CDD0-2E38-4296-B796-7F396ECDA8BE}"/>
    <cellStyle name="Vírgula 6 2 2 2 3 2 3 3" xfId="3959" xr:uid="{195C386C-87A3-4C8F-AE84-264967AFF3E4}"/>
    <cellStyle name="Vírgula 6 2 2 2 3 2 3 4" xfId="8189" xr:uid="{FD48DB04-97D9-41CB-847A-BF09A1912BFF}"/>
    <cellStyle name="Vírgula 6 2 2 2 3 2 4" xfId="3960" xr:uid="{75485B9D-91CF-4915-A69F-1DBBA94C5DC7}"/>
    <cellStyle name="Vírgula 6 2 2 2 3 2 4 2" xfId="3961" xr:uid="{B713316A-367C-4B1A-8315-F192BE49DA1F}"/>
    <cellStyle name="Vírgula 6 2 2 2 3 2 4 3" xfId="8191" xr:uid="{359588CA-92A7-4854-8B29-722CAB1F3E46}"/>
    <cellStyle name="Vírgula 6 2 2 2 3 2 5" xfId="3962" xr:uid="{1F56C914-7682-4FC8-871D-AA981EE0D426}"/>
    <cellStyle name="Vírgula 6 2 2 2 3 2 6" xfId="8186" xr:uid="{0F88C843-30C5-4408-B00F-DB64E6BAFA68}"/>
    <cellStyle name="Vírgula 6 2 2 2 3 3" xfId="3963" xr:uid="{789318DD-FF17-4B0B-BE04-F271F31AA5F1}"/>
    <cellStyle name="Vírgula 6 2 2 2 3 3 2" xfId="3964" xr:uid="{86A22998-BFC1-4BC2-BA42-0B7CF8073A53}"/>
    <cellStyle name="Vírgula 6 2 2 2 3 3 2 2" xfId="3965" xr:uid="{C2D46137-A500-435A-B38F-61CC56AC8D47}"/>
    <cellStyle name="Vírgula 6 2 2 2 3 3 2 3" xfId="8193" xr:uid="{F94760BD-E40A-4A71-8EDF-A5847201DD6E}"/>
    <cellStyle name="Vírgula 6 2 2 2 3 3 3" xfId="3966" xr:uid="{E02233B7-5815-4433-88BE-E6E199C70673}"/>
    <cellStyle name="Vírgula 6 2 2 2 3 3 4" xfId="8192" xr:uid="{18233B8F-BDF6-4F81-9225-FB0C5FDBD079}"/>
    <cellStyle name="Vírgula 6 2 2 2 3 4" xfId="3967" xr:uid="{05B58608-66BE-42CE-A520-DBD5717C1EC8}"/>
    <cellStyle name="Vírgula 6 2 2 2 3 4 2" xfId="3968" xr:uid="{20A09D3D-6ADB-4E14-967B-765C84864FF0}"/>
    <cellStyle name="Vírgula 6 2 2 2 3 4 2 2" xfId="3969" xr:uid="{1D9DFAC5-CB98-4F81-9B00-9E491882A9D0}"/>
    <cellStyle name="Vírgula 6 2 2 2 3 4 2 3" xfId="8195" xr:uid="{1A591FC4-1186-4D60-9D2E-42D03BEB21B2}"/>
    <cellStyle name="Vírgula 6 2 2 2 3 4 3" xfId="3970" xr:uid="{F0A3D320-2DE5-4D25-A3B8-85AB29B8734D}"/>
    <cellStyle name="Vírgula 6 2 2 2 3 4 4" xfId="8194" xr:uid="{7EB7E390-13E8-4507-B4DA-039816614C84}"/>
    <cellStyle name="Vírgula 6 2 2 2 3 5" xfId="3971" xr:uid="{E35CA9B4-196B-4DD4-A2F6-964298AA4C2B}"/>
    <cellStyle name="Vírgula 6 2 2 2 3 5 2" xfId="3972" xr:uid="{07D47582-8C70-485D-A7E7-C475767FE703}"/>
    <cellStyle name="Vírgula 6 2 2 2 3 5 3" xfId="8196" xr:uid="{5C96AB83-595F-4E00-83CE-8C2E18C2D0C3}"/>
    <cellStyle name="Vírgula 6 2 2 2 3 6" xfId="3973" xr:uid="{3A5D606B-E6B2-4C8A-8CAF-6F4273C9F98A}"/>
    <cellStyle name="Vírgula 6 2 2 2 3 7" xfId="8185" xr:uid="{8DB2DE11-25E3-43EE-9734-BDA7D2845C47}"/>
    <cellStyle name="Vírgula 6 2 2 2 4" xfId="3974" xr:uid="{280AA46E-8190-4244-B8D8-6CE940BBDEE0}"/>
    <cellStyle name="Vírgula 6 2 2 2 4 2" xfId="3975" xr:uid="{8242D9BC-56AF-485A-9B1F-D4EA599B86C7}"/>
    <cellStyle name="Vírgula 6 2 2 2 4 2 2" xfId="3976" xr:uid="{7B60AA4D-1906-4E42-ADCC-F9E11DCEC4F8}"/>
    <cellStyle name="Vírgula 6 2 2 2 4 2 2 2" xfId="3977" xr:uid="{8079455D-0BFA-4139-BA17-EA5B6C8BF307}"/>
    <cellStyle name="Vírgula 6 2 2 2 4 2 2 3" xfId="8199" xr:uid="{808B7D25-C411-4506-8B36-E4C4A44A2C3E}"/>
    <cellStyle name="Vírgula 6 2 2 2 4 2 3" xfId="3978" xr:uid="{A43AB07D-8F28-4860-829F-84E608EE0DEF}"/>
    <cellStyle name="Vírgula 6 2 2 2 4 2 4" xfId="8198" xr:uid="{4B089251-56BF-4CE9-B2E7-3C39BF9C89B5}"/>
    <cellStyle name="Vírgula 6 2 2 2 4 3" xfId="3979" xr:uid="{04BFD986-9B19-4132-9289-FEB8EA0AB759}"/>
    <cellStyle name="Vírgula 6 2 2 2 4 3 2" xfId="3980" xr:uid="{C6952999-2C9A-4C6F-9535-9A830703FE7F}"/>
    <cellStyle name="Vírgula 6 2 2 2 4 3 2 2" xfId="3981" xr:uid="{B6A31DE3-2811-4D00-BADE-1D7FB5AE3D3C}"/>
    <cellStyle name="Vírgula 6 2 2 2 4 3 2 3" xfId="8201" xr:uid="{5D0BB035-0CC8-457C-9335-01A2CA1B018E}"/>
    <cellStyle name="Vírgula 6 2 2 2 4 3 3" xfId="3982" xr:uid="{4C2388A4-9432-4E57-8C63-4612D8013261}"/>
    <cellStyle name="Vírgula 6 2 2 2 4 3 4" xfId="8200" xr:uid="{0E86B7E8-9554-43AF-BAA9-36E0BD8DC173}"/>
    <cellStyle name="Vírgula 6 2 2 2 4 4" xfId="3983" xr:uid="{D1C3E709-5FAB-49BA-BEED-E74C64D70AB0}"/>
    <cellStyle name="Vírgula 6 2 2 2 4 4 2" xfId="3984" xr:uid="{92D6F4E2-2DCC-4CB8-99EF-00D228CE0F34}"/>
    <cellStyle name="Vírgula 6 2 2 2 4 4 3" xfId="8202" xr:uid="{CC3EDB13-5004-4451-909D-4C06F40ABDF6}"/>
    <cellStyle name="Vírgula 6 2 2 2 4 5" xfId="3985" xr:uid="{702EF8BF-DEDF-4A55-BC19-F0D7F7A58AAE}"/>
    <cellStyle name="Vírgula 6 2 2 2 4 6" xfId="8197" xr:uid="{D31353AF-33D0-45C5-9A4F-C0784B7881F3}"/>
    <cellStyle name="Vírgula 6 2 2 2 5" xfId="3986" xr:uid="{5B194374-DFEE-47DC-9A8F-9A8EEACDF1CA}"/>
    <cellStyle name="Vírgula 6 2 2 2 5 2" xfId="3987" xr:uid="{34D9E507-C8C2-435D-8ACE-474F04B2DEFB}"/>
    <cellStyle name="Vírgula 6 2 2 2 5 2 2" xfId="3988" xr:uid="{9EEF5673-32B6-4480-BF2F-70DE9A0F4F34}"/>
    <cellStyle name="Vírgula 6 2 2 2 5 2 3" xfId="8204" xr:uid="{732C3744-2BD1-49C4-AB2D-BDC0159F9A4B}"/>
    <cellStyle name="Vírgula 6 2 2 2 5 3" xfId="3989" xr:uid="{05455DDF-5613-4F7E-AAAA-DBA2A2F2F77A}"/>
    <cellStyle name="Vírgula 6 2 2 2 5 4" xfId="8203" xr:uid="{D45E7F8A-D199-4422-843F-37DBDC43DA8C}"/>
    <cellStyle name="Vírgula 6 2 2 2 6" xfId="3990" xr:uid="{5A78A5CD-14CC-4E29-B77A-983F29C56CD4}"/>
    <cellStyle name="Vírgula 6 2 2 2 6 2" xfId="3991" xr:uid="{BD7C0E65-D080-4F22-BA96-676D04BAA39C}"/>
    <cellStyle name="Vírgula 6 2 2 2 6 2 2" xfId="3992" xr:uid="{31D0EF6B-2E5E-4068-BF7A-809FB8DCD241}"/>
    <cellStyle name="Vírgula 6 2 2 2 6 2 3" xfId="8206" xr:uid="{D83AD408-D1A9-44B5-A6BF-C5FA0A872AD2}"/>
    <cellStyle name="Vírgula 6 2 2 2 6 3" xfId="3993" xr:uid="{29A7973C-7110-4D76-B5F2-66DEDBA7BE7C}"/>
    <cellStyle name="Vírgula 6 2 2 2 6 4" xfId="8205" xr:uid="{0CEBA43B-9C41-4B94-AFA6-EDD31682314F}"/>
    <cellStyle name="Vírgula 6 2 2 2 7" xfId="3994" xr:uid="{127789A1-F880-458C-A900-76AE9E544C75}"/>
    <cellStyle name="Vírgula 6 2 2 2 7 2" xfId="3995" xr:uid="{51739DF3-3CCA-410D-A125-3023CD24145C}"/>
    <cellStyle name="Vírgula 6 2 2 2 7 3" xfId="8207" xr:uid="{9D004F40-FE86-418A-8C96-262143145AA0}"/>
    <cellStyle name="Vírgula 6 2 2 2 8" xfId="3996" xr:uid="{C1B6EBA6-2BFE-42DB-B1BA-29701109DBD8}"/>
    <cellStyle name="Vírgula 6 2 2 2 9" xfId="8172" xr:uid="{7BE22123-292B-49B6-944A-A15A6A90EABA}"/>
    <cellStyle name="Vírgula 6 2 2 3" xfId="3997" xr:uid="{9A29B537-468E-44B7-B5BB-FED0FE24EBB0}"/>
    <cellStyle name="Vírgula 6 2 2 3 2" xfId="3998" xr:uid="{17E26CF5-73D8-4FB2-9910-86459D0169A7}"/>
    <cellStyle name="Vírgula 6 2 2 3 2 2" xfId="3999" xr:uid="{3281D651-875A-4267-8178-FBFE95B6B95D}"/>
    <cellStyle name="Vírgula 6 2 2 3 2 2 2" xfId="4000" xr:uid="{BEFB26FF-AAF9-4896-B797-7E8468CC3DE4}"/>
    <cellStyle name="Vírgula 6 2 2 3 2 2 2 2" xfId="4001" xr:uid="{25568C03-725B-46AD-BC06-E7CF217C0767}"/>
    <cellStyle name="Vírgula 6 2 2 3 2 2 2 2 2" xfId="4002" xr:uid="{9FEE98BA-2B16-42E5-A66C-F1C61FED1EC8}"/>
    <cellStyle name="Vírgula 6 2 2 3 2 2 2 2 3" xfId="8212" xr:uid="{450C063E-307E-44AA-96D5-68F732E1A3A9}"/>
    <cellStyle name="Vírgula 6 2 2 3 2 2 2 3" xfId="4003" xr:uid="{F052DA93-826A-4BA0-9C65-2F6A0883146D}"/>
    <cellStyle name="Vírgula 6 2 2 3 2 2 2 4" xfId="8211" xr:uid="{D0651295-8F38-4696-A489-744C352C0CDF}"/>
    <cellStyle name="Vírgula 6 2 2 3 2 2 3" xfId="4004" xr:uid="{BF3B5D46-769B-472A-8CC9-27E7B90AA7B9}"/>
    <cellStyle name="Vírgula 6 2 2 3 2 2 3 2" xfId="4005" xr:uid="{F99961AA-C1B2-4809-A668-7270F3F1D97D}"/>
    <cellStyle name="Vírgula 6 2 2 3 2 2 3 2 2" xfId="4006" xr:uid="{A924C0D3-C3CD-40CC-B089-3ABA2E71AE5E}"/>
    <cellStyle name="Vírgula 6 2 2 3 2 2 3 2 3" xfId="8214" xr:uid="{47A60E43-65A6-49C5-BE45-37615F13F826}"/>
    <cellStyle name="Vírgula 6 2 2 3 2 2 3 3" xfId="4007" xr:uid="{AD35CE95-D179-430D-BE58-121956936D02}"/>
    <cellStyle name="Vírgula 6 2 2 3 2 2 3 4" xfId="8213" xr:uid="{5EA15F70-DF1C-4BC1-946D-31C20A26C2EC}"/>
    <cellStyle name="Vírgula 6 2 2 3 2 2 4" xfId="4008" xr:uid="{9A9246A6-E80A-4F58-A5DD-48C5509A8961}"/>
    <cellStyle name="Vírgula 6 2 2 3 2 2 4 2" xfId="4009" xr:uid="{58D73537-C6A1-478A-8301-0E55C730E1FC}"/>
    <cellStyle name="Vírgula 6 2 2 3 2 2 4 3" xfId="8215" xr:uid="{94C72A37-1F99-44E9-AB99-E764BAE9CC0A}"/>
    <cellStyle name="Vírgula 6 2 2 3 2 2 5" xfId="4010" xr:uid="{83D5E268-139A-40FB-A544-BC4F85F8CDE2}"/>
    <cellStyle name="Vírgula 6 2 2 3 2 2 6" xfId="8210" xr:uid="{1C8A7469-E842-4308-BEFF-8EF2F00A6245}"/>
    <cellStyle name="Vírgula 6 2 2 3 2 3" xfId="4011" xr:uid="{CF3370A0-AB21-4E53-84A6-A63D2D0713FA}"/>
    <cellStyle name="Vírgula 6 2 2 3 2 3 2" xfId="4012" xr:uid="{30261073-401A-49D2-870B-836C1DF7FCC6}"/>
    <cellStyle name="Vírgula 6 2 2 3 2 3 2 2" xfId="4013" xr:uid="{BAB9A95E-ECF4-4C85-B4B8-E4C2971A0F2C}"/>
    <cellStyle name="Vírgula 6 2 2 3 2 3 2 3" xfId="8217" xr:uid="{08EFE5C7-95DF-4D03-BE52-8B66A90DBAFD}"/>
    <cellStyle name="Vírgula 6 2 2 3 2 3 3" xfId="4014" xr:uid="{AB3EE1A8-7BAD-453C-A75A-03E37C53CC4B}"/>
    <cellStyle name="Vírgula 6 2 2 3 2 3 4" xfId="8216" xr:uid="{D556E40A-1F54-4076-ADC4-94F87988B2F3}"/>
    <cellStyle name="Vírgula 6 2 2 3 2 4" xfId="4015" xr:uid="{843A2AB4-A93E-4519-86D1-D2C756CE6539}"/>
    <cellStyle name="Vírgula 6 2 2 3 2 4 2" xfId="4016" xr:uid="{6E9FF6B4-15B6-4731-B5CB-F9BA6D883C15}"/>
    <cellStyle name="Vírgula 6 2 2 3 2 4 2 2" xfId="4017" xr:uid="{9E02E25F-93B0-4963-9FB9-B40975ABCC43}"/>
    <cellStyle name="Vírgula 6 2 2 3 2 4 2 3" xfId="8219" xr:uid="{31B8C9B0-1060-426F-BBF5-D3957991F39B}"/>
    <cellStyle name="Vírgula 6 2 2 3 2 4 3" xfId="4018" xr:uid="{7F62D083-6A59-4DA5-89B3-FE06431A3D40}"/>
    <cellStyle name="Vírgula 6 2 2 3 2 4 4" xfId="8218" xr:uid="{7923F080-25AF-4C61-95FE-191753EF5899}"/>
    <cellStyle name="Vírgula 6 2 2 3 2 5" xfId="4019" xr:uid="{FBEE4603-9D05-480A-814B-2611EE44C2EE}"/>
    <cellStyle name="Vírgula 6 2 2 3 2 5 2" xfId="4020" xr:uid="{A212DFA2-3004-473E-8E6C-E8A55A323DE5}"/>
    <cellStyle name="Vírgula 6 2 2 3 2 5 3" xfId="8220" xr:uid="{9E37631F-606D-45BA-88FA-739A236D7444}"/>
    <cellStyle name="Vírgula 6 2 2 3 2 6" xfId="4021" xr:uid="{3295ABE9-6F17-41E3-BB94-6A809276A779}"/>
    <cellStyle name="Vírgula 6 2 2 3 2 7" xfId="8209" xr:uid="{05FCF74F-51F0-41DD-8B34-97A6D0E47AD3}"/>
    <cellStyle name="Vírgula 6 2 2 3 3" xfId="4022" xr:uid="{4656E86D-DE26-4905-94D0-A16E2005C4C5}"/>
    <cellStyle name="Vírgula 6 2 2 3 3 2" xfId="4023" xr:uid="{532606EF-4D75-454E-BA12-5836BE5E32A7}"/>
    <cellStyle name="Vírgula 6 2 2 3 3 2 2" xfId="4024" xr:uid="{D20B320E-C638-46AA-BC0E-518BB64308B0}"/>
    <cellStyle name="Vírgula 6 2 2 3 3 2 2 2" xfId="4025" xr:uid="{49754988-2ED5-43F1-A690-71DB54A834E7}"/>
    <cellStyle name="Vírgula 6 2 2 3 3 2 2 2 2" xfId="4026" xr:uid="{6D55E129-1F9D-4A86-9825-FFBEF34FF90D}"/>
    <cellStyle name="Vírgula 6 2 2 3 3 2 2 2 3" xfId="8224" xr:uid="{11106BE5-D76E-44AE-AC3B-A81FAE936324}"/>
    <cellStyle name="Vírgula 6 2 2 3 3 2 2 3" xfId="4027" xr:uid="{80035BC4-CAFA-4B12-A777-F378B47F6339}"/>
    <cellStyle name="Vírgula 6 2 2 3 3 2 2 4" xfId="8223" xr:uid="{4111E93F-7F03-4590-8B3C-E47DA7B19DCA}"/>
    <cellStyle name="Vírgula 6 2 2 3 3 2 3" xfId="4028" xr:uid="{E7A4CF0E-BF07-459E-B465-108E242183C4}"/>
    <cellStyle name="Vírgula 6 2 2 3 3 2 3 2" xfId="4029" xr:uid="{002749BE-9182-4141-9575-E6D67C076FDB}"/>
    <cellStyle name="Vírgula 6 2 2 3 3 2 3 2 2" xfId="4030" xr:uid="{07D52E06-A5EF-4E23-BA43-5F3A4C3E9BF7}"/>
    <cellStyle name="Vírgula 6 2 2 3 3 2 3 2 3" xfId="8226" xr:uid="{BBEAD729-F8D8-49C5-98DF-D8FEEFE26BF7}"/>
    <cellStyle name="Vírgula 6 2 2 3 3 2 3 3" xfId="4031" xr:uid="{9B441F81-A215-456D-B87F-A63AF6E857DE}"/>
    <cellStyle name="Vírgula 6 2 2 3 3 2 3 4" xfId="8225" xr:uid="{712ADC93-DA5C-4304-902D-15D24952C17F}"/>
    <cellStyle name="Vírgula 6 2 2 3 3 2 4" xfId="4032" xr:uid="{D928DBB0-CE1E-49E0-A5DA-EF3BEAC1235A}"/>
    <cellStyle name="Vírgula 6 2 2 3 3 2 4 2" xfId="4033" xr:uid="{6B23F87C-27BE-406D-90F2-F96802A66182}"/>
    <cellStyle name="Vírgula 6 2 2 3 3 2 4 3" xfId="8227" xr:uid="{2967B906-D7D3-4EE0-82F5-2A6F9912DCFF}"/>
    <cellStyle name="Vírgula 6 2 2 3 3 2 5" xfId="4034" xr:uid="{CD48D30B-C104-4FB5-9F62-4A81863F3C71}"/>
    <cellStyle name="Vírgula 6 2 2 3 3 2 6" xfId="8222" xr:uid="{18F5E4C6-353A-4E27-ACF4-174128F4E0F7}"/>
    <cellStyle name="Vírgula 6 2 2 3 3 3" xfId="4035" xr:uid="{6E672AEC-18D6-495F-8663-5A4DEA41434E}"/>
    <cellStyle name="Vírgula 6 2 2 3 3 3 2" xfId="4036" xr:uid="{7B4DE971-B4FF-4093-81D6-2DC1E8CB7340}"/>
    <cellStyle name="Vírgula 6 2 2 3 3 3 2 2" xfId="4037" xr:uid="{363E141C-FED4-4557-88FC-99A3E7370F43}"/>
    <cellStyle name="Vírgula 6 2 2 3 3 3 2 3" xfId="8229" xr:uid="{2A34B896-BB50-438F-A62E-EC2FDF531D12}"/>
    <cellStyle name="Vírgula 6 2 2 3 3 3 3" xfId="4038" xr:uid="{173CCD3E-B45A-4466-AF78-EFC1BB317963}"/>
    <cellStyle name="Vírgula 6 2 2 3 3 3 4" xfId="8228" xr:uid="{2D888E2D-4946-4F4C-9BF7-0EFCC45EE4A6}"/>
    <cellStyle name="Vírgula 6 2 2 3 3 4" xfId="4039" xr:uid="{7AD019C0-90A8-438C-9620-5F85ECB6476B}"/>
    <cellStyle name="Vírgula 6 2 2 3 3 4 2" xfId="4040" xr:uid="{0DBC216C-7D9F-4B58-A307-B290026D5557}"/>
    <cellStyle name="Vírgula 6 2 2 3 3 4 2 2" xfId="4041" xr:uid="{9E59C589-1783-433B-AC44-3592840D8857}"/>
    <cellStyle name="Vírgula 6 2 2 3 3 4 2 3" xfId="8231" xr:uid="{A5EA24AD-2AD0-4B01-849E-B41F8CBDB010}"/>
    <cellStyle name="Vírgula 6 2 2 3 3 4 3" xfId="4042" xr:uid="{16B59109-7D71-4C50-8043-6A2B56CB72B0}"/>
    <cellStyle name="Vírgula 6 2 2 3 3 4 4" xfId="8230" xr:uid="{32F4D985-FE74-43E2-8F41-1C964CEBF9CA}"/>
    <cellStyle name="Vírgula 6 2 2 3 3 5" xfId="4043" xr:uid="{8E94E434-8F7D-44E4-81EA-0C96C1E94D7F}"/>
    <cellStyle name="Vírgula 6 2 2 3 3 5 2" xfId="4044" xr:uid="{6792CDC8-5A19-45DD-BBA6-401BB5B4E3AC}"/>
    <cellStyle name="Vírgula 6 2 2 3 3 5 3" xfId="8232" xr:uid="{277F406C-FE5D-4A56-8ED6-2E88D9400553}"/>
    <cellStyle name="Vírgula 6 2 2 3 3 6" xfId="4045" xr:uid="{68BA3716-667A-4F6E-9A95-F82080399C0B}"/>
    <cellStyle name="Vírgula 6 2 2 3 3 7" xfId="8221" xr:uid="{66CBD0F2-86E4-45CA-8002-85997775DA0D}"/>
    <cellStyle name="Vírgula 6 2 2 3 4" xfId="4046" xr:uid="{B1CD75E0-E0A3-4F73-ACCB-CD852793BA28}"/>
    <cellStyle name="Vírgula 6 2 2 3 4 2" xfId="4047" xr:uid="{1C29BB1E-A7AF-42D8-8F74-F0F2AF769E7B}"/>
    <cellStyle name="Vírgula 6 2 2 3 4 2 2" xfId="4048" xr:uid="{3597C3E3-D021-4EC6-8708-2AFDD849FCD7}"/>
    <cellStyle name="Vírgula 6 2 2 3 4 2 2 2" xfId="4049" xr:uid="{BC861A4C-51B8-428C-AFA8-0C31DF83FAE4}"/>
    <cellStyle name="Vírgula 6 2 2 3 4 2 2 3" xfId="8235" xr:uid="{A0CF8550-9CB2-4F45-ADBF-EFA1BF6DBBF5}"/>
    <cellStyle name="Vírgula 6 2 2 3 4 2 3" xfId="4050" xr:uid="{DA5DEF3F-7EA5-42E1-82B9-34FE539EB807}"/>
    <cellStyle name="Vírgula 6 2 2 3 4 2 4" xfId="8234" xr:uid="{0BD7BD32-2CD0-46A2-8380-6C43AD93382E}"/>
    <cellStyle name="Vírgula 6 2 2 3 4 3" xfId="4051" xr:uid="{4CFBD4E2-1C89-4A5E-8013-3239EAC8EA64}"/>
    <cellStyle name="Vírgula 6 2 2 3 4 3 2" xfId="4052" xr:uid="{42B5EF19-93C7-47A7-811B-1A7015D535B0}"/>
    <cellStyle name="Vírgula 6 2 2 3 4 3 2 2" xfId="4053" xr:uid="{4E2093DF-BE1D-4B08-B9CB-986772B2CE77}"/>
    <cellStyle name="Vírgula 6 2 2 3 4 3 2 3" xfId="8237" xr:uid="{59D5AF94-065E-4B64-8F32-420590BFB920}"/>
    <cellStyle name="Vírgula 6 2 2 3 4 3 3" xfId="4054" xr:uid="{BEF5FB39-95FD-4894-AB19-414DE4DA8D7E}"/>
    <cellStyle name="Vírgula 6 2 2 3 4 3 4" xfId="8236" xr:uid="{4618553B-C8B7-4232-A78A-47B84C3936A5}"/>
    <cellStyle name="Vírgula 6 2 2 3 4 4" xfId="4055" xr:uid="{3B335D71-FC68-428B-A5FC-20B4F0957656}"/>
    <cellStyle name="Vírgula 6 2 2 3 4 4 2" xfId="4056" xr:uid="{1B012888-BF02-43FE-85CD-8417B21DA60A}"/>
    <cellStyle name="Vírgula 6 2 2 3 4 4 3" xfId="8238" xr:uid="{DEE66D2D-F8A6-4196-959D-16EED6990A2F}"/>
    <cellStyle name="Vírgula 6 2 2 3 4 5" xfId="4057" xr:uid="{1A576E77-1094-420A-9484-6BAF4F66D36B}"/>
    <cellStyle name="Vírgula 6 2 2 3 4 6" xfId="8233" xr:uid="{25821EE3-0F7F-42BF-9AF8-589A8E6AB242}"/>
    <cellStyle name="Vírgula 6 2 2 3 5" xfId="4058" xr:uid="{8E761E62-3521-436D-ABF9-46137222BE61}"/>
    <cellStyle name="Vírgula 6 2 2 3 5 2" xfId="4059" xr:uid="{E4B6014B-32A6-4639-9420-13EAA2CB5549}"/>
    <cellStyle name="Vírgula 6 2 2 3 5 2 2" xfId="4060" xr:uid="{CDEFBC96-9559-423C-8BF7-ECBFBB4BA0B1}"/>
    <cellStyle name="Vírgula 6 2 2 3 5 2 3" xfId="8240" xr:uid="{10D481E3-AFFE-4537-827B-F6EEF966EA15}"/>
    <cellStyle name="Vírgula 6 2 2 3 5 3" xfId="4061" xr:uid="{F8749A93-BB96-4678-92D8-9C9DE76705D2}"/>
    <cellStyle name="Vírgula 6 2 2 3 5 4" xfId="8239" xr:uid="{A27859CC-4D1C-490A-A957-4FB3D001D543}"/>
    <cellStyle name="Vírgula 6 2 2 3 6" xfId="4062" xr:uid="{CCE3AD76-564A-47B2-840C-D5C422D15802}"/>
    <cellStyle name="Vírgula 6 2 2 3 6 2" xfId="4063" xr:uid="{9F564323-3FAA-4515-9E3A-55436B2745AA}"/>
    <cellStyle name="Vírgula 6 2 2 3 6 2 2" xfId="4064" xr:uid="{A7BA154B-ADC8-4E25-8745-5065ED2C4188}"/>
    <cellStyle name="Vírgula 6 2 2 3 6 2 3" xfId="8242" xr:uid="{214B8A68-B06E-44E1-96D3-E30063EADCB4}"/>
    <cellStyle name="Vírgula 6 2 2 3 6 3" xfId="4065" xr:uid="{114D4078-ECCA-4C7C-AFCB-5737A163309B}"/>
    <cellStyle name="Vírgula 6 2 2 3 6 4" xfId="8241" xr:uid="{A294F0CF-2823-445A-A8B1-57507FB2C54B}"/>
    <cellStyle name="Vírgula 6 2 2 3 7" xfId="4066" xr:uid="{38EA2E24-DBEB-4F4E-BDB1-540FFA84BCAA}"/>
    <cellStyle name="Vírgula 6 2 2 3 7 2" xfId="4067" xr:uid="{E17DFC04-4C7D-4FC8-AAF3-F0DE625B8263}"/>
    <cellStyle name="Vírgula 6 2 2 3 7 3" xfId="8243" xr:uid="{A65BB9C2-45A4-4FF3-ABE6-FF345A2D5D7F}"/>
    <cellStyle name="Vírgula 6 2 2 3 8" xfId="4068" xr:uid="{128B19D4-7E74-4CD7-A05C-37F0367FDA6A}"/>
    <cellStyle name="Vírgula 6 2 2 3 9" xfId="8208" xr:uid="{F911298C-F6A9-456A-A404-04C1F6E69889}"/>
    <cellStyle name="Vírgula 6 2 2 4" xfId="4069" xr:uid="{D33D9232-FF0D-47A0-919B-D84A62D7FE89}"/>
    <cellStyle name="Vírgula 6 2 2 4 2" xfId="4070" xr:uid="{88F4805E-90FD-4FCD-BCFA-1D85A9E9E195}"/>
    <cellStyle name="Vírgula 6 2 2 4 2 2" xfId="4071" xr:uid="{8C3E93FA-13A2-4570-9624-C36DAA0C36FB}"/>
    <cellStyle name="Vírgula 6 2 2 4 2 2 2" xfId="4072" xr:uid="{1CD6B652-9F00-4236-8BD4-0EA34B45CA83}"/>
    <cellStyle name="Vírgula 6 2 2 4 2 2 2 2" xfId="4073" xr:uid="{A4A9277C-FE15-43CC-991F-B7AD98847451}"/>
    <cellStyle name="Vírgula 6 2 2 4 2 2 2 2 2" xfId="4074" xr:uid="{E76863E2-7844-4505-BF7C-D99898EAAF39}"/>
    <cellStyle name="Vírgula 6 2 2 4 2 2 2 2 3" xfId="8248" xr:uid="{55D5F3AD-F9A6-48C9-9D66-081BE24F5A48}"/>
    <cellStyle name="Vírgula 6 2 2 4 2 2 2 3" xfId="4075" xr:uid="{37D66216-2378-4105-9C8A-A6B1BEEC2E84}"/>
    <cellStyle name="Vírgula 6 2 2 4 2 2 2 4" xfId="8247" xr:uid="{F51040AD-B335-4FFE-97DF-6B0BE9CD1C7D}"/>
    <cellStyle name="Vírgula 6 2 2 4 2 2 3" xfId="4076" xr:uid="{AE545DEA-E5DA-40C6-B635-818EEE43F896}"/>
    <cellStyle name="Vírgula 6 2 2 4 2 2 3 2" xfId="4077" xr:uid="{376A1861-A02A-4D2A-8199-85A6FF9B93BC}"/>
    <cellStyle name="Vírgula 6 2 2 4 2 2 3 2 2" xfId="4078" xr:uid="{08575BAD-9870-4B57-8C4B-A58E08825930}"/>
    <cellStyle name="Vírgula 6 2 2 4 2 2 3 2 3" xfId="8250" xr:uid="{2CBD8DC8-418E-4510-BDF1-074455E17C61}"/>
    <cellStyle name="Vírgula 6 2 2 4 2 2 3 3" xfId="4079" xr:uid="{A9A7CC02-1413-4E2F-87D3-3A2366781AD6}"/>
    <cellStyle name="Vírgula 6 2 2 4 2 2 3 4" xfId="8249" xr:uid="{D3D4C7D0-C2AA-4AA4-A7C9-32937328974A}"/>
    <cellStyle name="Vírgula 6 2 2 4 2 2 4" xfId="4080" xr:uid="{9B55F8DA-8FDC-4F89-81FB-A25F8FA62A90}"/>
    <cellStyle name="Vírgula 6 2 2 4 2 2 4 2" xfId="4081" xr:uid="{EB035110-324D-4708-84A9-F8B8F9318CDE}"/>
    <cellStyle name="Vírgula 6 2 2 4 2 2 4 3" xfId="8251" xr:uid="{E291AD58-9E37-43F7-A9A3-3251C54AC114}"/>
    <cellStyle name="Vírgula 6 2 2 4 2 2 5" xfId="4082" xr:uid="{39EBAE42-6717-4A52-BBEA-C8D429A7A6FB}"/>
    <cellStyle name="Vírgula 6 2 2 4 2 2 6" xfId="8246" xr:uid="{62DA3530-54D9-470F-B64A-0D106E39367D}"/>
    <cellStyle name="Vírgula 6 2 2 4 2 3" xfId="4083" xr:uid="{8B8DD433-550D-4F04-8AB8-C2C30BE03494}"/>
    <cellStyle name="Vírgula 6 2 2 4 2 3 2" xfId="4084" xr:uid="{78E3E010-0175-41C7-BC67-E28CD2EA0699}"/>
    <cellStyle name="Vírgula 6 2 2 4 2 3 2 2" xfId="4085" xr:uid="{BF6AF37E-7A9F-42A1-A9FE-FBC73A20DB64}"/>
    <cellStyle name="Vírgula 6 2 2 4 2 3 2 3" xfId="8253" xr:uid="{BC98F0CD-BF08-4A6E-ADD8-FAB0C51DCD04}"/>
    <cellStyle name="Vírgula 6 2 2 4 2 3 3" xfId="4086" xr:uid="{3C9FB2D6-E9F8-4834-AC17-AEBF40BD20D3}"/>
    <cellStyle name="Vírgula 6 2 2 4 2 3 4" xfId="8252" xr:uid="{566ACD0F-079E-43F2-88B0-FD9EC84E5A65}"/>
    <cellStyle name="Vírgula 6 2 2 4 2 4" xfId="4087" xr:uid="{D8BEDD12-E845-494E-9D90-AA55F1857DF9}"/>
    <cellStyle name="Vírgula 6 2 2 4 2 4 2" xfId="4088" xr:uid="{0FC0C9A5-1DBD-4DBD-BC17-9F15413EA213}"/>
    <cellStyle name="Vírgula 6 2 2 4 2 4 2 2" xfId="4089" xr:uid="{1CFA49E2-63D7-41A6-B750-D125003A93D1}"/>
    <cellStyle name="Vírgula 6 2 2 4 2 4 2 3" xfId="8255" xr:uid="{511EC375-1025-4CB4-9FCA-BD8D27F063FE}"/>
    <cellStyle name="Vírgula 6 2 2 4 2 4 3" xfId="4090" xr:uid="{7B030B55-D466-4077-9228-E5B6A36BAA57}"/>
    <cellStyle name="Vírgula 6 2 2 4 2 4 4" xfId="8254" xr:uid="{5AD8B03A-93A5-4889-94EE-7D300FEF17BC}"/>
    <cellStyle name="Vírgula 6 2 2 4 2 5" xfId="4091" xr:uid="{E4CA584E-2862-4343-B11A-18B450B3F20C}"/>
    <cellStyle name="Vírgula 6 2 2 4 2 5 2" xfId="4092" xr:uid="{8A642FA8-5407-423B-A587-77608C7312F1}"/>
    <cellStyle name="Vírgula 6 2 2 4 2 5 3" xfId="8256" xr:uid="{A3142FBC-9878-48F4-AF59-869DCA68641B}"/>
    <cellStyle name="Vírgula 6 2 2 4 2 6" xfId="4093" xr:uid="{E63E0B2F-90D7-4565-AD22-4D62B037E7B9}"/>
    <cellStyle name="Vírgula 6 2 2 4 2 7" xfId="8245" xr:uid="{995656BF-A623-4266-B398-F623EFAD9270}"/>
    <cellStyle name="Vírgula 6 2 2 4 3" xfId="4094" xr:uid="{5A5BDB9A-ED1C-4C96-AAF6-B60640D82E40}"/>
    <cellStyle name="Vírgula 6 2 2 4 3 2" xfId="4095" xr:uid="{89DC9108-5919-46E2-82BE-A932AFC8E521}"/>
    <cellStyle name="Vírgula 6 2 2 4 3 2 2" xfId="4096" xr:uid="{2765E224-FC38-4E9E-A994-F1FF7A94AD40}"/>
    <cellStyle name="Vírgula 6 2 2 4 3 2 2 2" xfId="4097" xr:uid="{D13C7ED0-78FC-4B27-8E45-B7338C780E0B}"/>
    <cellStyle name="Vírgula 6 2 2 4 3 2 2 2 2" xfId="4098" xr:uid="{91AE70AC-7667-4889-9FD0-78C086D90C7B}"/>
    <cellStyle name="Vírgula 6 2 2 4 3 2 2 2 3" xfId="8260" xr:uid="{31A00EFA-144B-4B2F-B355-4D886D5797E2}"/>
    <cellStyle name="Vírgula 6 2 2 4 3 2 2 3" xfId="4099" xr:uid="{397B94C8-ECD3-43E5-AA0C-2006A98C5DC9}"/>
    <cellStyle name="Vírgula 6 2 2 4 3 2 2 4" xfId="8259" xr:uid="{C0FDAD70-5F88-4042-832B-267EA1953C37}"/>
    <cellStyle name="Vírgula 6 2 2 4 3 2 3" xfId="4100" xr:uid="{5302CEDF-9737-46F7-B455-3A9C0028C641}"/>
    <cellStyle name="Vírgula 6 2 2 4 3 2 3 2" xfId="4101" xr:uid="{077D6A2D-3279-481B-805F-0CCA2D1D398B}"/>
    <cellStyle name="Vírgula 6 2 2 4 3 2 3 2 2" xfId="4102" xr:uid="{2E255B07-4D1A-465C-BBD3-D6197F7F304E}"/>
    <cellStyle name="Vírgula 6 2 2 4 3 2 3 2 3" xfId="8262" xr:uid="{0D0EF505-901F-4B61-85B3-D15CDF07DD16}"/>
    <cellStyle name="Vírgula 6 2 2 4 3 2 3 3" xfId="4103" xr:uid="{599E29A3-A8BF-4336-B02F-82182D44DEDF}"/>
    <cellStyle name="Vírgula 6 2 2 4 3 2 3 4" xfId="8261" xr:uid="{011B005C-FCE9-48B2-9231-2B313FB53D36}"/>
    <cellStyle name="Vírgula 6 2 2 4 3 2 4" xfId="4104" xr:uid="{268E0A0D-5B36-4EFB-8A6B-943C94032F91}"/>
    <cellStyle name="Vírgula 6 2 2 4 3 2 4 2" xfId="4105" xr:uid="{4D8B9EED-D329-4746-9050-4CFD9B73D3DE}"/>
    <cellStyle name="Vírgula 6 2 2 4 3 2 4 3" xfId="8263" xr:uid="{98573539-0213-46DF-8055-24FD9E5AF2C8}"/>
    <cellStyle name="Vírgula 6 2 2 4 3 2 5" xfId="4106" xr:uid="{95275C63-64A2-4195-BB46-0376A443431E}"/>
    <cellStyle name="Vírgula 6 2 2 4 3 2 6" xfId="8258" xr:uid="{B18B85BF-2F52-4858-83DC-3DBC01B48DEC}"/>
    <cellStyle name="Vírgula 6 2 2 4 3 3" xfId="4107" xr:uid="{7D4B3F00-FC29-472C-9073-12C23276A4BD}"/>
    <cellStyle name="Vírgula 6 2 2 4 3 3 2" xfId="4108" xr:uid="{4C6699F3-2936-41C6-8136-DA963D7DE7C3}"/>
    <cellStyle name="Vírgula 6 2 2 4 3 3 2 2" xfId="4109" xr:uid="{8238D6C5-1926-4EE8-A879-BF4CD6D2E934}"/>
    <cellStyle name="Vírgula 6 2 2 4 3 3 2 3" xfId="8265" xr:uid="{F789E21A-5FE1-4AC8-8C0C-FDEAE746060F}"/>
    <cellStyle name="Vírgula 6 2 2 4 3 3 3" xfId="4110" xr:uid="{EAB716C9-604F-495D-A361-C7F847D58F2D}"/>
    <cellStyle name="Vírgula 6 2 2 4 3 3 4" xfId="8264" xr:uid="{C9AF05DC-F93A-4172-A801-1B08526A34EF}"/>
    <cellStyle name="Vírgula 6 2 2 4 3 4" xfId="4111" xr:uid="{57BA0876-15D3-435B-BF0D-B673E1264538}"/>
    <cellStyle name="Vírgula 6 2 2 4 3 4 2" xfId="4112" xr:uid="{E2DAF176-EDE7-4452-A57C-643F7AA8407F}"/>
    <cellStyle name="Vírgula 6 2 2 4 3 4 2 2" xfId="4113" xr:uid="{FDBF6706-E248-47B3-8151-06B4D3DE5143}"/>
    <cellStyle name="Vírgula 6 2 2 4 3 4 2 3" xfId="8267" xr:uid="{6DDF603D-F0B6-4AAA-80BC-BC6D8DFB1B26}"/>
    <cellStyle name="Vírgula 6 2 2 4 3 4 3" xfId="4114" xr:uid="{728F7127-64A1-453F-9677-CCFB2A8CDC4E}"/>
    <cellStyle name="Vírgula 6 2 2 4 3 4 4" xfId="8266" xr:uid="{FD265D8D-5023-4297-9DDA-17972862140E}"/>
    <cellStyle name="Vírgula 6 2 2 4 3 5" xfId="4115" xr:uid="{672F9BBE-F7B6-4082-A39F-3E5C6FD84998}"/>
    <cellStyle name="Vírgula 6 2 2 4 3 5 2" xfId="4116" xr:uid="{813FFECF-32A4-48CA-991E-6B04248374BD}"/>
    <cellStyle name="Vírgula 6 2 2 4 3 5 3" xfId="8268" xr:uid="{00B82DA0-4C54-4497-A595-0F7CE9C08576}"/>
    <cellStyle name="Vírgula 6 2 2 4 3 6" xfId="4117" xr:uid="{273293A1-92A8-46C0-BFBC-0E62E6DA828A}"/>
    <cellStyle name="Vírgula 6 2 2 4 3 7" xfId="8257" xr:uid="{5592E93C-BD1F-47FE-97F1-F08496A258E3}"/>
    <cellStyle name="Vírgula 6 2 2 4 4" xfId="4118" xr:uid="{DB4D3870-36DE-4734-B99D-07767E01C750}"/>
    <cellStyle name="Vírgula 6 2 2 4 4 2" xfId="4119" xr:uid="{70C675D0-822D-4758-BA11-C184DB2B3BA5}"/>
    <cellStyle name="Vírgula 6 2 2 4 4 2 2" xfId="4120" xr:uid="{DA835E92-691E-4734-840A-F7158ED15AF7}"/>
    <cellStyle name="Vírgula 6 2 2 4 4 2 2 2" xfId="4121" xr:uid="{10EFC518-70C8-4F81-B4AC-918B009C64E0}"/>
    <cellStyle name="Vírgula 6 2 2 4 4 2 2 3" xfId="8271" xr:uid="{4B9FF8D2-BBB5-4F9C-8875-9DB2A38C43C3}"/>
    <cellStyle name="Vírgula 6 2 2 4 4 2 3" xfId="4122" xr:uid="{3306C546-F979-4000-9188-0D2390E8B738}"/>
    <cellStyle name="Vírgula 6 2 2 4 4 2 4" xfId="8270" xr:uid="{6035F380-D3D8-4C83-9977-5B4157E7100F}"/>
    <cellStyle name="Vírgula 6 2 2 4 4 3" xfId="4123" xr:uid="{EEE970AE-EC3C-429C-81FE-97B0B313EEDB}"/>
    <cellStyle name="Vírgula 6 2 2 4 4 3 2" xfId="4124" xr:uid="{7350434B-2A63-4255-BADA-90EDA8572D4D}"/>
    <cellStyle name="Vírgula 6 2 2 4 4 3 2 2" xfId="4125" xr:uid="{D527DB2A-433D-4363-A2E4-938EBE03F963}"/>
    <cellStyle name="Vírgula 6 2 2 4 4 3 2 3" xfId="8273" xr:uid="{250890F3-5B56-4FF9-8B11-C5A742C0776C}"/>
    <cellStyle name="Vírgula 6 2 2 4 4 3 3" xfId="4126" xr:uid="{8A21F558-3DF3-4AAF-9BE0-806853FE09BC}"/>
    <cellStyle name="Vírgula 6 2 2 4 4 3 4" xfId="8272" xr:uid="{A6DBC675-0722-4BED-8F5E-F630C191B590}"/>
    <cellStyle name="Vírgula 6 2 2 4 4 4" xfId="4127" xr:uid="{C460C0D0-535B-41D2-BD4F-60319250C45F}"/>
    <cellStyle name="Vírgula 6 2 2 4 4 4 2" xfId="4128" xr:uid="{F56D4B94-7C3A-4E21-85EC-F9CDD83F9932}"/>
    <cellStyle name="Vírgula 6 2 2 4 4 4 3" xfId="8274" xr:uid="{D70C1B54-9B29-4E44-944E-D742999D27AE}"/>
    <cellStyle name="Vírgula 6 2 2 4 4 5" xfId="4129" xr:uid="{A30771CC-78F0-4A02-8E37-E71DDD1594FA}"/>
    <cellStyle name="Vírgula 6 2 2 4 4 6" xfId="8269" xr:uid="{B410A760-85ED-4055-BEC9-E5637794D2AA}"/>
    <cellStyle name="Vírgula 6 2 2 4 5" xfId="4130" xr:uid="{3EA3125F-F869-4430-B2E8-7DEA5F2584B6}"/>
    <cellStyle name="Vírgula 6 2 2 4 5 2" xfId="4131" xr:uid="{13ED86AD-9A69-4FEE-B099-E921D9A858BA}"/>
    <cellStyle name="Vírgula 6 2 2 4 5 2 2" xfId="4132" xr:uid="{FED3F7A8-E08C-4483-AA47-100C497F11AF}"/>
    <cellStyle name="Vírgula 6 2 2 4 5 2 3" xfId="8276" xr:uid="{7B58DE83-4B3D-4326-A244-FDDC12C04F8E}"/>
    <cellStyle name="Vírgula 6 2 2 4 5 3" xfId="4133" xr:uid="{A6BF4633-7843-48A5-AFF5-EB404EF72D8D}"/>
    <cellStyle name="Vírgula 6 2 2 4 5 4" xfId="8275" xr:uid="{8A0D95DF-4F94-4262-BB98-9E871FE8B69E}"/>
    <cellStyle name="Vírgula 6 2 2 4 6" xfId="4134" xr:uid="{3B4DF5AC-0918-4586-BD16-D584796E12F9}"/>
    <cellStyle name="Vírgula 6 2 2 4 6 2" xfId="4135" xr:uid="{377D46A4-7D83-49AA-B5D6-827199824217}"/>
    <cellStyle name="Vírgula 6 2 2 4 6 2 2" xfId="4136" xr:uid="{8794E60C-EF9E-42F2-83A9-255A0BE3FC6C}"/>
    <cellStyle name="Vírgula 6 2 2 4 6 2 3" xfId="8278" xr:uid="{294BAC1C-F358-4D8B-AA6A-6446D6EF937F}"/>
    <cellStyle name="Vírgula 6 2 2 4 6 3" xfId="4137" xr:uid="{87F89DEA-CD7A-4D9E-BE12-4283BCE5F26E}"/>
    <cellStyle name="Vírgula 6 2 2 4 6 4" xfId="8277" xr:uid="{B5E3CFD5-16E3-4A8C-8F1E-7DD27557E01A}"/>
    <cellStyle name="Vírgula 6 2 2 4 7" xfId="4138" xr:uid="{647ABA3C-A042-41EC-9130-E656B4847916}"/>
    <cellStyle name="Vírgula 6 2 2 4 7 2" xfId="4139" xr:uid="{AABF9E69-53A7-40E9-93B9-9E6227A91DE6}"/>
    <cellStyle name="Vírgula 6 2 2 4 7 3" xfId="8279" xr:uid="{D0E76438-8385-4D76-B691-81D63DF93440}"/>
    <cellStyle name="Vírgula 6 2 2 4 8" xfId="4140" xr:uid="{2952589E-9506-451A-B633-010B68988DF9}"/>
    <cellStyle name="Vírgula 6 2 2 4 9" xfId="8244" xr:uid="{58316ED5-7494-444B-8500-1323E3AACB1A}"/>
    <cellStyle name="Vírgula 6 2 2 5" xfId="4141" xr:uid="{30ECA660-68BB-4BC4-A855-1CECCC22C6C5}"/>
    <cellStyle name="Vírgula 6 2 2 5 2" xfId="4142" xr:uid="{C64D4D6E-BAA5-421A-A6DD-0886B5AF3B44}"/>
    <cellStyle name="Vírgula 6 2 2 5 2 2" xfId="4143" xr:uid="{04CC353E-058E-4FFA-A547-52AC5A14925F}"/>
    <cellStyle name="Vírgula 6 2 2 5 2 2 2" xfId="4144" xr:uid="{F708E098-675D-4001-BCEC-95D5AAC95D30}"/>
    <cellStyle name="Vírgula 6 2 2 5 2 2 2 2" xfId="4145" xr:uid="{ED523389-AED5-4C6C-B271-449FF4B93E05}"/>
    <cellStyle name="Vírgula 6 2 2 5 2 2 2 3" xfId="8283" xr:uid="{E5AAE35D-8E42-4344-8E69-169B5142AD45}"/>
    <cellStyle name="Vírgula 6 2 2 5 2 2 3" xfId="4146" xr:uid="{24C035DA-3723-4D34-BFA8-52DA4B56FD88}"/>
    <cellStyle name="Vírgula 6 2 2 5 2 2 4" xfId="8282" xr:uid="{EE04B720-10C4-4D79-91D6-E41BA1ED429E}"/>
    <cellStyle name="Vírgula 6 2 2 5 2 3" xfId="4147" xr:uid="{B853A25E-55F9-4EF3-A9A2-2889E165D867}"/>
    <cellStyle name="Vírgula 6 2 2 5 2 3 2" xfId="4148" xr:uid="{942A5BA6-D535-482A-BB4D-A9773DDEFC27}"/>
    <cellStyle name="Vírgula 6 2 2 5 2 3 2 2" xfId="4149" xr:uid="{6685794C-C202-4983-B53F-2F32C3118F4C}"/>
    <cellStyle name="Vírgula 6 2 2 5 2 3 2 3" xfId="8285" xr:uid="{D3663C3B-B4F7-44A5-902E-A6D1375B7609}"/>
    <cellStyle name="Vírgula 6 2 2 5 2 3 3" xfId="4150" xr:uid="{4E877CA6-B3F3-40AE-941F-2BC0F94D8594}"/>
    <cellStyle name="Vírgula 6 2 2 5 2 3 4" xfId="8284" xr:uid="{4DFD1963-E57D-42D0-AB86-BF15487893C9}"/>
    <cellStyle name="Vírgula 6 2 2 5 2 4" xfId="4151" xr:uid="{D454F735-A985-45DC-86B4-826525A9AC75}"/>
    <cellStyle name="Vírgula 6 2 2 5 2 4 2" xfId="4152" xr:uid="{13A7984E-5F0F-40D8-954F-8E37B035F2B3}"/>
    <cellStyle name="Vírgula 6 2 2 5 2 4 3" xfId="8286" xr:uid="{0DEBAB7F-8C9A-4882-9035-01310C230E2C}"/>
    <cellStyle name="Vírgula 6 2 2 5 2 5" xfId="4153" xr:uid="{C05813CE-B5D3-4242-9342-0724B5458E9C}"/>
    <cellStyle name="Vírgula 6 2 2 5 2 6" xfId="8281" xr:uid="{2EE012E2-BADF-48D8-86CC-F5A385269B05}"/>
    <cellStyle name="Vírgula 6 2 2 5 3" xfId="4154" xr:uid="{25B5EECA-F3E0-4A5D-87BB-2E7700298300}"/>
    <cellStyle name="Vírgula 6 2 2 5 3 2" xfId="4155" xr:uid="{F10CFF00-7EBD-43E1-B5F2-78BBADB136CF}"/>
    <cellStyle name="Vírgula 6 2 2 5 3 2 2" xfId="4156" xr:uid="{ED27CDC4-3CB4-4D3A-9EAE-C7131983D73D}"/>
    <cellStyle name="Vírgula 6 2 2 5 3 2 3" xfId="8288" xr:uid="{1ED10AB2-0F33-4363-A091-6ED292991B21}"/>
    <cellStyle name="Vírgula 6 2 2 5 3 3" xfId="4157" xr:uid="{D79351E5-5187-4C13-9ED2-A573EF617F62}"/>
    <cellStyle name="Vírgula 6 2 2 5 3 4" xfId="8287" xr:uid="{90142B41-0503-43D5-82B2-A8E016A02595}"/>
    <cellStyle name="Vírgula 6 2 2 5 4" xfId="4158" xr:uid="{0D21BBC0-6A6B-4DB6-AA13-A90D4D214B93}"/>
    <cellStyle name="Vírgula 6 2 2 5 4 2" xfId="4159" xr:uid="{D869B103-8E2C-42C2-842B-9C771EF44AA1}"/>
    <cellStyle name="Vírgula 6 2 2 5 4 2 2" xfId="4160" xr:uid="{11DEBC3B-74F6-47ED-997E-69045BF63439}"/>
    <cellStyle name="Vírgula 6 2 2 5 4 2 3" xfId="8290" xr:uid="{A833C88F-987F-4AAF-8E7A-B2F4DB76A44A}"/>
    <cellStyle name="Vírgula 6 2 2 5 4 3" xfId="4161" xr:uid="{22F3CE3C-1009-4630-87E9-74E9B291E9DE}"/>
    <cellStyle name="Vírgula 6 2 2 5 4 4" xfId="8289" xr:uid="{C53BC049-76C3-4C5C-A499-EB789C5F6945}"/>
    <cellStyle name="Vírgula 6 2 2 5 5" xfId="4162" xr:uid="{8ED6649B-BACE-4F76-9DBA-C41EF6945311}"/>
    <cellStyle name="Vírgula 6 2 2 5 5 2" xfId="4163" xr:uid="{AFB201F7-D5BD-45BF-A2AB-32CD214F97A6}"/>
    <cellStyle name="Vírgula 6 2 2 5 5 3" xfId="8291" xr:uid="{F61B9DA4-607A-4EE6-9A5F-DB6C70B3BF17}"/>
    <cellStyle name="Vírgula 6 2 2 5 6" xfId="4164" xr:uid="{007798B3-D796-40D8-B9A3-7927749C0BCD}"/>
    <cellStyle name="Vírgula 6 2 2 5 7" xfId="8280" xr:uid="{0B416FE2-148E-4BFD-AB77-6DF4332D9EB3}"/>
    <cellStyle name="Vírgula 6 2 2 6" xfId="4165" xr:uid="{43B36171-FD04-4785-9DBD-374F04BA6F27}"/>
    <cellStyle name="Vírgula 6 2 2 6 2" xfId="4166" xr:uid="{72E02971-B4B0-44E6-BCEE-CA22B8119C8F}"/>
    <cellStyle name="Vírgula 6 2 2 6 2 2" xfId="4167" xr:uid="{E555806B-E71E-4268-A96B-C0EEBA4F1C6E}"/>
    <cellStyle name="Vírgula 6 2 2 6 2 2 2" xfId="4168" xr:uid="{10126DEC-0B0C-45B3-B5F8-45EECED0076E}"/>
    <cellStyle name="Vírgula 6 2 2 6 2 2 2 2" xfId="4169" xr:uid="{4566905E-D288-40D3-8B30-1AA08B8D415B}"/>
    <cellStyle name="Vírgula 6 2 2 6 2 2 2 3" xfId="8295" xr:uid="{5AE83BF0-6725-4555-B78B-189BABF9DA91}"/>
    <cellStyle name="Vírgula 6 2 2 6 2 2 3" xfId="4170" xr:uid="{ECD96412-035E-4706-B23C-121950C6B7EE}"/>
    <cellStyle name="Vírgula 6 2 2 6 2 2 4" xfId="8294" xr:uid="{A7A19777-9EF4-4E71-855A-DC9B70B455C6}"/>
    <cellStyle name="Vírgula 6 2 2 6 2 3" xfId="4171" xr:uid="{F29CF82C-11CC-452D-B37B-4A8647222DA2}"/>
    <cellStyle name="Vírgula 6 2 2 6 2 3 2" xfId="4172" xr:uid="{80131BD1-F367-4620-8F74-9416E4E4D7AC}"/>
    <cellStyle name="Vírgula 6 2 2 6 2 3 2 2" xfId="4173" xr:uid="{09F4DB35-1751-43A4-9613-5A50520858B5}"/>
    <cellStyle name="Vírgula 6 2 2 6 2 3 2 3" xfId="8297" xr:uid="{AB027146-9849-4BCD-B399-803C3474EFF8}"/>
    <cellStyle name="Vírgula 6 2 2 6 2 3 3" xfId="4174" xr:uid="{95E0C062-1E34-4457-94D0-2F4ADA93E957}"/>
    <cellStyle name="Vírgula 6 2 2 6 2 3 4" xfId="8296" xr:uid="{F084A2DF-1779-4DF9-903F-A0FE68923CFF}"/>
    <cellStyle name="Vírgula 6 2 2 6 2 4" xfId="4175" xr:uid="{4920CCA2-59BB-44D9-A46A-0CCF4A356496}"/>
    <cellStyle name="Vírgula 6 2 2 6 2 4 2" xfId="4176" xr:uid="{11A8F557-277F-49BE-9C7B-580092E29805}"/>
    <cellStyle name="Vírgula 6 2 2 6 2 4 3" xfId="8298" xr:uid="{3F974BED-170F-4960-886B-AEBABB1D4A8B}"/>
    <cellStyle name="Vírgula 6 2 2 6 2 5" xfId="4177" xr:uid="{DF43168A-C669-4DAA-AAA5-06804A061A45}"/>
    <cellStyle name="Vírgula 6 2 2 6 2 6" xfId="8293" xr:uid="{3DC6C101-BFFA-45EF-977A-39766A761D25}"/>
    <cellStyle name="Vírgula 6 2 2 6 3" xfId="4178" xr:uid="{C997969E-9A0B-4EB4-AB7F-47E912C96EE0}"/>
    <cellStyle name="Vírgula 6 2 2 6 3 2" xfId="4179" xr:uid="{3A2702E1-8AD8-49B7-B7A4-0463780ABA0E}"/>
    <cellStyle name="Vírgula 6 2 2 6 3 2 2" xfId="4180" xr:uid="{7AAE3AF6-8740-49C1-B63D-E9CA336A0B40}"/>
    <cellStyle name="Vírgula 6 2 2 6 3 2 3" xfId="8300" xr:uid="{CC379724-250E-49B1-B103-039069653972}"/>
    <cellStyle name="Vírgula 6 2 2 6 3 3" xfId="4181" xr:uid="{ACAB2893-74AC-4AD5-9971-0A10E60066DC}"/>
    <cellStyle name="Vírgula 6 2 2 6 3 4" xfId="8299" xr:uid="{27F912C3-C8D4-462B-B4D0-767CD889EB08}"/>
    <cellStyle name="Vírgula 6 2 2 6 4" xfId="4182" xr:uid="{EEB87476-E790-4CA7-B4DE-DE1758354FE2}"/>
    <cellStyle name="Vírgula 6 2 2 6 4 2" xfId="4183" xr:uid="{2B9A2E77-0BBC-446B-AB70-49338383F7AE}"/>
    <cellStyle name="Vírgula 6 2 2 6 4 2 2" xfId="4184" xr:uid="{3BFE529F-83EB-40EF-9FDF-525301DB6130}"/>
    <cellStyle name="Vírgula 6 2 2 6 4 2 3" xfId="8302" xr:uid="{896580ED-0376-43B5-A4CE-216E5CD28349}"/>
    <cellStyle name="Vírgula 6 2 2 6 4 3" xfId="4185" xr:uid="{3537FBC9-C8B3-4E87-9DCE-A7FB4DB3CB44}"/>
    <cellStyle name="Vírgula 6 2 2 6 4 4" xfId="8301" xr:uid="{5A0A834C-438E-4CA6-93DB-2FF95F821EFE}"/>
    <cellStyle name="Vírgula 6 2 2 6 5" xfId="4186" xr:uid="{80F58020-5DAC-4C46-848F-FEB34F5F7688}"/>
    <cellStyle name="Vírgula 6 2 2 6 5 2" xfId="4187" xr:uid="{F1A48658-2D02-48C8-BA1C-DD297A573CB5}"/>
    <cellStyle name="Vírgula 6 2 2 6 5 3" xfId="8303" xr:uid="{9B327F53-DF69-44A3-A5B0-81964E58505C}"/>
    <cellStyle name="Vírgula 6 2 2 6 6" xfId="4188" xr:uid="{8FED5448-0B5C-485E-BC2C-2DF62B2CE9B8}"/>
    <cellStyle name="Vírgula 6 2 2 6 7" xfId="8292" xr:uid="{2EA12A40-8141-4DD4-8C87-ABED678A0400}"/>
    <cellStyle name="Vírgula 6 2 2 7" xfId="4189" xr:uid="{E1E69443-E70F-471A-ABC9-45759C932F6A}"/>
    <cellStyle name="Vírgula 6 2 2 7 2" xfId="4190" xr:uid="{0B926BDE-ADC7-4E7C-A48A-97A38FED16F0}"/>
    <cellStyle name="Vírgula 6 2 2 7 2 2" xfId="4191" xr:uid="{7E7FBBA9-83C4-46A7-81DF-A5A926CDBF69}"/>
    <cellStyle name="Vírgula 6 2 2 7 2 2 2" xfId="4192" xr:uid="{DCC01964-43A3-4217-A198-46F961E5F8C3}"/>
    <cellStyle name="Vírgula 6 2 2 7 2 2 3" xfId="8306" xr:uid="{D870E78D-5ECC-4175-AE94-FD24B614D6C5}"/>
    <cellStyle name="Vírgula 6 2 2 7 2 3" xfId="4193" xr:uid="{5B607261-48FC-4314-8BE7-2A8EA8D7851E}"/>
    <cellStyle name="Vírgula 6 2 2 7 2 4" xfId="8305" xr:uid="{B4E491EB-D415-4D11-B39C-236A58E9B6BC}"/>
    <cellStyle name="Vírgula 6 2 2 7 3" xfId="4194" xr:uid="{998E498B-607F-42EB-B6B8-56A6885940D3}"/>
    <cellStyle name="Vírgula 6 2 2 7 3 2" xfId="4195" xr:uid="{12E55996-08B4-4968-9CF5-E709505403BB}"/>
    <cellStyle name="Vírgula 6 2 2 7 3 2 2" xfId="4196" xr:uid="{026C9B0A-B764-4168-A795-08C40B7DB575}"/>
    <cellStyle name="Vírgula 6 2 2 7 3 2 3" xfId="8308" xr:uid="{46DCE702-D2D5-423D-9768-6793C81D6D13}"/>
    <cellStyle name="Vírgula 6 2 2 7 3 3" xfId="4197" xr:uid="{A4156375-0B0A-4504-8099-B8D8A05AFF7E}"/>
    <cellStyle name="Vírgula 6 2 2 7 3 4" xfId="8307" xr:uid="{8BDFFD47-4B57-4B1F-A097-6021FFB55083}"/>
    <cellStyle name="Vírgula 6 2 2 7 4" xfId="4198" xr:uid="{BC178430-F1A3-417D-97F3-C6B8F4C2A2CC}"/>
    <cellStyle name="Vírgula 6 2 2 7 4 2" xfId="4199" xr:uid="{1A00B26B-C29B-4312-AAD9-BD5304B57AC2}"/>
    <cellStyle name="Vírgula 6 2 2 7 4 3" xfId="8309" xr:uid="{430B9A2E-7C69-474F-9540-0E7B169BBDCB}"/>
    <cellStyle name="Vírgula 6 2 2 7 5" xfId="4200" xr:uid="{135EF73E-9137-4805-8CAF-C8D6E9CDD6FE}"/>
    <cellStyle name="Vírgula 6 2 2 7 6" xfId="8304" xr:uid="{254E1BB4-3F30-4B9C-8100-0501456CB760}"/>
    <cellStyle name="Vírgula 6 2 2 8" xfId="4201" xr:uid="{FB4BD0C1-DBF0-4AA8-8977-D8FB102DEB50}"/>
    <cellStyle name="Vírgula 6 2 2 8 2" xfId="4202" xr:uid="{94B47168-AC7B-4B9B-90A8-A569037DE7FF}"/>
    <cellStyle name="Vírgula 6 2 2 8 2 2" xfId="4203" xr:uid="{C51175F9-F808-4531-815B-7FB90AC2E413}"/>
    <cellStyle name="Vírgula 6 2 2 8 2 3" xfId="8311" xr:uid="{69A389C9-DA03-4D07-9D0C-8A5131A77EB6}"/>
    <cellStyle name="Vírgula 6 2 2 8 3" xfId="4204" xr:uid="{C2921022-F6E1-4531-9866-E05EA72007E6}"/>
    <cellStyle name="Vírgula 6 2 2 8 4" xfId="8310" xr:uid="{E687BCB7-B59D-4A13-B03B-BD84686600F2}"/>
    <cellStyle name="Vírgula 6 2 2 9" xfId="4205" xr:uid="{86B1914A-11AF-462B-88C6-215350D3D423}"/>
    <cellStyle name="Vírgula 6 2 2 9 2" xfId="4206" xr:uid="{3EC3B5C2-FD4D-43D5-86DE-52C5BE65DFBD}"/>
    <cellStyle name="Vírgula 6 2 2 9 2 2" xfId="4207" xr:uid="{0378C7FF-EDD0-4C59-811A-F71D9EB1DDBA}"/>
    <cellStyle name="Vírgula 6 2 2 9 2 3" xfId="8313" xr:uid="{D5CB04DC-4648-496A-9D0B-1E33F4A99600}"/>
    <cellStyle name="Vírgula 6 2 2 9 3" xfId="4208" xr:uid="{B1B0C888-6798-4F93-9932-8848456A45F0}"/>
    <cellStyle name="Vírgula 6 2 2 9 4" xfId="8312" xr:uid="{D8B943A0-5ABD-47BD-8F5F-7F12C35172D3}"/>
    <cellStyle name="Vírgula 6 2 3" xfId="4209" xr:uid="{8D9C98C0-69C9-4EEC-A2EE-6E3F53A21272}"/>
    <cellStyle name="Vírgula 6 2 3 2" xfId="4210" xr:uid="{5B1E0DD1-2EB6-488D-8A94-4A62CFC8B3D9}"/>
    <cellStyle name="Vírgula 6 2 3 2 2" xfId="4211" xr:uid="{F0E58EC6-4E07-4198-94FC-34522746AE6D}"/>
    <cellStyle name="Vírgula 6 2 3 2 2 2" xfId="4212" xr:uid="{B34F1435-8329-414D-BB5E-1FF9F0BA1BEA}"/>
    <cellStyle name="Vírgula 6 2 3 2 2 2 2" xfId="4213" xr:uid="{0F4973BD-235D-45B8-A379-6D1C9BB9D721}"/>
    <cellStyle name="Vírgula 6 2 3 2 2 2 2 2" xfId="4214" xr:uid="{43E26B2D-2F31-4951-91EF-81F05B7A611D}"/>
    <cellStyle name="Vírgula 6 2 3 2 2 2 2 3" xfId="8318" xr:uid="{5A826381-BE94-43B0-804F-01E8EFBC57B7}"/>
    <cellStyle name="Vírgula 6 2 3 2 2 2 3" xfId="4215" xr:uid="{FB398894-50A2-4831-B162-0E53ED6946DA}"/>
    <cellStyle name="Vírgula 6 2 3 2 2 2 4" xfId="8317" xr:uid="{A18D3BA2-A4BA-4C0C-A445-E189804E81DC}"/>
    <cellStyle name="Vírgula 6 2 3 2 2 3" xfId="4216" xr:uid="{011363F6-BD12-4E19-9FED-66FD3AE212DF}"/>
    <cellStyle name="Vírgula 6 2 3 2 2 3 2" xfId="4217" xr:uid="{3E49C90E-B664-445D-AE43-7E557AB8FD3B}"/>
    <cellStyle name="Vírgula 6 2 3 2 2 3 2 2" xfId="4218" xr:uid="{4DC51725-189A-4515-BBB5-CD850F9A074E}"/>
    <cellStyle name="Vírgula 6 2 3 2 2 3 2 3" xfId="8320" xr:uid="{E9D67366-021B-4ED5-9719-32E98DC94DCB}"/>
    <cellStyle name="Vírgula 6 2 3 2 2 3 3" xfId="4219" xr:uid="{7EA908FC-50C4-4862-87DB-C9AAABD47116}"/>
    <cellStyle name="Vírgula 6 2 3 2 2 3 4" xfId="8319" xr:uid="{70B643F8-8111-466A-B517-B391BE63903D}"/>
    <cellStyle name="Vírgula 6 2 3 2 2 4" xfId="4220" xr:uid="{77EA95EB-3061-4B7D-9052-8DE98EF1885C}"/>
    <cellStyle name="Vírgula 6 2 3 2 2 4 2" xfId="4221" xr:uid="{D72233CB-D052-4285-BBE4-F4142117D5FE}"/>
    <cellStyle name="Vírgula 6 2 3 2 2 4 3" xfId="8321" xr:uid="{EC8FDAE1-D8EE-4A0E-A363-FECF4D5F34AB}"/>
    <cellStyle name="Vírgula 6 2 3 2 2 5" xfId="4222" xr:uid="{AE634D81-1659-4AF9-BAC3-CE81AB74627D}"/>
    <cellStyle name="Vírgula 6 2 3 2 2 6" xfId="8316" xr:uid="{4B0EF335-9977-4FEB-8961-325E7890AA59}"/>
    <cellStyle name="Vírgula 6 2 3 2 3" xfId="4223" xr:uid="{28B04A99-9B6E-4E30-BDC3-13C15411E4AE}"/>
    <cellStyle name="Vírgula 6 2 3 2 3 2" xfId="4224" xr:uid="{E39247B3-47C0-47CB-8E1A-D9C64460AAEE}"/>
    <cellStyle name="Vírgula 6 2 3 2 3 2 2" xfId="4225" xr:uid="{B607A653-E8D3-4A41-B11B-AB7D04A8825E}"/>
    <cellStyle name="Vírgula 6 2 3 2 3 2 3" xfId="8323" xr:uid="{F293A37E-C6CA-4269-A8F1-CD985BC1FEC6}"/>
    <cellStyle name="Vírgula 6 2 3 2 3 3" xfId="4226" xr:uid="{9B8EB6DD-6A84-4DB5-AB21-D8175EB5449A}"/>
    <cellStyle name="Vírgula 6 2 3 2 3 4" xfId="8322" xr:uid="{D9797AB3-C7BF-4B9E-BFC9-2EB0DC2B1263}"/>
    <cellStyle name="Vírgula 6 2 3 2 4" xfId="4227" xr:uid="{40ADBEC5-9921-4BBF-A0F3-7FFCC9B622F2}"/>
    <cellStyle name="Vírgula 6 2 3 2 4 2" xfId="4228" xr:uid="{F5D90377-6DF0-4796-BDBA-E8D750EE5CA9}"/>
    <cellStyle name="Vírgula 6 2 3 2 4 2 2" xfId="4229" xr:uid="{572DD1E8-157A-4F60-AE59-83104F4ABA5A}"/>
    <cellStyle name="Vírgula 6 2 3 2 4 2 3" xfId="8325" xr:uid="{E0416CA2-17F1-4189-998A-90FB34032F16}"/>
    <cellStyle name="Vírgula 6 2 3 2 4 3" xfId="4230" xr:uid="{1264B381-6449-4FB6-9012-7291C6531B11}"/>
    <cellStyle name="Vírgula 6 2 3 2 4 4" xfId="8324" xr:uid="{92912226-AC52-4B70-90B4-BC8A597FF6F3}"/>
    <cellStyle name="Vírgula 6 2 3 2 5" xfId="4231" xr:uid="{4679674D-A07D-4DC7-8AAC-2408D722A5D2}"/>
    <cellStyle name="Vírgula 6 2 3 2 5 2" xfId="4232" xr:uid="{CD071A92-CB92-4811-8EE0-41E8699610E7}"/>
    <cellStyle name="Vírgula 6 2 3 2 5 3" xfId="8326" xr:uid="{D8394C64-B8F6-4ACA-909B-6D104EB259AC}"/>
    <cellStyle name="Vírgula 6 2 3 2 6" xfId="4233" xr:uid="{3CCBA089-6272-403D-8C61-6A74A3372A41}"/>
    <cellStyle name="Vírgula 6 2 3 2 7" xfId="8315" xr:uid="{FC9C3072-BD22-4DA4-90E5-B6170978FF07}"/>
    <cellStyle name="Vírgula 6 2 3 3" xfId="4234" xr:uid="{C5325FD9-69CC-4E3C-8749-56E23959CB12}"/>
    <cellStyle name="Vírgula 6 2 3 3 2" xfId="4235" xr:uid="{B88A2779-9370-416B-8D75-B7CCCB37472C}"/>
    <cellStyle name="Vírgula 6 2 3 3 2 2" xfId="4236" xr:uid="{12EC027F-3CF7-4AB3-89A7-A48BA5B45173}"/>
    <cellStyle name="Vírgula 6 2 3 3 2 2 2" xfId="4237" xr:uid="{77987046-73F5-4EDF-84DD-A210CA369893}"/>
    <cellStyle name="Vírgula 6 2 3 3 2 2 2 2" xfId="4238" xr:uid="{DA9BA4FF-CABA-4F86-9000-810941AE4A25}"/>
    <cellStyle name="Vírgula 6 2 3 3 2 2 2 3" xfId="8330" xr:uid="{FC8D60DE-47CE-4820-A3B4-B9C0B526AB81}"/>
    <cellStyle name="Vírgula 6 2 3 3 2 2 3" xfId="4239" xr:uid="{B6E894B3-CFB2-4F05-98B4-DDF10CC56D22}"/>
    <cellStyle name="Vírgula 6 2 3 3 2 2 4" xfId="8329" xr:uid="{1A566C3A-64EB-46F2-BBA1-13D7EED8F2DF}"/>
    <cellStyle name="Vírgula 6 2 3 3 2 3" xfId="4240" xr:uid="{47E1CE7C-1DA3-42DA-9D68-1A45F0E0BB36}"/>
    <cellStyle name="Vírgula 6 2 3 3 2 3 2" xfId="4241" xr:uid="{25409FD6-9B74-4645-8B03-C8800B8FFAC1}"/>
    <cellStyle name="Vírgula 6 2 3 3 2 3 2 2" xfId="4242" xr:uid="{B7F869CB-AB12-45F6-A677-D22FADE34A45}"/>
    <cellStyle name="Vírgula 6 2 3 3 2 3 2 3" xfId="8332" xr:uid="{B71F897F-BCBA-42D3-8931-2AE539AECB17}"/>
    <cellStyle name="Vírgula 6 2 3 3 2 3 3" xfId="4243" xr:uid="{79E28A36-0210-4ACA-9DCA-9988C79D0195}"/>
    <cellStyle name="Vírgula 6 2 3 3 2 3 4" xfId="8331" xr:uid="{AE75E222-B78D-43BD-8A6F-8AA9C14A35B5}"/>
    <cellStyle name="Vírgula 6 2 3 3 2 4" xfId="4244" xr:uid="{93AC2604-E865-434C-97AE-120D951D73D4}"/>
    <cellStyle name="Vírgula 6 2 3 3 2 4 2" xfId="4245" xr:uid="{47852899-8071-47A3-BFDC-EC9146E90409}"/>
    <cellStyle name="Vírgula 6 2 3 3 2 4 3" xfId="8333" xr:uid="{996AE660-4D9F-4A71-AC22-F40C516FB0E4}"/>
    <cellStyle name="Vírgula 6 2 3 3 2 5" xfId="4246" xr:uid="{75AF8143-BB43-493D-AFA2-5C915EE2AC03}"/>
    <cellStyle name="Vírgula 6 2 3 3 2 6" xfId="8328" xr:uid="{AB23A9A0-2473-4E17-90EE-33F3F0B976A4}"/>
    <cellStyle name="Vírgula 6 2 3 3 3" xfId="4247" xr:uid="{2D9703FC-E2E1-4218-8130-76B671F64A16}"/>
    <cellStyle name="Vírgula 6 2 3 3 3 2" xfId="4248" xr:uid="{3DA0903E-2C9B-4F44-957D-8795317591B4}"/>
    <cellStyle name="Vírgula 6 2 3 3 3 2 2" xfId="4249" xr:uid="{676B0EA5-7507-4AE9-8635-91E641D16C24}"/>
    <cellStyle name="Vírgula 6 2 3 3 3 2 3" xfId="8335" xr:uid="{B5A9D9B1-30F6-46A1-8819-3E6DA33C68EF}"/>
    <cellStyle name="Vírgula 6 2 3 3 3 3" xfId="4250" xr:uid="{69377DE8-9EC2-46D5-BAFF-C6A201C6F602}"/>
    <cellStyle name="Vírgula 6 2 3 3 3 4" xfId="8334" xr:uid="{24EB493F-BBF3-4788-A987-038B76FF1BEE}"/>
    <cellStyle name="Vírgula 6 2 3 3 4" xfId="4251" xr:uid="{AE486743-4862-43DD-AE2C-D256B566128E}"/>
    <cellStyle name="Vírgula 6 2 3 3 4 2" xfId="4252" xr:uid="{DCEE29AA-87BA-43D3-8B81-4A45F2174205}"/>
    <cellStyle name="Vírgula 6 2 3 3 4 2 2" xfId="4253" xr:uid="{F17FBFBC-1660-4F70-A3B6-64B3A4403975}"/>
    <cellStyle name="Vírgula 6 2 3 3 4 2 3" xfId="8337" xr:uid="{75FC11FB-B74A-4F3F-852E-7BDD8C409B0C}"/>
    <cellStyle name="Vírgula 6 2 3 3 4 3" xfId="4254" xr:uid="{A99E785F-A734-4012-ADEB-EF658582E0C5}"/>
    <cellStyle name="Vírgula 6 2 3 3 4 4" xfId="8336" xr:uid="{A66B1C20-2841-443F-906F-EAB967012152}"/>
    <cellStyle name="Vírgula 6 2 3 3 5" xfId="4255" xr:uid="{F1D781FE-668C-49D5-93BF-6B3AE61A8292}"/>
    <cellStyle name="Vírgula 6 2 3 3 5 2" xfId="4256" xr:uid="{618ECB12-6BAF-47F2-9812-351A7A89F3A5}"/>
    <cellStyle name="Vírgula 6 2 3 3 5 3" xfId="8338" xr:uid="{7AFEA819-840F-4058-B1B6-AC80D3E3F362}"/>
    <cellStyle name="Vírgula 6 2 3 3 6" xfId="4257" xr:uid="{07638E57-5134-42ED-AC92-BDD0D078880D}"/>
    <cellStyle name="Vírgula 6 2 3 3 7" xfId="8327" xr:uid="{77368126-593C-401A-9ED7-41CF1DC5F3FA}"/>
    <cellStyle name="Vírgula 6 2 3 4" xfId="4258" xr:uid="{64080511-C0A8-497C-8E5A-82DBCBD293C6}"/>
    <cellStyle name="Vírgula 6 2 3 4 2" xfId="4259" xr:uid="{CA269A3B-D977-4A93-91C2-07E8DA456169}"/>
    <cellStyle name="Vírgula 6 2 3 4 2 2" xfId="4260" xr:uid="{DA1306DA-A4DB-4935-809E-704C820A5CEB}"/>
    <cellStyle name="Vírgula 6 2 3 4 2 2 2" xfId="4261" xr:uid="{8B282D2B-D19E-4DD4-9E66-387CA84FD5E6}"/>
    <cellStyle name="Vírgula 6 2 3 4 2 2 3" xfId="8341" xr:uid="{BC514BF2-7534-4C61-A5E5-37DFCDC29A2A}"/>
    <cellStyle name="Vírgula 6 2 3 4 2 3" xfId="4262" xr:uid="{B605C4B0-DBFF-4007-980A-E2395C6E5B94}"/>
    <cellStyle name="Vírgula 6 2 3 4 2 4" xfId="8340" xr:uid="{7C7754CA-AA0F-452D-AE8D-275C551175E7}"/>
    <cellStyle name="Vírgula 6 2 3 4 3" xfId="4263" xr:uid="{4F48E982-5EBD-49AF-B88B-BFCE98C3EE12}"/>
    <cellStyle name="Vírgula 6 2 3 4 3 2" xfId="4264" xr:uid="{3AB0DFA4-DBC1-46B5-996E-ACB5E98E7D6B}"/>
    <cellStyle name="Vírgula 6 2 3 4 3 2 2" xfId="4265" xr:uid="{CAD2AD58-D53E-48AD-BF9E-4FB72D899125}"/>
    <cellStyle name="Vírgula 6 2 3 4 3 2 3" xfId="8343" xr:uid="{33031FBF-88AE-44A6-BD04-89433E8C7279}"/>
    <cellStyle name="Vírgula 6 2 3 4 3 3" xfId="4266" xr:uid="{0493616F-126A-4A94-B056-8F3A448C521E}"/>
    <cellStyle name="Vírgula 6 2 3 4 3 4" xfId="8342" xr:uid="{626EB6F2-9502-4925-A2DE-54C5EE278DB9}"/>
    <cellStyle name="Vírgula 6 2 3 4 4" xfId="4267" xr:uid="{6886357D-2FF3-43AD-9F16-6E911AF51A7A}"/>
    <cellStyle name="Vírgula 6 2 3 4 4 2" xfId="4268" xr:uid="{D7BA3C09-2DD6-43A1-97D0-15F39CAE106E}"/>
    <cellStyle name="Vírgula 6 2 3 4 4 3" xfId="8344" xr:uid="{EE69323C-0601-4968-A901-7712BB797D26}"/>
    <cellStyle name="Vírgula 6 2 3 4 5" xfId="4269" xr:uid="{9282141A-5D5C-4ACF-A8F6-2C3AEEFB9014}"/>
    <cellStyle name="Vírgula 6 2 3 4 6" xfId="8339" xr:uid="{408E1765-DA03-4576-ADA4-79BC8D7496E6}"/>
    <cellStyle name="Vírgula 6 2 3 5" xfId="4270" xr:uid="{15284CB7-619F-4FA0-ACE2-33B82FE994BC}"/>
    <cellStyle name="Vírgula 6 2 3 5 2" xfId="4271" xr:uid="{744C9BBD-D9D8-4347-AF3B-96BEADDD478F}"/>
    <cellStyle name="Vírgula 6 2 3 5 2 2" xfId="4272" xr:uid="{E37FDEB0-D9C0-48AA-B8D6-23E1A0576BDB}"/>
    <cellStyle name="Vírgula 6 2 3 5 2 3" xfId="8346" xr:uid="{67127A23-A75E-42AD-B002-8E1751934757}"/>
    <cellStyle name="Vírgula 6 2 3 5 3" xfId="4273" xr:uid="{716803A2-C141-48EE-BCD7-F53FFCA6916B}"/>
    <cellStyle name="Vírgula 6 2 3 5 4" xfId="8345" xr:uid="{DE552F7C-C733-45C9-8568-594CC4C05374}"/>
    <cellStyle name="Vírgula 6 2 3 6" xfId="4274" xr:uid="{B937157E-EC93-4D5D-A1AF-594506E028BE}"/>
    <cellStyle name="Vírgula 6 2 3 6 2" xfId="4275" xr:uid="{792CBBB2-D3D5-4BDA-97E0-9E14FB74D411}"/>
    <cellStyle name="Vírgula 6 2 3 6 2 2" xfId="4276" xr:uid="{5CB95BC1-4F2B-42F1-B6C0-1EABCAAB877F}"/>
    <cellStyle name="Vírgula 6 2 3 6 2 3" xfId="8348" xr:uid="{9D369DA2-5FE4-4DD3-9B2D-CB070CE3C4B5}"/>
    <cellStyle name="Vírgula 6 2 3 6 3" xfId="4277" xr:uid="{FB88ACB4-F3C9-4B4C-8145-CACA30254AAB}"/>
    <cellStyle name="Vírgula 6 2 3 6 4" xfId="8347" xr:uid="{52B5E1E3-41A4-4560-B7F1-8EF8F4E5829B}"/>
    <cellStyle name="Vírgula 6 2 3 7" xfId="4278" xr:uid="{FA60B432-20A5-476E-BE3F-6A51ABAD819E}"/>
    <cellStyle name="Vírgula 6 2 3 7 2" xfId="4279" xr:uid="{7FB62C9B-40FF-48FD-965B-EB5E79D63B42}"/>
    <cellStyle name="Vírgula 6 2 3 7 3" xfId="8349" xr:uid="{400D6335-51FB-4DBF-AE7F-A56921CCF770}"/>
    <cellStyle name="Vírgula 6 2 3 8" xfId="4280" xr:uid="{9E9666E0-90C6-42C5-874D-435E98D92B59}"/>
    <cellStyle name="Vírgula 6 2 3 9" xfId="8314" xr:uid="{8875E568-E1AC-4A5B-9CCE-641509626258}"/>
    <cellStyle name="Vírgula 6 2 4" xfId="4281" xr:uid="{9ED7625E-E8F9-412E-85E5-018D0C4613C2}"/>
    <cellStyle name="Vírgula 6 2 4 2" xfId="4282" xr:uid="{3DD7C87B-C36D-4D4E-B586-B58D8574B1F2}"/>
    <cellStyle name="Vírgula 6 2 4 2 2" xfId="4283" xr:uid="{71918941-1C4D-4B86-9640-CD7454D00ED1}"/>
    <cellStyle name="Vírgula 6 2 4 2 2 2" xfId="4284" xr:uid="{3538E583-C255-47A2-869A-F534ABDA1400}"/>
    <cellStyle name="Vírgula 6 2 4 2 2 2 2" xfId="4285" xr:uid="{3299916A-03A8-4774-A6D9-65B0DD8B214E}"/>
    <cellStyle name="Vírgula 6 2 4 2 2 2 2 2" xfId="4286" xr:uid="{1B504B03-EE80-4322-8322-CD02A2DDA717}"/>
    <cellStyle name="Vírgula 6 2 4 2 2 2 2 3" xfId="8354" xr:uid="{57833674-32B7-4F23-8F6E-C59C44AA1596}"/>
    <cellStyle name="Vírgula 6 2 4 2 2 2 3" xfId="4287" xr:uid="{3CD95F15-1794-4188-B450-EA5D744FC352}"/>
    <cellStyle name="Vírgula 6 2 4 2 2 2 4" xfId="8353" xr:uid="{F68544DC-1567-45BA-8442-07C27B764CF7}"/>
    <cellStyle name="Vírgula 6 2 4 2 2 3" xfId="4288" xr:uid="{38C939B8-53F1-4A9B-9294-69A2E79D14EB}"/>
    <cellStyle name="Vírgula 6 2 4 2 2 3 2" xfId="4289" xr:uid="{B21C06D0-0AEB-4EFE-8F64-64069FB5F05B}"/>
    <cellStyle name="Vírgula 6 2 4 2 2 3 2 2" xfId="4290" xr:uid="{340029CF-186A-46ED-85E6-34DA4507AC88}"/>
    <cellStyle name="Vírgula 6 2 4 2 2 3 2 3" xfId="8356" xr:uid="{F30D0EE3-10CF-4C56-82AD-E7F73A86A87F}"/>
    <cellStyle name="Vírgula 6 2 4 2 2 3 3" xfId="4291" xr:uid="{9F12D464-459B-40AD-84CD-BB7D4309351D}"/>
    <cellStyle name="Vírgula 6 2 4 2 2 3 4" xfId="8355" xr:uid="{CDE80145-4117-4207-ACE0-423B88C7C3DD}"/>
    <cellStyle name="Vírgula 6 2 4 2 2 4" xfId="4292" xr:uid="{D0F158C1-C54C-4179-945C-1851A369EB59}"/>
    <cellStyle name="Vírgula 6 2 4 2 2 4 2" xfId="4293" xr:uid="{9BDA6736-71BC-41A7-9EC8-98D0D7DC7034}"/>
    <cellStyle name="Vírgula 6 2 4 2 2 4 3" xfId="8357" xr:uid="{17DB4B01-155A-458A-9D1A-4A7ED3C73D94}"/>
    <cellStyle name="Vírgula 6 2 4 2 2 5" xfId="4294" xr:uid="{30639BF3-3115-4CEF-8C83-351DC7565A37}"/>
    <cellStyle name="Vírgula 6 2 4 2 2 6" xfId="8352" xr:uid="{F1126D3F-6C89-4555-9529-298BAE77D31C}"/>
    <cellStyle name="Vírgula 6 2 4 2 3" xfId="4295" xr:uid="{071EDA4B-1AD7-402D-BE1D-7BF25B822443}"/>
    <cellStyle name="Vírgula 6 2 4 2 3 2" xfId="4296" xr:uid="{A37BBE7D-F4F8-46C2-9D6A-F1343A00E838}"/>
    <cellStyle name="Vírgula 6 2 4 2 3 2 2" xfId="4297" xr:uid="{F6F77EFE-ABB8-4642-A05F-280CE935BE0F}"/>
    <cellStyle name="Vírgula 6 2 4 2 3 2 3" xfId="8359" xr:uid="{1FEBEA22-96EC-4F21-8CA5-A325E4642531}"/>
    <cellStyle name="Vírgula 6 2 4 2 3 3" xfId="4298" xr:uid="{FAA6C711-41F2-451E-815E-2038C97E9290}"/>
    <cellStyle name="Vírgula 6 2 4 2 3 4" xfId="8358" xr:uid="{D767EE84-E152-4F98-B14F-DAC403924E70}"/>
    <cellStyle name="Vírgula 6 2 4 2 4" xfId="4299" xr:uid="{79B32B3C-0EDC-4853-AFA7-2A28157CE107}"/>
    <cellStyle name="Vírgula 6 2 4 2 4 2" xfId="4300" xr:uid="{9D5653C1-C2DA-481B-B9FA-11545026735A}"/>
    <cellStyle name="Vírgula 6 2 4 2 4 2 2" xfId="4301" xr:uid="{81BF7EB5-88BD-48EA-9B19-443B7F50C3AC}"/>
    <cellStyle name="Vírgula 6 2 4 2 4 2 3" xfId="8361" xr:uid="{B3242EDA-3F0F-4287-B7B7-F6370143C793}"/>
    <cellStyle name="Vírgula 6 2 4 2 4 3" xfId="4302" xr:uid="{B887EF53-78E3-4E60-83B4-3D2035075BAC}"/>
    <cellStyle name="Vírgula 6 2 4 2 4 4" xfId="8360" xr:uid="{52A7BC17-AAB1-4409-A67C-0B8EA4AED7EC}"/>
    <cellStyle name="Vírgula 6 2 4 2 5" xfId="4303" xr:uid="{70942821-8A79-4E58-A4DA-04E32602FB40}"/>
    <cellStyle name="Vírgula 6 2 4 2 5 2" xfId="4304" xr:uid="{B893E9AC-B5BC-4CF9-9DB1-8FC83D48F409}"/>
    <cellStyle name="Vírgula 6 2 4 2 5 3" xfId="8362" xr:uid="{FE86059E-2981-4B74-8096-B9AA6AF0C1B8}"/>
    <cellStyle name="Vírgula 6 2 4 2 6" xfId="4305" xr:uid="{6EE0FCEE-5F6B-4E3D-A48D-B9716F52E368}"/>
    <cellStyle name="Vírgula 6 2 4 2 7" xfId="8351" xr:uid="{EDE9E346-AC27-4B1E-964E-40E2CF846623}"/>
    <cellStyle name="Vírgula 6 2 4 3" xfId="4306" xr:uid="{E139BCB8-C7F9-4E22-BE0F-90E3B75F7FEF}"/>
    <cellStyle name="Vírgula 6 2 4 3 2" xfId="4307" xr:uid="{B666ABD5-EDAE-438D-8CC8-4028BD741BE3}"/>
    <cellStyle name="Vírgula 6 2 4 3 2 2" xfId="4308" xr:uid="{C9120528-0E6D-4B29-A639-591B2C2CDE28}"/>
    <cellStyle name="Vírgula 6 2 4 3 2 2 2" xfId="4309" xr:uid="{583122C7-031E-4004-B6FA-A79330AE346D}"/>
    <cellStyle name="Vírgula 6 2 4 3 2 2 2 2" xfId="4310" xr:uid="{C5B2D1BD-5E19-4737-89D6-6C461B996B8A}"/>
    <cellStyle name="Vírgula 6 2 4 3 2 2 2 3" xfId="8366" xr:uid="{8A2E2E3C-5EB9-4B31-9E4F-3C39E67EEE4E}"/>
    <cellStyle name="Vírgula 6 2 4 3 2 2 3" xfId="4311" xr:uid="{5DE5CC1F-C69E-4455-872F-C540B19D2945}"/>
    <cellStyle name="Vírgula 6 2 4 3 2 2 4" xfId="8365" xr:uid="{A6A68F64-1E93-4E05-B8D6-81187A668DB8}"/>
    <cellStyle name="Vírgula 6 2 4 3 2 3" xfId="4312" xr:uid="{A2911788-9E7A-4AA4-9D71-2A0561BE483B}"/>
    <cellStyle name="Vírgula 6 2 4 3 2 3 2" xfId="4313" xr:uid="{0446874B-2B42-44B5-90FF-3EB64DB4BAF0}"/>
    <cellStyle name="Vírgula 6 2 4 3 2 3 2 2" xfId="4314" xr:uid="{66211A2B-8803-4376-9AF8-0D423B7DA623}"/>
    <cellStyle name="Vírgula 6 2 4 3 2 3 2 3" xfId="8368" xr:uid="{E07C8ECC-62B2-403E-AF93-AFEB67B8D72A}"/>
    <cellStyle name="Vírgula 6 2 4 3 2 3 3" xfId="4315" xr:uid="{5CFCD418-13B0-4773-AC7E-08699AA523E1}"/>
    <cellStyle name="Vírgula 6 2 4 3 2 3 4" xfId="8367" xr:uid="{4F09E860-0511-4DC8-A168-307C1B7EB95A}"/>
    <cellStyle name="Vírgula 6 2 4 3 2 4" xfId="4316" xr:uid="{672B238B-7A9F-4EE9-A387-0A0737753CBF}"/>
    <cellStyle name="Vírgula 6 2 4 3 2 4 2" xfId="4317" xr:uid="{3157E541-A44C-4388-861B-5048E7BB1AD7}"/>
    <cellStyle name="Vírgula 6 2 4 3 2 4 3" xfId="8369" xr:uid="{79BA4E3B-6567-4EA6-AB01-3CB7FD82440E}"/>
    <cellStyle name="Vírgula 6 2 4 3 2 5" xfId="4318" xr:uid="{6E30FE93-8B60-432C-9C34-C26097ADC280}"/>
    <cellStyle name="Vírgula 6 2 4 3 2 6" xfId="8364" xr:uid="{CF8C7DDE-95BD-4658-AB4E-E79A3B61D00A}"/>
    <cellStyle name="Vírgula 6 2 4 3 3" xfId="4319" xr:uid="{B6142AB5-BD4A-44DA-B7CC-19649C9C161F}"/>
    <cellStyle name="Vírgula 6 2 4 3 3 2" xfId="4320" xr:uid="{B2D31B8D-6E0C-4CFA-8784-CD0135D75E84}"/>
    <cellStyle name="Vírgula 6 2 4 3 3 2 2" xfId="4321" xr:uid="{1E18EF4F-A089-4BA8-A2D3-E4B807B07477}"/>
    <cellStyle name="Vírgula 6 2 4 3 3 2 3" xfId="8371" xr:uid="{82ECD7E7-9CB8-4437-A902-0D09273300EC}"/>
    <cellStyle name="Vírgula 6 2 4 3 3 3" xfId="4322" xr:uid="{4A9D65FB-8774-4A97-B233-6D971FC5BE87}"/>
    <cellStyle name="Vírgula 6 2 4 3 3 4" xfId="8370" xr:uid="{E6641C3B-A535-42B4-BCBB-608873F107EF}"/>
    <cellStyle name="Vírgula 6 2 4 3 4" xfId="4323" xr:uid="{00AF0EE2-B4B5-4C10-8368-873992E85D20}"/>
    <cellStyle name="Vírgula 6 2 4 3 4 2" xfId="4324" xr:uid="{46D04B28-9457-4D14-ADA4-5236308AC68A}"/>
    <cellStyle name="Vírgula 6 2 4 3 4 2 2" xfId="4325" xr:uid="{53204A0F-4BA3-43DE-BA72-C5CB29C07E78}"/>
    <cellStyle name="Vírgula 6 2 4 3 4 2 3" xfId="8373" xr:uid="{3B499DB4-212E-4BFC-A71B-1BF7A2D4EB7E}"/>
    <cellStyle name="Vírgula 6 2 4 3 4 3" xfId="4326" xr:uid="{9ABE0739-03C1-49CA-AD3A-3141CAE49872}"/>
    <cellStyle name="Vírgula 6 2 4 3 4 4" xfId="8372" xr:uid="{E10077B5-1D4E-43D9-BC44-451A81132685}"/>
    <cellStyle name="Vírgula 6 2 4 3 5" xfId="4327" xr:uid="{1ECEDAE6-7C28-4C35-BE85-14E10528DF31}"/>
    <cellStyle name="Vírgula 6 2 4 3 5 2" xfId="4328" xr:uid="{67655867-A22A-4E8E-88CF-8184E7BE48A8}"/>
    <cellStyle name="Vírgula 6 2 4 3 5 3" xfId="8374" xr:uid="{48986F90-6A95-4F0F-B8ED-A0DA53CBD9F6}"/>
    <cellStyle name="Vírgula 6 2 4 3 6" xfId="4329" xr:uid="{5D99BFF7-4E78-4856-A205-C4D6E04BF151}"/>
    <cellStyle name="Vírgula 6 2 4 3 7" xfId="8363" xr:uid="{8EA4C745-9D42-4BD1-9A23-B5702D503D82}"/>
    <cellStyle name="Vírgula 6 2 4 4" xfId="4330" xr:uid="{53DBA138-67AA-4E18-AEA1-8975DB518819}"/>
    <cellStyle name="Vírgula 6 2 4 4 2" xfId="4331" xr:uid="{75F39204-A176-4D99-9C42-EE6CBF7E5A79}"/>
    <cellStyle name="Vírgula 6 2 4 4 2 2" xfId="4332" xr:uid="{82D0C618-A4A2-42E2-8246-25B92C51F0D5}"/>
    <cellStyle name="Vírgula 6 2 4 4 2 2 2" xfId="4333" xr:uid="{674DEEC7-A223-4029-8A72-50F32848E477}"/>
    <cellStyle name="Vírgula 6 2 4 4 2 2 3" xfId="8377" xr:uid="{5E509E3B-281B-4382-A1D6-BBC642FF787C}"/>
    <cellStyle name="Vírgula 6 2 4 4 2 3" xfId="4334" xr:uid="{72E129FD-5246-41F0-AA26-5B635F2F048D}"/>
    <cellStyle name="Vírgula 6 2 4 4 2 4" xfId="8376" xr:uid="{12DE435F-95BD-4928-BD55-9A4197F07565}"/>
    <cellStyle name="Vírgula 6 2 4 4 3" xfId="4335" xr:uid="{D57B4C39-F982-4AE5-9DB5-A0CEDFF36229}"/>
    <cellStyle name="Vírgula 6 2 4 4 3 2" xfId="4336" xr:uid="{8F685919-09E3-4B5D-AA80-7CE96F61FF03}"/>
    <cellStyle name="Vírgula 6 2 4 4 3 2 2" xfId="4337" xr:uid="{C676FF9B-19FE-4156-B75E-0CC1CBC9AC43}"/>
    <cellStyle name="Vírgula 6 2 4 4 3 2 3" xfId="8379" xr:uid="{F39B6E0E-1461-4272-8C86-172E8160E6D5}"/>
    <cellStyle name="Vírgula 6 2 4 4 3 3" xfId="4338" xr:uid="{BAC76A50-D134-4320-A1FD-2FA9C195D601}"/>
    <cellStyle name="Vírgula 6 2 4 4 3 4" xfId="8378" xr:uid="{89A81FB0-E90B-46A5-B138-7001D5A9D460}"/>
    <cellStyle name="Vírgula 6 2 4 4 4" xfId="4339" xr:uid="{B66804B8-D483-4A8A-906C-0EF7BB76A8C1}"/>
    <cellStyle name="Vírgula 6 2 4 4 4 2" xfId="4340" xr:uid="{D9C03883-B127-41AD-91DC-78F888547747}"/>
    <cellStyle name="Vírgula 6 2 4 4 4 3" xfId="8380" xr:uid="{85BE5C33-54E5-421C-BEC4-8AF4CDC561BE}"/>
    <cellStyle name="Vírgula 6 2 4 4 5" xfId="4341" xr:uid="{1B890F6A-7A3B-4491-B36B-4F6EEC8AC928}"/>
    <cellStyle name="Vírgula 6 2 4 4 6" xfId="8375" xr:uid="{BB2ABA74-5A92-4B08-B514-46A6BE64390B}"/>
    <cellStyle name="Vírgula 6 2 4 5" xfId="4342" xr:uid="{DE32BB98-AAF1-4ECF-920D-B603B2498C0E}"/>
    <cellStyle name="Vírgula 6 2 4 5 2" xfId="4343" xr:uid="{4E96A8F4-F085-420A-A0B2-4CE63A0DAECC}"/>
    <cellStyle name="Vírgula 6 2 4 5 2 2" xfId="4344" xr:uid="{E74151D8-B067-4616-98D1-86DF4210EF19}"/>
    <cellStyle name="Vírgula 6 2 4 5 2 3" xfId="8382" xr:uid="{FF8B003B-F2C7-4F5C-BEC8-2F73E772E8DC}"/>
    <cellStyle name="Vírgula 6 2 4 5 3" xfId="4345" xr:uid="{9762C58A-0C1F-4C64-804C-428ED7A17236}"/>
    <cellStyle name="Vírgula 6 2 4 5 4" xfId="8381" xr:uid="{8128A9A3-CF34-4639-BCB5-2150F6665E81}"/>
    <cellStyle name="Vírgula 6 2 4 6" xfId="4346" xr:uid="{E126B224-D29C-4BB2-A9AA-026806E4589E}"/>
    <cellStyle name="Vírgula 6 2 4 6 2" xfId="4347" xr:uid="{BB454805-043E-4907-8F99-D085E1CDF01B}"/>
    <cellStyle name="Vírgula 6 2 4 6 2 2" xfId="4348" xr:uid="{7479C30B-DF6E-4494-BEA4-AC0EE6CFCE5C}"/>
    <cellStyle name="Vírgula 6 2 4 6 2 3" xfId="8384" xr:uid="{B3BD7D77-ECE1-4228-AC65-69D494B42087}"/>
    <cellStyle name="Vírgula 6 2 4 6 3" xfId="4349" xr:uid="{4CA1AE09-1635-4F30-AE73-5E369E496DB1}"/>
    <cellStyle name="Vírgula 6 2 4 6 4" xfId="8383" xr:uid="{B0650959-6446-406C-92B1-C3501DA7E4FB}"/>
    <cellStyle name="Vírgula 6 2 4 7" xfId="4350" xr:uid="{13010059-BF6A-4538-B975-EACF0C2A0189}"/>
    <cellStyle name="Vírgula 6 2 4 7 2" xfId="4351" xr:uid="{955BA9A7-6039-4582-B0D9-24B56181B8A5}"/>
    <cellStyle name="Vírgula 6 2 4 7 3" xfId="8385" xr:uid="{E0A9F9F0-25A5-4851-8B5C-E41F073A51FB}"/>
    <cellStyle name="Vírgula 6 2 4 8" xfId="4352" xr:uid="{A8B7E153-B9CF-4663-B489-B2F82AEA88F8}"/>
    <cellStyle name="Vírgula 6 2 4 9" xfId="8350" xr:uid="{780F6DF9-063E-4F92-9F4D-A5F6767A2F27}"/>
    <cellStyle name="Vírgula 6 2 5" xfId="4353" xr:uid="{7FBDC229-E534-4042-8A5B-F10936D253E8}"/>
    <cellStyle name="Vírgula 6 2 5 2" xfId="4354" xr:uid="{A1CB2978-16FF-4F6D-BE72-FA549E354305}"/>
    <cellStyle name="Vírgula 6 2 5 2 2" xfId="4355" xr:uid="{CD8511BC-CE06-4F1E-B472-5664EAFFC1AE}"/>
    <cellStyle name="Vírgula 6 2 5 2 2 2" xfId="4356" xr:uid="{A90C942C-CFD2-4AF1-AFA5-ABFC0E37E91F}"/>
    <cellStyle name="Vírgula 6 2 5 2 2 2 2" xfId="4357" xr:uid="{FFF67975-4C8D-4F06-8CD1-8A5779E36207}"/>
    <cellStyle name="Vírgula 6 2 5 2 2 2 2 2" xfId="4358" xr:uid="{C1BAE25B-76C7-4CEE-BE1A-D2700D636D75}"/>
    <cellStyle name="Vírgula 6 2 5 2 2 2 2 3" xfId="8390" xr:uid="{F45EBE22-CDF0-46B8-AA21-0C3DF34E74A0}"/>
    <cellStyle name="Vírgula 6 2 5 2 2 2 3" xfId="4359" xr:uid="{FC66358C-FE89-4377-B745-F89B9A662C8D}"/>
    <cellStyle name="Vírgula 6 2 5 2 2 2 4" xfId="8389" xr:uid="{469CD60A-8E6D-453C-AAD3-2CAA70AB7B2D}"/>
    <cellStyle name="Vírgula 6 2 5 2 2 3" xfId="4360" xr:uid="{20D4098D-B636-4F28-9521-EAC6EF5C02D7}"/>
    <cellStyle name="Vírgula 6 2 5 2 2 3 2" xfId="4361" xr:uid="{B78A7223-A78D-4890-B41E-63C47A1ADAD8}"/>
    <cellStyle name="Vírgula 6 2 5 2 2 3 2 2" xfId="4362" xr:uid="{1D740D89-5A4A-4586-BF09-7E3CE0D3D78F}"/>
    <cellStyle name="Vírgula 6 2 5 2 2 3 2 3" xfId="8392" xr:uid="{CCC12007-5795-4D37-84DC-CB7149122FAA}"/>
    <cellStyle name="Vírgula 6 2 5 2 2 3 3" xfId="4363" xr:uid="{1F261716-1954-4462-8D88-8C37DCEBA274}"/>
    <cellStyle name="Vírgula 6 2 5 2 2 3 4" xfId="8391" xr:uid="{98DBF1E8-B58E-4C66-B11B-AF25911D224A}"/>
    <cellStyle name="Vírgula 6 2 5 2 2 4" xfId="4364" xr:uid="{41CBCB17-B24A-471D-89E7-AE7CB069BB94}"/>
    <cellStyle name="Vírgula 6 2 5 2 2 4 2" xfId="4365" xr:uid="{36AF2236-64EA-41FD-869A-BAA8FFC83715}"/>
    <cellStyle name="Vírgula 6 2 5 2 2 4 3" xfId="8393" xr:uid="{C33D0241-C9D2-4F52-97DD-202C37F0DCD7}"/>
    <cellStyle name="Vírgula 6 2 5 2 2 5" xfId="4366" xr:uid="{F159E7F7-0846-4F72-A7EA-C82D5AC64DC5}"/>
    <cellStyle name="Vírgula 6 2 5 2 2 6" xfId="8388" xr:uid="{6AAF9491-5981-4B92-BFE0-C4FAD1E279FF}"/>
    <cellStyle name="Vírgula 6 2 5 2 3" xfId="4367" xr:uid="{5B0B184B-93F0-4F50-9EAA-E80D8ADDB6C9}"/>
    <cellStyle name="Vírgula 6 2 5 2 3 2" xfId="4368" xr:uid="{2CD52239-6454-419C-B7B5-5B74374B60E8}"/>
    <cellStyle name="Vírgula 6 2 5 2 3 2 2" xfId="4369" xr:uid="{97AB9B9E-EFE0-4B61-B193-1BDFEB2AD95B}"/>
    <cellStyle name="Vírgula 6 2 5 2 3 2 3" xfId="8395" xr:uid="{04D9DA30-233D-41BA-A812-C7E873FE3447}"/>
    <cellStyle name="Vírgula 6 2 5 2 3 3" xfId="4370" xr:uid="{E60F7716-A24F-43D8-AA71-E107C5B0FAD4}"/>
    <cellStyle name="Vírgula 6 2 5 2 3 4" xfId="8394" xr:uid="{A415B877-D383-4366-9C4E-C33B2CA4B606}"/>
    <cellStyle name="Vírgula 6 2 5 2 4" xfId="4371" xr:uid="{800B0F5B-D725-4F5D-9A02-CA463FC0F26F}"/>
    <cellStyle name="Vírgula 6 2 5 2 4 2" xfId="4372" xr:uid="{BA7FD1C3-27A8-4611-8D55-058D8B842E42}"/>
    <cellStyle name="Vírgula 6 2 5 2 4 2 2" xfId="4373" xr:uid="{E5E2D440-8BF8-4247-8526-EBC37E94390B}"/>
    <cellStyle name="Vírgula 6 2 5 2 4 2 3" xfId="8397" xr:uid="{95A1E5FB-8865-429E-BA0A-3CF433F42A0C}"/>
    <cellStyle name="Vírgula 6 2 5 2 4 3" xfId="4374" xr:uid="{BB4606BF-4C4D-4018-8197-DB7408174158}"/>
    <cellStyle name="Vírgula 6 2 5 2 4 4" xfId="8396" xr:uid="{098802CE-E5E4-4F3B-8BF4-B8511DB8A3DC}"/>
    <cellStyle name="Vírgula 6 2 5 2 5" xfId="4375" xr:uid="{1C9B82EA-C1CD-4845-AE29-AFCB7B2F2B8C}"/>
    <cellStyle name="Vírgula 6 2 5 2 5 2" xfId="4376" xr:uid="{B55AACCE-7418-4FC7-8FEC-38159413A5FC}"/>
    <cellStyle name="Vírgula 6 2 5 2 5 3" xfId="8398" xr:uid="{5BA81CDB-17A3-4F56-9C6F-96C9A7251394}"/>
    <cellStyle name="Vírgula 6 2 5 2 6" xfId="4377" xr:uid="{8E3A07F4-0808-4482-8D01-2210B266DF7A}"/>
    <cellStyle name="Vírgula 6 2 5 2 7" xfId="8387" xr:uid="{398D444F-FED9-456F-B850-A948C04F4289}"/>
    <cellStyle name="Vírgula 6 2 5 3" xfId="4378" xr:uid="{E4F92101-CC5B-4AFE-AABC-550BDCA43A0A}"/>
    <cellStyle name="Vírgula 6 2 5 3 2" xfId="4379" xr:uid="{4F231513-F4F1-4237-AC9E-B3CEDFD65F79}"/>
    <cellStyle name="Vírgula 6 2 5 3 2 2" xfId="4380" xr:uid="{68FB59B5-E165-426E-B7B2-704F8E016DAD}"/>
    <cellStyle name="Vírgula 6 2 5 3 2 2 2" xfId="4381" xr:uid="{70DC2482-9DA1-499A-8392-B775633F7C1D}"/>
    <cellStyle name="Vírgula 6 2 5 3 2 2 2 2" xfId="4382" xr:uid="{84CB2C55-6C9F-45DB-9482-8A7172B3CF1A}"/>
    <cellStyle name="Vírgula 6 2 5 3 2 2 2 3" xfId="8402" xr:uid="{45721EA1-BBBA-4A0A-BB95-85ED0841529B}"/>
    <cellStyle name="Vírgula 6 2 5 3 2 2 3" xfId="4383" xr:uid="{3560E498-F43D-4840-B0F1-62FF60596903}"/>
    <cellStyle name="Vírgula 6 2 5 3 2 2 4" xfId="8401" xr:uid="{69882FD2-1FFB-4F26-A10E-208C6D73318A}"/>
    <cellStyle name="Vírgula 6 2 5 3 2 3" xfId="4384" xr:uid="{3B2E969E-1004-4AC5-9383-A815884523AD}"/>
    <cellStyle name="Vírgula 6 2 5 3 2 3 2" xfId="4385" xr:uid="{09EA6749-6ADA-41CC-BEB7-C074683AFB9F}"/>
    <cellStyle name="Vírgula 6 2 5 3 2 3 2 2" xfId="4386" xr:uid="{F929B0E3-84AF-4C60-B5C3-60E11A7F410E}"/>
    <cellStyle name="Vírgula 6 2 5 3 2 3 2 3" xfId="8404" xr:uid="{A5A8E315-C1A7-461A-ADEF-35CD6BC598B2}"/>
    <cellStyle name="Vírgula 6 2 5 3 2 3 3" xfId="4387" xr:uid="{A1AF4F86-DA7F-4227-9138-4BFB9C385D93}"/>
    <cellStyle name="Vírgula 6 2 5 3 2 3 4" xfId="8403" xr:uid="{E7BE28CE-046E-4227-A85E-AB2A00D442B4}"/>
    <cellStyle name="Vírgula 6 2 5 3 2 4" xfId="4388" xr:uid="{AD7E6331-24CE-4FE7-91E7-D6204906E8DC}"/>
    <cellStyle name="Vírgula 6 2 5 3 2 4 2" xfId="4389" xr:uid="{06216265-EA98-4815-A876-DEEA5E0E8277}"/>
    <cellStyle name="Vírgula 6 2 5 3 2 4 3" xfId="8405" xr:uid="{578EFEF7-835C-4B26-A56E-AEF07FC5D4C8}"/>
    <cellStyle name="Vírgula 6 2 5 3 2 5" xfId="4390" xr:uid="{ABA0B3D8-E66E-40A0-9306-3AD491EEA15B}"/>
    <cellStyle name="Vírgula 6 2 5 3 2 6" xfId="8400" xr:uid="{425810A3-E934-4E9C-B708-0187A52B65A8}"/>
    <cellStyle name="Vírgula 6 2 5 3 3" xfId="4391" xr:uid="{327015FD-5D56-4C70-867E-9B0B624652D9}"/>
    <cellStyle name="Vírgula 6 2 5 3 3 2" xfId="4392" xr:uid="{C92EC26B-3703-4B3F-9F89-A5C5D9400845}"/>
    <cellStyle name="Vírgula 6 2 5 3 3 2 2" xfId="4393" xr:uid="{2BF8CA67-CFB5-43A6-9FCE-31C767400968}"/>
    <cellStyle name="Vírgula 6 2 5 3 3 2 3" xfId="8407" xr:uid="{B3A456B1-646B-4F0D-AD55-062BD90A7595}"/>
    <cellStyle name="Vírgula 6 2 5 3 3 3" xfId="4394" xr:uid="{51DBC458-6B6B-487B-9C59-1A56CDE8CE3E}"/>
    <cellStyle name="Vírgula 6 2 5 3 3 4" xfId="8406" xr:uid="{22EDD712-23F2-433F-AFDC-AE7B7E5FC38A}"/>
    <cellStyle name="Vírgula 6 2 5 3 4" xfId="4395" xr:uid="{C523BE75-D072-452E-8E5F-E812611DEEF4}"/>
    <cellStyle name="Vírgula 6 2 5 3 4 2" xfId="4396" xr:uid="{8A161EBC-7994-4036-A50B-4667A6474552}"/>
    <cellStyle name="Vírgula 6 2 5 3 4 2 2" xfId="4397" xr:uid="{42DD24D7-51D1-4D31-912A-8865104A99CF}"/>
    <cellStyle name="Vírgula 6 2 5 3 4 2 3" xfId="8409" xr:uid="{4D409945-0839-42BE-AA51-40BF7C1DEE22}"/>
    <cellStyle name="Vírgula 6 2 5 3 4 3" xfId="4398" xr:uid="{91E0318F-FE19-435E-96CA-E49467C89B9D}"/>
    <cellStyle name="Vírgula 6 2 5 3 4 4" xfId="8408" xr:uid="{8E9D8220-01B3-48A7-B55F-A90AD3CC38E0}"/>
    <cellStyle name="Vírgula 6 2 5 3 5" xfId="4399" xr:uid="{FE46D054-7CD9-4708-AA56-BEE9046B4DF9}"/>
    <cellStyle name="Vírgula 6 2 5 3 5 2" xfId="4400" xr:uid="{2B0D1A1E-59CC-40C0-BB10-448A009B5409}"/>
    <cellStyle name="Vírgula 6 2 5 3 5 3" xfId="8410" xr:uid="{4CB0CF13-8BDB-4B90-A5F0-6BF630F461B4}"/>
    <cellStyle name="Vírgula 6 2 5 3 6" xfId="4401" xr:uid="{4FD6A77F-E4CB-4775-91B9-029BAC6D2466}"/>
    <cellStyle name="Vírgula 6 2 5 3 7" xfId="8399" xr:uid="{48CA0F0E-2447-478F-A7E8-07E360955A90}"/>
    <cellStyle name="Vírgula 6 2 5 4" xfId="4402" xr:uid="{98B77A7A-D908-409D-BDAE-28092B0D1EA2}"/>
    <cellStyle name="Vírgula 6 2 5 4 2" xfId="4403" xr:uid="{BC6F0723-1752-4754-95C3-D3F33F77F685}"/>
    <cellStyle name="Vírgula 6 2 5 4 2 2" xfId="4404" xr:uid="{6D169E0E-243C-4AAD-9EE1-4D80A934C948}"/>
    <cellStyle name="Vírgula 6 2 5 4 2 2 2" xfId="4405" xr:uid="{FFFBDBD8-8F30-4E35-93B9-F2F8C61FD40A}"/>
    <cellStyle name="Vírgula 6 2 5 4 2 2 3" xfId="8413" xr:uid="{680FE274-76CE-46EA-92AF-C148D921F70C}"/>
    <cellStyle name="Vírgula 6 2 5 4 2 3" xfId="4406" xr:uid="{976E27DD-2C9F-42B9-927C-CB8A14CBC5D5}"/>
    <cellStyle name="Vírgula 6 2 5 4 2 4" xfId="8412" xr:uid="{4275C947-045A-4450-96C5-6174E02F083C}"/>
    <cellStyle name="Vírgula 6 2 5 4 3" xfId="4407" xr:uid="{69757B71-5D38-4A4B-B83D-A33019C428FE}"/>
    <cellStyle name="Vírgula 6 2 5 4 3 2" xfId="4408" xr:uid="{593BF95F-DE88-4B0F-8F2D-D324F4D2CCEC}"/>
    <cellStyle name="Vírgula 6 2 5 4 3 2 2" xfId="4409" xr:uid="{AF58B062-9F4D-41B3-9969-FBB2405FC4B3}"/>
    <cellStyle name="Vírgula 6 2 5 4 3 2 3" xfId="8415" xr:uid="{5E84E983-728B-4598-8280-EAD43DDB66C7}"/>
    <cellStyle name="Vírgula 6 2 5 4 3 3" xfId="4410" xr:uid="{E2557AC6-0C00-433C-927C-339C47EDF940}"/>
    <cellStyle name="Vírgula 6 2 5 4 3 4" xfId="8414" xr:uid="{A9C6D893-0AD1-4838-BBF5-98ABD957C7A2}"/>
    <cellStyle name="Vírgula 6 2 5 4 4" xfId="4411" xr:uid="{144C26FA-A8AD-4B3F-AEB6-FE90FD8F3207}"/>
    <cellStyle name="Vírgula 6 2 5 4 4 2" xfId="4412" xr:uid="{21F01F13-1B93-404F-A023-DE92460A8B34}"/>
    <cellStyle name="Vírgula 6 2 5 4 4 3" xfId="8416" xr:uid="{FBE32443-5EA0-449E-9AF7-8559E9E2078C}"/>
    <cellStyle name="Vírgula 6 2 5 4 5" xfId="4413" xr:uid="{0105ADBB-09E3-4E20-B05A-E5512AE42A26}"/>
    <cellStyle name="Vírgula 6 2 5 4 6" xfId="8411" xr:uid="{8BD30776-E688-4DAB-A735-96758FBA93BC}"/>
    <cellStyle name="Vírgula 6 2 5 5" xfId="4414" xr:uid="{9BD84905-72C1-4DBF-9C1C-35101CDA23F3}"/>
    <cellStyle name="Vírgula 6 2 5 5 2" xfId="4415" xr:uid="{4BBE8D3A-D88B-46A5-8E1C-BBB84B1E4FA3}"/>
    <cellStyle name="Vírgula 6 2 5 5 2 2" xfId="4416" xr:uid="{77660107-990B-43A2-BBD6-66C8E0BADF20}"/>
    <cellStyle name="Vírgula 6 2 5 5 2 3" xfId="8418" xr:uid="{4E8A33F1-987C-469F-A572-AEFEBD15D75E}"/>
    <cellStyle name="Vírgula 6 2 5 5 3" xfId="4417" xr:uid="{F21FA537-E929-4B56-BBAB-6FFE6B58808C}"/>
    <cellStyle name="Vírgula 6 2 5 5 4" xfId="8417" xr:uid="{ED56130A-162C-42B7-89D1-3D75043C9708}"/>
    <cellStyle name="Vírgula 6 2 5 6" xfId="4418" xr:uid="{D4D70474-8044-40DE-9323-B8C92790B451}"/>
    <cellStyle name="Vírgula 6 2 5 6 2" xfId="4419" xr:uid="{6FC43D21-058E-4B00-9040-09486F66E165}"/>
    <cellStyle name="Vírgula 6 2 5 6 2 2" xfId="4420" xr:uid="{69398E1F-DB15-4C9F-A7EE-BAFC88751726}"/>
    <cellStyle name="Vírgula 6 2 5 6 2 3" xfId="8420" xr:uid="{42D72FCF-9BF6-4557-B80E-DF32E7150CDD}"/>
    <cellStyle name="Vírgula 6 2 5 6 3" xfId="4421" xr:uid="{D449CF6B-843E-4902-A6BD-B847CF0EBA96}"/>
    <cellStyle name="Vírgula 6 2 5 6 4" xfId="8419" xr:uid="{A10F9DE3-1ECD-4D8C-B50D-C913F283B54F}"/>
    <cellStyle name="Vírgula 6 2 5 7" xfId="4422" xr:uid="{AAA0E5E1-9607-4493-A512-7D4864524DB1}"/>
    <cellStyle name="Vírgula 6 2 5 7 2" xfId="4423" xr:uid="{1FE359B2-2F5F-46E5-86E9-497EA6264D6A}"/>
    <cellStyle name="Vírgula 6 2 5 7 3" xfId="8421" xr:uid="{1EAAF2E3-6D89-496A-8954-CEF873A6CF96}"/>
    <cellStyle name="Vírgula 6 2 5 8" xfId="4424" xr:uid="{A788385D-057D-47AA-BF1E-D9EC5A1F4286}"/>
    <cellStyle name="Vírgula 6 2 5 9" xfId="8386" xr:uid="{AB6AB741-D7F6-4D35-8FD2-0E25EEBDF113}"/>
    <cellStyle name="Vírgula 6 2 6" xfId="4425" xr:uid="{EB96B27D-34D6-4640-943F-B71FED34AB5D}"/>
    <cellStyle name="Vírgula 6 2 6 2" xfId="4426" xr:uid="{4025AB48-2BB4-48FE-99D3-4EAD127E41B0}"/>
    <cellStyle name="Vírgula 6 2 6 2 2" xfId="4427" xr:uid="{E6B3AF65-41A7-4FDF-8384-39D2B9A9BF0A}"/>
    <cellStyle name="Vírgula 6 2 6 2 2 2" xfId="4428" xr:uid="{E96B96F2-7CC5-4860-97E3-C3C7665AAE3D}"/>
    <cellStyle name="Vírgula 6 2 6 2 2 2 2" xfId="4429" xr:uid="{5EB0198D-B7C3-426F-9637-18FB8207C65E}"/>
    <cellStyle name="Vírgula 6 2 6 2 2 2 3" xfId="8425" xr:uid="{5EA0CF56-048B-4181-98AD-72610CBD9907}"/>
    <cellStyle name="Vírgula 6 2 6 2 2 3" xfId="4430" xr:uid="{9A0747C8-22F6-4391-AFD4-01C8107A524C}"/>
    <cellStyle name="Vírgula 6 2 6 2 2 4" xfId="8424" xr:uid="{AD405C71-7CE6-489F-BBF5-A707C5A8A192}"/>
    <cellStyle name="Vírgula 6 2 6 2 3" xfId="4431" xr:uid="{C970D251-5B40-46F5-9826-30B54CD99F6F}"/>
    <cellStyle name="Vírgula 6 2 6 2 3 2" xfId="4432" xr:uid="{61142829-08E7-4631-AE74-3854895A8E92}"/>
    <cellStyle name="Vírgula 6 2 6 2 3 2 2" xfId="4433" xr:uid="{7C923773-8D78-4F66-ABEB-654848DF195B}"/>
    <cellStyle name="Vírgula 6 2 6 2 3 2 3" xfId="8427" xr:uid="{B8E86B1E-AA99-44D6-9F21-336A4DB47B28}"/>
    <cellStyle name="Vírgula 6 2 6 2 3 3" xfId="4434" xr:uid="{F43A6104-4F85-491A-90B0-497D0C324608}"/>
    <cellStyle name="Vírgula 6 2 6 2 3 4" xfId="8426" xr:uid="{A2E8C41B-224B-480A-A3BF-17DCCA58DE4D}"/>
    <cellStyle name="Vírgula 6 2 6 2 4" xfId="4435" xr:uid="{C5577125-6875-47CF-87CA-C69D9EF40AB6}"/>
    <cellStyle name="Vírgula 6 2 6 2 4 2" xfId="4436" xr:uid="{BF7072DC-F15C-4E31-80C1-B61528C897C9}"/>
    <cellStyle name="Vírgula 6 2 6 2 4 3" xfId="8428" xr:uid="{2C053F6F-D272-4FFD-B302-E1C2422A07A3}"/>
    <cellStyle name="Vírgula 6 2 6 2 5" xfId="4437" xr:uid="{A7917F57-F352-4510-AF16-718BF34DED89}"/>
    <cellStyle name="Vírgula 6 2 6 2 6" xfId="8423" xr:uid="{F57288C0-F8A0-42DE-AE62-A2E15DE245F0}"/>
    <cellStyle name="Vírgula 6 2 6 3" xfId="4438" xr:uid="{3D1C5BB3-A8BE-4D82-A5AE-7A0271029FF2}"/>
    <cellStyle name="Vírgula 6 2 6 3 2" xfId="4439" xr:uid="{698F07BD-FD1D-4102-A618-29C387B24E80}"/>
    <cellStyle name="Vírgula 6 2 6 3 2 2" xfId="4440" xr:uid="{0ED62579-59AD-42D4-9BCB-EA40704AE866}"/>
    <cellStyle name="Vírgula 6 2 6 3 2 3" xfId="8430" xr:uid="{C310F0EA-D7D4-43B3-B1BD-72B45F5CE204}"/>
    <cellStyle name="Vírgula 6 2 6 3 3" xfId="4441" xr:uid="{39207FA3-F7B1-4DD9-9B8D-7A5BD14B8591}"/>
    <cellStyle name="Vírgula 6 2 6 3 4" xfId="8429" xr:uid="{54AD13C5-AC75-4813-91EB-74FC41654A97}"/>
    <cellStyle name="Vírgula 6 2 6 4" xfId="4442" xr:uid="{A1193150-766E-48E5-98E8-315A0E0ABD10}"/>
    <cellStyle name="Vírgula 6 2 6 4 2" xfId="4443" xr:uid="{207E8C19-C554-4519-827B-4F2A067C2CD8}"/>
    <cellStyle name="Vírgula 6 2 6 4 2 2" xfId="4444" xr:uid="{EB3061C4-01AF-4276-9031-3FAAB09F5F06}"/>
    <cellStyle name="Vírgula 6 2 6 4 2 3" xfId="8432" xr:uid="{022AAA49-77FF-48DB-91C0-6383E4054445}"/>
    <cellStyle name="Vírgula 6 2 6 4 3" xfId="4445" xr:uid="{B643613B-259D-4B28-A587-AC192CC527CF}"/>
    <cellStyle name="Vírgula 6 2 6 4 4" xfId="8431" xr:uid="{BF074320-2449-4EF0-92B0-55F834639006}"/>
    <cellStyle name="Vírgula 6 2 6 5" xfId="4446" xr:uid="{A93A967D-9DD4-4132-9092-6B33A4FF781E}"/>
    <cellStyle name="Vírgula 6 2 6 5 2" xfId="4447" xr:uid="{4C5CDBD7-0947-49A8-886C-972A26479098}"/>
    <cellStyle name="Vírgula 6 2 6 5 3" xfId="8433" xr:uid="{BFF3C8BF-714F-4587-BADA-37B5871C1067}"/>
    <cellStyle name="Vírgula 6 2 6 6" xfId="4448" xr:uid="{6667B30C-15C9-4542-AE6D-BBF8C080DA6E}"/>
    <cellStyle name="Vírgula 6 2 6 7" xfId="8422" xr:uid="{113DE25E-1D30-4CC6-9144-625F3427F469}"/>
    <cellStyle name="Vírgula 6 2 7" xfId="4449" xr:uid="{36ED923E-52D7-4B87-99AB-F47BFAABD80C}"/>
    <cellStyle name="Vírgula 6 2 7 2" xfId="4450" xr:uid="{F40A96F1-F43E-49F2-80FD-0FE19A937857}"/>
    <cellStyle name="Vírgula 6 2 7 2 2" xfId="4451" xr:uid="{E26B8657-4B7B-4D4B-B878-39BB9200D975}"/>
    <cellStyle name="Vírgula 6 2 7 2 2 2" xfId="4452" xr:uid="{FBBCA1A4-6B92-4770-925A-F7F5748205FA}"/>
    <cellStyle name="Vírgula 6 2 7 2 2 2 2" xfId="4453" xr:uid="{4BE9CB03-8875-4508-A310-544483FE2213}"/>
    <cellStyle name="Vírgula 6 2 7 2 2 2 3" xfId="8437" xr:uid="{9F2DAAC5-19D3-4B07-99EE-3B3BA6835CC8}"/>
    <cellStyle name="Vírgula 6 2 7 2 2 3" xfId="4454" xr:uid="{73050368-A577-4E07-AE1E-E2B78EAA8060}"/>
    <cellStyle name="Vírgula 6 2 7 2 2 4" xfId="8436" xr:uid="{AA153ECA-CB4C-4E0B-8672-85E83A77BEB1}"/>
    <cellStyle name="Vírgula 6 2 7 2 3" xfId="4455" xr:uid="{4C0609DA-DCF1-455F-87FB-915359C23AB2}"/>
    <cellStyle name="Vírgula 6 2 7 2 3 2" xfId="4456" xr:uid="{1BD0BBF0-24E9-4C05-9EBF-42DBDFCAA025}"/>
    <cellStyle name="Vírgula 6 2 7 2 3 2 2" xfId="4457" xr:uid="{E63C32A0-E3F4-4365-BF24-CB32A4C146A0}"/>
    <cellStyle name="Vírgula 6 2 7 2 3 2 3" xfId="8439" xr:uid="{66D4DD5C-CF78-431B-BE88-F45170D4AD3A}"/>
    <cellStyle name="Vírgula 6 2 7 2 3 3" xfId="4458" xr:uid="{2E08139D-6ACB-4657-AE53-6F07DAC6B813}"/>
    <cellStyle name="Vírgula 6 2 7 2 3 4" xfId="8438" xr:uid="{1562681B-5D7E-46CE-B020-E5B6C8E4F8E0}"/>
    <cellStyle name="Vírgula 6 2 7 2 4" xfId="4459" xr:uid="{FA86827B-6418-4580-AE4E-7BBA6816A646}"/>
    <cellStyle name="Vírgula 6 2 7 2 4 2" xfId="4460" xr:uid="{FE3FA626-7A36-4CC8-B674-EAC49229FFDF}"/>
    <cellStyle name="Vírgula 6 2 7 2 4 3" xfId="8440" xr:uid="{4DF94FCC-A31F-43C1-8FCC-5E1F56ACD20C}"/>
    <cellStyle name="Vírgula 6 2 7 2 5" xfId="4461" xr:uid="{70FE9613-178A-4464-95FD-2CAFBE6E5751}"/>
    <cellStyle name="Vírgula 6 2 7 2 6" xfId="8435" xr:uid="{72A8251C-E920-4E22-A13F-024E9559A87B}"/>
    <cellStyle name="Vírgula 6 2 7 3" xfId="4462" xr:uid="{7113EDD3-F032-4145-B7CB-C5DFE0A98D09}"/>
    <cellStyle name="Vírgula 6 2 7 3 2" xfId="4463" xr:uid="{02689B07-366F-4BBB-A2EF-6F6B96BDBEDE}"/>
    <cellStyle name="Vírgula 6 2 7 3 2 2" xfId="4464" xr:uid="{CB8948FD-ABBD-4318-AC84-C26B71D767EB}"/>
    <cellStyle name="Vírgula 6 2 7 3 2 3" xfId="8442" xr:uid="{B2E6B304-41D1-48E3-A321-4752515128A7}"/>
    <cellStyle name="Vírgula 6 2 7 3 3" xfId="4465" xr:uid="{3F105084-D19B-4E19-AB38-E0353BA45CC1}"/>
    <cellStyle name="Vírgula 6 2 7 3 4" xfId="8441" xr:uid="{DAA58475-72DC-4D24-83D5-AED0A960ED1D}"/>
    <cellStyle name="Vírgula 6 2 7 4" xfId="4466" xr:uid="{141DFEA5-5F99-445A-A8BA-4F1E1F3EBDCA}"/>
    <cellStyle name="Vírgula 6 2 7 4 2" xfId="4467" xr:uid="{810D8FD1-EB31-4414-B355-32F7C354968A}"/>
    <cellStyle name="Vírgula 6 2 7 4 2 2" xfId="4468" xr:uid="{B85968C1-5E4A-40F4-99D6-10991A1AC048}"/>
    <cellStyle name="Vírgula 6 2 7 4 2 3" xfId="8444" xr:uid="{5220ADE5-847E-4765-A10A-E5936ABA4C55}"/>
    <cellStyle name="Vírgula 6 2 7 4 3" xfId="4469" xr:uid="{9D94EE57-8A41-4E8E-8096-5D4C11057E71}"/>
    <cellStyle name="Vírgula 6 2 7 4 4" xfId="8443" xr:uid="{2C3C0FD4-9011-4CA0-B875-C939B1140EE5}"/>
    <cellStyle name="Vírgula 6 2 7 5" xfId="4470" xr:uid="{FE4E62B9-22BA-48EE-9620-B6DE987880F9}"/>
    <cellStyle name="Vírgula 6 2 7 5 2" xfId="4471" xr:uid="{2BC4A4F3-1624-482E-9722-D4ACCB6A0F50}"/>
    <cellStyle name="Vírgula 6 2 7 5 3" xfId="8445" xr:uid="{B7BCBD8F-8B7D-4E4A-B03A-68FFF7BDC85F}"/>
    <cellStyle name="Vírgula 6 2 7 6" xfId="4472" xr:uid="{CE6928F5-0F7F-479E-A192-06C1A88B5E4D}"/>
    <cellStyle name="Vírgula 6 2 7 7" xfId="8434" xr:uid="{7C3BC91E-6010-4B25-8438-1605BDF5211F}"/>
    <cellStyle name="Vírgula 6 2 8" xfId="4473" xr:uid="{60F1A033-5910-430C-98E9-F28E9BC8C95B}"/>
    <cellStyle name="Vírgula 6 2 8 2" xfId="4474" xr:uid="{E351E45E-8932-4B93-9D2C-962A77D14841}"/>
    <cellStyle name="Vírgula 6 2 8 2 2" xfId="4475" xr:uid="{86D564CC-E693-4F21-8D86-42AD861B602C}"/>
    <cellStyle name="Vírgula 6 2 8 2 2 2" xfId="4476" xr:uid="{86E3D4B3-B61F-4ADC-A179-EA80F29FF608}"/>
    <cellStyle name="Vírgula 6 2 8 2 2 3" xfId="8448" xr:uid="{A308F326-90FA-4472-B5F9-6C4C24DC4C11}"/>
    <cellStyle name="Vírgula 6 2 8 2 3" xfId="4477" xr:uid="{2DDBB7C8-1F62-4D60-9A5E-DD966AB8F17F}"/>
    <cellStyle name="Vírgula 6 2 8 2 4" xfId="8447" xr:uid="{F063A7DF-1B41-462C-A8A8-244C96593992}"/>
    <cellStyle name="Vírgula 6 2 8 3" xfId="4478" xr:uid="{118AB753-AD14-4820-B15F-CADDFF7F38DC}"/>
    <cellStyle name="Vírgula 6 2 8 3 2" xfId="4479" xr:uid="{7CEC9C61-E62D-44C2-A6DE-2DF2B09A5AAB}"/>
    <cellStyle name="Vírgula 6 2 8 3 2 2" xfId="4480" xr:uid="{2D05C67B-F584-4F85-B425-0039212404E4}"/>
    <cellStyle name="Vírgula 6 2 8 3 2 3" xfId="8450" xr:uid="{D8CA5832-A861-404B-BE02-F832FD8DAD88}"/>
    <cellStyle name="Vírgula 6 2 8 3 3" xfId="4481" xr:uid="{58EF5251-8A45-42AD-98A7-B2EA93D5EB5E}"/>
    <cellStyle name="Vírgula 6 2 8 3 4" xfId="8449" xr:uid="{4F2D1F7D-22B9-430D-A015-5440D3171575}"/>
    <cellStyle name="Vírgula 6 2 8 4" xfId="4482" xr:uid="{D16758A3-09C4-4A5F-9763-EF7102D90A17}"/>
    <cellStyle name="Vírgula 6 2 8 4 2" xfId="4483" xr:uid="{C103DBF5-2437-431E-AC63-861845179C39}"/>
    <cellStyle name="Vírgula 6 2 8 4 3" xfId="8451" xr:uid="{8846FCD8-8492-4102-AD43-6660D18A66F8}"/>
    <cellStyle name="Vírgula 6 2 8 5" xfId="4484" xr:uid="{D7F9D227-0D2A-4A21-96A9-365B6F886120}"/>
    <cellStyle name="Vírgula 6 2 8 6" xfId="8446" xr:uid="{3D67C295-5714-4A59-9883-F2B78074E458}"/>
    <cellStyle name="Vírgula 6 2 9" xfId="4485" xr:uid="{E4884F2E-8231-4999-9C86-3AED7909F7EC}"/>
    <cellStyle name="Vírgula 6 2 9 2" xfId="4486" xr:uid="{796AC0DB-33B3-4E2A-A896-57B43FF6101A}"/>
    <cellStyle name="Vírgula 6 2 9 2 2" xfId="4487" xr:uid="{08E409F3-E563-4B45-9B53-9B1E92A4F1C1}"/>
    <cellStyle name="Vírgula 6 2 9 2 3" xfId="8453" xr:uid="{36DB01D7-4CBA-4C22-B972-FC6F862ABAEC}"/>
    <cellStyle name="Vírgula 6 2 9 3" xfId="4488" xr:uid="{EAB15EB8-7D0A-4C33-B9EB-F44B8337DE29}"/>
    <cellStyle name="Vírgula 6 2 9 4" xfId="8452" xr:uid="{88D189A7-3365-4B53-8497-69156A249A4B}"/>
    <cellStyle name="Vírgula 7" xfId="4489" xr:uid="{07285B0C-E1E6-4541-84CF-3C5BDE8CE71F}"/>
    <cellStyle name="Vírgula 7 2" xfId="4490" xr:uid="{FE0C3861-6E20-4C39-832C-67F01BDF6351}"/>
    <cellStyle name="Vírgula 7 2 10" xfId="4491" xr:uid="{8A12D802-31D1-4863-95BE-7B68B8D22893}"/>
    <cellStyle name="Vírgula 7 2 10 2" xfId="4492" xr:uid="{69D62286-5048-499F-9322-1905BE2107F0}"/>
    <cellStyle name="Vírgula 7 2 10 2 2" xfId="4493" xr:uid="{65C6C663-5492-479C-9C42-C93E3430BB41}"/>
    <cellStyle name="Vírgula 7 2 10 2 3" xfId="8457" xr:uid="{6C4C76F6-AFA0-45DC-8A8E-E90A576F6C0D}"/>
    <cellStyle name="Vírgula 7 2 10 3" xfId="4494" xr:uid="{81E5AC8B-75E4-4BDA-AA22-6EC20BFB9A0B}"/>
    <cellStyle name="Vírgula 7 2 10 4" xfId="8456" xr:uid="{A759F2E5-0D07-41EF-A7EB-DC9DE579E76F}"/>
    <cellStyle name="Vírgula 7 2 11" xfId="4495" xr:uid="{725DA94E-F069-46F6-A150-AA2749CC0E02}"/>
    <cellStyle name="Vírgula 7 2 11 2" xfId="4496" xr:uid="{06F189E0-369E-4760-B1B1-AA6B7D402EA5}"/>
    <cellStyle name="Vírgula 7 2 11 3" xfId="8458" xr:uid="{2793C7B9-398E-487B-8BA0-C02A9CA7C4A4}"/>
    <cellStyle name="Vírgula 7 2 12" xfId="4497" xr:uid="{775C5AFE-7236-45B4-BB20-A3F351BBD949}"/>
    <cellStyle name="Vírgula 7 2 13" xfId="8455" xr:uid="{2DFB8CAD-BDDB-4B0D-B4D1-0C1B6BE209D2}"/>
    <cellStyle name="Vírgula 7 2 2" xfId="4498" xr:uid="{6DC3F9E1-5B6A-4365-8581-220ED2E95A61}"/>
    <cellStyle name="Vírgula 7 2 2 10" xfId="4499" xr:uid="{0A0F1BAC-0C4D-466B-9416-0C477BF1FE24}"/>
    <cellStyle name="Vírgula 7 2 2 10 2" xfId="4500" xr:uid="{6AD05CFD-C554-4EBF-AAC3-600877056BCB}"/>
    <cellStyle name="Vírgula 7 2 2 10 3" xfId="8460" xr:uid="{0439B3A6-4E40-450C-8A63-7F059B7D4AB6}"/>
    <cellStyle name="Vírgula 7 2 2 11" xfId="4501" xr:uid="{C06143FE-79F7-460D-ACD2-2E0F4EEA5188}"/>
    <cellStyle name="Vírgula 7 2 2 12" xfId="8459" xr:uid="{326E4F01-87AB-4302-AF12-CBD9ABA94E3A}"/>
    <cellStyle name="Vírgula 7 2 2 2" xfId="4502" xr:uid="{3D0E1BE8-CC6A-46C2-AF5F-31F1274E661B}"/>
    <cellStyle name="Vírgula 7 2 2 2 2" xfId="4503" xr:uid="{1EF61ED8-6508-486C-9D8F-4C0A39201562}"/>
    <cellStyle name="Vírgula 7 2 2 2 2 2" xfId="4504" xr:uid="{36916581-B59F-4122-8AA4-FDC0F190740C}"/>
    <cellStyle name="Vírgula 7 2 2 2 2 2 2" xfId="4505" xr:uid="{06CF390E-7F95-49C2-9B9F-CD510B0B512F}"/>
    <cellStyle name="Vírgula 7 2 2 2 2 2 2 2" xfId="4506" xr:uid="{C3AAE9E1-3F77-44B8-B30C-5A929E6B6494}"/>
    <cellStyle name="Vírgula 7 2 2 2 2 2 2 2 2" xfId="4507" xr:uid="{ECF05324-440F-4EF3-97A0-1B13AD6F5DBF}"/>
    <cellStyle name="Vírgula 7 2 2 2 2 2 2 2 3" xfId="8465" xr:uid="{30A3DE34-FD96-4FD7-884D-94EEFBF2E85A}"/>
    <cellStyle name="Vírgula 7 2 2 2 2 2 2 3" xfId="4508" xr:uid="{389C3017-EAF4-493F-B1BF-AE0218F26C6F}"/>
    <cellStyle name="Vírgula 7 2 2 2 2 2 2 4" xfId="8464" xr:uid="{C577D866-3BDE-483D-AB91-ED1A1FD48444}"/>
    <cellStyle name="Vírgula 7 2 2 2 2 2 3" xfId="4509" xr:uid="{17182792-2EE9-460A-8617-32EC1E1149D1}"/>
    <cellStyle name="Vírgula 7 2 2 2 2 2 3 2" xfId="4510" xr:uid="{985E19AE-65CD-4DF0-A38E-B3F08265105C}"/>
    <cellStyle name="Vírgula 7 2 2 2 2 2 3 2 2" xfId="4511" xr:uid="{7B252421-6187-4A31-A8F7-D3DDAFA23FFD}"/>
    <cellStyle name="Vírgula 7 2 2 2 2 2 3 2 3" xfId="8467" xr:uid="{A4BDFAE3-ED4C-4A53-98C8-46692999E56E}"/>
    <cellStyle name="Vírgula 7 2 2 2 2 2 3 3" xfId="4512" xr:uid="{4F816302-A248-4BF1-8525-9463FAD0433F}"/>
    <cellStyle name="Vírgula 7 2 2 2 2 2 3 4" xfId="8466" xr:uid="{6D9E65F0-68EB-4417-89B2-4FE6609A79E4}"/>
    <cellStyle name="Vírgula 7 2 2 2 2 2 4" xfId="4513" xr:uid="{41092136-C056-4C55-8A4A-044403B9B643}"/>
    <cellStyle name="Vírgula 7 2 2 2 2 2 4 2" xfId="4514" xr:uid="{CD6C4C14-F46D-43FB-A38D-9A115483B1AC}"/>
    <cellStyle name="Vírgula 7 2 2 2 2 2 4 3" xfId="8468" xr:uid="{66DA004A-F1F0-416F-A82A-1AB169D2DA47}"/>
    <cellStyle name="Vírgula 7 2 2 2 2 2 5" xfId="4515" xr:uid="{2294088A-69AC-4BBF-9B0A-0C5E8408326C}"/>
    <cellStyle name="Vírgula 7 2 2 2 2 2 6" xfId="8463" xr:uid="{D75C7A97-8605-4CFC-9F14-A08E81EDE604}"/>
    <cellStyle name="Vírgula 7 2 2 2 2 3" xfId="4516" xr:uid="{99866415-04C4-4DED-8E19-04A2B616171E}"/>
    <cellStyle name="Vírgula 7 2 2 2 2 3 2" xfId="4517" xr:uid="{C4281350-BB6D-4FF1-9193-5E18BD0A4427}"/>
    <cellStyle name="Vírgula 7 2 2 2 2 3 2 2" xfId="4518" xr:uid="{79EAE186-9E10-4E02-8B96-C33A95321A68}"/>
    <cellStyle name="Vírgula 7 2 2 2 2 3 2 3" xfId="8470" xr:uid="{D271E2BE-1153-42E8-A3BE-19FB77EA072E}"/>
    <cellStyle name="Vírgula 7 2 2 2 2 3 3" xfId="4519" xr:uid="{2FEF5DB0-FFEA-4635-9EF2-A40DD88B093D}"/>
    <cellStyle name="Vírgula 7 2 2 2 2 3 4" xfId="8469" xr:uid="{B064D812-9EAA-49BF-B54A-841D497011C9}"/>
    <cellStyle name="Vírgula 7 2 2 2 2 4" xfId="4520" xr:uid="{6806E3AB-18A8-42D3-8335-4A21F6A99DAC}"/>
    <cellStyle name="Vírgula 7 2 2 2 2 4 2" xfId="4521" xr:uid="{9B8C4BCC-98DD-4A81-9684-77A9C824DF2B}"/>
    <cellStyle name="Vírgula 7 2 2 2 2 4 2 2" xfId="4522" xr:uid="{E9EA7176-6EE9-418F-8868-CD4D181EAA78}"/>
    <cellStyle name="Vírgula 7 2 2 2 2 4 2 3" xfId="8472" xr:uid="{FECE2DE0-CF06-4406-818D-08AB132AC249}"/>
    <cellStyle name="Vírgula 7 2 2 2 2 4 3" xfId="4523" xr:uid="{ED88EDB6-997D-459D-8081-5E7ED312B526}"/>
    <cellStyle name="Vírgula 7 2 2 2 2 4 4" xfId="8471" xr:uid="{7CB4491D-9953-4D3A-ABF1-6576DDE23C80}"/>
    <cellStyle name="Vírgula 7 2 2 2 2 5" xfId="4524" xr:uid="{9087E25B-E8DC-419E-90D1-57111A173524}"/>
    <cellStyle name="Vírgula 7 2 2 2 2 5 2" xfId="4525" xr:uid="{2949A506-97C1-4B54-8AEC-D2232C882D3E}"/>
    <cellStyle name="Vírgula 7 2 2 2 2 5 3" xfId="8473" xr:uid="{1CA2C690-F57A-46A1-9363-15A1C80DD700}"/>
    <cellStyle name="Vírgula 7 2 2 2 2 6" xfId="4526" xr:uid="{23B9EDF6-C270-4236-835D-418EF2A230DA}"/>
    <cellStyle name="Vírgula 7 2 2 2 2 7" xfId="8462" xr:uid="{E4D41EB6-53C0-45FA-B19B-F0A85E7D80FF}"/>
    <cellStyle name="Vírgula 7 2 2 2 3" xfId="4527" xr:uid="{96DAC2F5-63BA-43B4-921F-437B2E6EC1E3}"/>
    <cellStyle name="Vírgula 7 2 2 2 3 2" xfId="4528" xr:uid="{32873900-11A3-4C05-87C9-24D79B733D00}"/>
    <cellStyle name="Vírgula 7 2 2 2 3 2 2" xfId="4529" xr:uid="{4E78296E-1201-4CC2-AEF1-4BF2F7D3024B}"/>
    <cellStyle name="Vírgula 7 2 2 2 3 2 2 2" xfId="4530" xr:uid="{B1FC9ED0-005A-4134-8750-096714E06F80}"/>
    <cellStyle name="Vírgula 7 2 2 2 3 2 2 2 2" xfId="4531" xr:uid="{2966EF39-15DD-4E04-AF95-9189BA37CCCD}"/>
    <cellStyle name="Vírgula 7 2 2 2 3 2 2 2 3" xfId="8477" xr:uid="{B493736B-FCF7-4DAA-92CA-49458B41B3C2}"/>
    <cellStyle name="Vírgula 7 2 2 2 3 2 2 3" xfId="4532" xr:uid="{AD37DF75-94E1-4CAA-8707-C9E794EDBB9D}"/>
    <cellStyle name="Vírgula 7 2 2 2 3 2 2 4" xfId="8476" xr:uid="{820F113C-55FD-4E5D-A0D0-8ADF70B97DD9}"/>
    <cellStyle name="Vírgula 7 2 2 2 3 2 3" xfId="4533" xr:uid="{2ED87520-6A8C-4163-B9E1-DCDE9F8B2081}"/>
    <cellStyle name="Vírgula 7 2 2 2 3 2 3 2" xfId="4534" xr:uid="{EC45C7F8-697F-4C8F-8AEE-2D625F63B956}"/>
    <cellStyle name="Vírgula 7 2 2 2 3 2 3 2 2" xfId="4535" xr:uid="{81C29413-1ABC-465D-BC58-D40C3D69C0F2}"/>
    <cellStyle name="Vírgula 7 2 2 2 3 2 3 2 3" xfId="8479" xr:uid="{DB9E324B-9071-48EA-9278-BC56DA236C78}"/>
    <cellStyle name="Vírgula 7 2 2 2 3 2 3 3" xfId="4536" xr:uid="{1A60C3AC-35B6-41D7-8F3A-0ADD24C8A1B9}"/>
    <cellStyle name="Vírgula 7 2 2 2 3 2 3 4" xfId="8478" xr:uid="{48CD03F7-48BB-475B-B397-46F96FA592A4}"/>
    <cellStyle name="Vírgula 7 2 2 2 3 2 4" xfId="4537" xr:uid="{D5A842C0-B2B6-4952-A219-C326A097DDA6}"/>
    <cellStyle name="Vírgula 7 2 2 2 3 2 4 2" xfId="4538" xr:uid="{B5E199CE-7EB8-443D-B438-626DF15CEAE5}"/>
    <cellStyle name="Vírgula 7 2 2 2 3 2 4 3" xfId="8480" xr:uid="{314A2BB8-B3C2-416E-8AD8-5F6D285AC013}"/>
    <cellStyle name="Vírgula 7 2 2 2 3 2 5" xfId="4539" xr:uid="{44E7ED96-CC90-480D-824D-2D7FC63FFE71}"/>
    <cellStyle name="Vírgula 7 2 2 2 3 2 6" xfId="8475" xr:uid="{C60594ED-59E6-4509-84D6-9F847F5BB7A6}"/>
    <cellStyle name="Vírgula 7 2 2 2 3 3" xfId="4540" xr:uid="{E7695524-6CED-45E2-B0E4-1C04966D5831}"/>
    <cellStyle name="Vírgula 7 2 2 2 3 3 2" xfId="4541" xr:uid="{2F9E5EDE-97CC-4B17-8E65-15DF75611EDD}"/>
    <cellStyle name="Vírgula 7 2 2 2 3 3 2 2" xfId="4542" xr:uid="{0D51865A-B4C3-4BDF-919D-D57AECED690B}"/>
    <cellStyle name="Vírgula 7 2 2 2 3 3 2 3" xfId="8482" xr:uid="{DC492629-4AAB-45E0-91C6-4B0BFE9CAFD1}"/>
    <cellStyle name="Vírgula 7 2 2 2 3 3 3" xfId="4543" xr:uid="{3D4FC2EE-622F-403E-BA9F-C3A4BC8D1CD1}"/>
    <cellStyle name="Vírgula 7 2 2 2 3 3 4" xfId="8481" xr:uid="{32B06727-D811-496F-95FC-491B1DC3805F}"/>
    <cellStyle name="Vírgula 7 2 2 2 3 4" xfId="4544" xr:uid="{3F6000AE-8E54-4585-B103-9C076C158607}"/>
    <cellStyle name="Vírgula 7 2 2 2 3 4 2" xfId="4545" xr:uid="{008710AE-8B7C-4232-A7A1-FEC5E5FA9872}"/>
    <cellStyle name="Vírgula 7 2 2 2 3 4 2 2" xfId="4546" xr:uid="{FDFDEEC5-5773-48AA-A134-E2D3F4B4E0E8}"/>
    <cellStyle name="Vírgula 7 2 2 2 3 4 2 3" xfId="8484" xr:uid="{9801519B-7C45-49A8-A337-F3B34032E5E9}"/>
    <cellStyle name="Vírgula 7 2 2 2 3 4 3" xfId="4547" xr:uid="{5BFCD6E8-C2CD-4B0C-80BF-A3C7B2CF4C26}"/>
    <cellStyle name="Vírgula 7 2 2 2 3 4 4" xfId="8483" xr:uid="{20257337-915F-4AF3-9F63-CF6CF4129D87}"/>
    <cellStyle name="Vírgula 7 2 2 2 3 5" xfId="4548" xr:uid="{446233F5-7F39-41C7-B3C4-B18ACF0F7C43}"/>
    <cellStyle name="Vírgula 7 2 2 2 3 5 2" xfId="4549" xr:uid="{815E15C8-EC5E-4209-89A5-5013B96A2C89}"/>
    <cellStyle name="Vírgula 7 2 2 2 3 5 3" xfId="8485" xr:uid="{86AB0F09-D436-444E-AD8D-55F5607A37EC}"/>
    <cellStyle name="Vírgula 7 2 2 2 3 6" xfId="4550" xr:uid="{25DA850F-9958-4765-99BC-AF738E90DA82}"/>
    <cellStyle name="Vírgula 7 2 2 2 3 7" xfId="8474" xr:uid="{04A71D87-6C27-4FEA-B880-EC412874894C}"/>
    <cellStyle name="Vírgula 7 2 2 2 4" xfId="4551" xr:uid="{F3C3B77B-2D83-4BB1-9DA5-50C7248A1A17}"/>
    <cellStyle name="Vírgula 7 2 2 2 4 2" xfId="4552" xr:uid="{5D788615-C16F-499B-89CD-292E48C4188A}"/>
    <cellStyle name="Vírgula 7 2 2 2 4 2 2" xfId="4553" xr:uid="{20D0C7E2-7336-46B4-A2A1-C28FF117CA6B}"/>
    <cellStyle name="Vírgula 7 2 2 2 4 2 2 2" xfId="4554" xr:uid="{8558A796-C039-40CD-BC98-FBCB5A16719E}"/>
    <cellStyle name="Vírgula 7 2 2 2 4 2 2 3" xfId="8488" xr:uid="{6E65A2EA-EFA4-40D2-A9F5-0ABA6EF5D5E5}"/>
    <cellStyle name="Vírgula 7 2 2 2 4 2 3" xfId="4555" xr:uid="{CE84793F-DC45-4F66-9340-C4FD40357ECE}"/>
    <cellStyle name="Vírgula 7 2 2 2 4 2 4" xfId="8487" xr:uid="{4E5523DA-831A-404F-B427-DF77F175AAD3}"/>
    <cellStyle name="Vírgula 7 2 2 2 4 3" xfId="4556" xr:uid="{B8E48D39-4571-4674-ACB8-4666A919E514}"/>
    <cellStyle name="Vírgula 7 2 2 2 4 3 2" xfId="4557" xr:uid="{0C22E6CE-DAAD-478C-836F-999A1491112B}"/>
    <cellStyle name="Vírgula 7 2 2 2 4 3 2 2" xfId="4558" xr:uid="{6AB00435-F694-4519-9DC1-D0F3C9521684}"/>
    <cellStyle name="Vírgula 7 2 2 2 4 3 2 3" xfId="8490" xr:uid="{E82821C1-74FA-45A5-8913-20B9A8AEB9BA}"/>
    <cellStyle name="Vírgula 7 2 2 2 4 3 3" xfId="4559" xr:uid="{8AA6271A-95A6-4392-B934-C126E1F1B0BC}"/>
    <cellStyle name="Vírgula 7 2 2 2 4 3 4" xfId="8489" xr:uid="{889AC397-4962-4310-ADE6-5D49D7D78D7C}"/>
    <cellStyle name="Vírgula 7 2 2 2 4 4" xfId="4560" xr:uid="{2BBA9DD6-4927-4A79-B382-9647F9589E17}"/>
    <cellStyle name="Vírgula 7 2 2 2 4 4 2" xfId="4561" xr:uid="{1EA522CE-9ECE-4F50-9617-7959A1946EDE}"/>
    <cellStyle name="Vírgula 7 2 2 2 4 4 3" xfId="8491" xr:uid="{E0520D23-3EE7-4BC2-A989-1E1C194FF793}"/>
    <cellStyle name="Vírgula 7 2 2 2 4 5" xfId="4562" xr:uid="{90C0D9CD-AB86-4EFE-A115-D26C6E1D98A7}"/>
    <cellStyle name="Vírgula 7 2 2 2 4 6" xfId="8486" xr:uid="{1B42A1FB-FCD4-4CEA-9949-3B1AE1F668DA}"/>
    <cellStyle name="Vírgula 7 2 2 2 5" xfId="4563" xr:uid="{BC1DBA0C-E87F-4705-BAF9-763D7FBF9F72}"/>
    <cellStyle name="Vírgula 7 2 2 2 5 2" xfId="4564" xr:uid="{AF8677B8-F574-43B5-8A92-CC626C575C7D}"/>
    <cellStyle name="Vírgula 7 2 2 2 5 2 2" xfId="4565" xr:uid="{22784D5E-8A9E-44B5-8845-0D2578240E80}"/>
    <cellStyle name="Vírgula 7 2 2 2 5 2 3" xfId="8493" xr:uid="{3A211946-2BA7-48E4-9331-B88B43DC72AD}"/>
    <cellStyle name="Vírgula 7 2 2 2 5 3" xfId="4566" xr:uid="{25F1064A-CE7E-4F6F-9477-05D46994D347}"/>
    <cellStyle name="Vírgula 7 2 2 2 5 4" xfId="8492" xr:uid="{EB0918C6-E38E-4258-91D6-741E012FEEE2}"/>
    <cellStyle name="Vírgula 7 2 2 2 6" xfId="4567" xr:uid="{B3B47458-8312-45B1-AF12-7F0A7665B240}"/>
    <cellStyle name="Vírgula 7 2 2 2 6 2" xfId="4568" xr:uid="{8914B9D9-3783-4B84-B1E2-A95B06C626E6}"/>
    <cellStyle name="Vírgula 7 2 2 2 6 2 2" xfId="4569" xr:uid="{7381CCF3-49DB-4114-904F-F1CE934492EE}"/>
    <cellStyle name="Vírgula 7 2 2 2 6 2 3" xfId="8495" xr:uid="{054C9664-73C4-47A8-9987-9E092D1CF4F0}"/>
    <cellStyle name="Vírgula 7 2 2 2 6 3" xfId="4570" xr:uid="{1C1F95E5-AA31-4CE5-B5DE-917936112077}"/>
    <cellStyle name="Vírgula 7 2 2 2 6 4" xfId="8494" xr:uid="{116C2268-7C11-4371-AC63-53565700310C}"/>
    <cellStyle name="Vírgula 7 2 2 2 7" xfId="4571" xr:uid="{66B5C191-7B09-4B9E-AA9A-C4D279DA3E70}"/>
    <cellStyle name="Vírgula 7 2 2 2 7 2" xfId="4572" xr:uid="{D101C09E-8580-4678-A3BF-9B33FD1BFFEA}"/>
    <cellStyle name="Vírgula 7 2 2 2 7 3" xfId="8496" xr:uid="{9877AD50-297D-4864-8A7D-A61E41B4EF42}"/>
    <cellStyle name="Vírgula 7 2 2 2 8" xfId="4573" xr:uid="{EF11B264-08DD-4DE3-8399-83F0227952DF}"/>
    <cellStyle name="Vírgula 7 2 2 2 9" xfId="8461" xr:uid="{49828E1B-FCBB-4B3F-B2AF-4EEEC35764BA}"/>
    <cellStyle name="Vírgula 7 2 2 3" xfId="4574" xr:uid="{0131DC79-4212-4A9F-915A-2F784E4EEB98}"/>
    <cellStyle name="Vírgula 7 2 2 3 2" xfId="4575" xr:uid="{7D56D0CD-5185-411B-A930-692AD69458D6}"/>
    <cellStyle name="Vírgula 7 2 2 3 2 2" xfId="4576" xr:uid="{CB6428FA-6DFA-4A20-B9F2-FDDF9458EDB7}"/>
    <cellStyle name="Vírgula 7 2 2 3 2 2 2" xfId="4577" xr:uid="{4C5023D0-84F6-434D-8DA8-25EFFF31953B}"/>
    <cellStyle name="Vírgula 7 2 2 3 2 2 2 2" xfId="4578" xr:uid="{E3419DD9-F2A5-48D6-B5F2-F169DBB82DEA}"/>
    <cellStyle name="Vírgula 7 2 2 3 2 2 2 2 2" xfId="4579" xr:uid="{4611F6A2-DDFA-4956-926D-A99140703ECE}"/>
    <cellStyle name="Vírgula 7 2 2 3 2 2 2 2 3" xfId="8501" xr:uid="{A517D4FD-CE8B-4A11-AD01-86A73DBF94F2}"/>
    <cellStyle name="Vírgula 7 2 2 3 2 2 2 3" xfId="4580" xr:uid="{10CFC389-3939-4B39-8FAE-1F1508FDF7D6}"/>
    <cellStyle name="Vírgula 7 2 2 3 2 2 2 4" xfId="8500" xr:uid="{E3684C50-1A78-4298-BBF5-A0942030F822}"/>
    <cellStyle name="Vírgula 7 2 2 3 2 2 3" xfId="4581" xr:uid="{EE76910F-DF39-4F3B-BC95-2DAC60AFF6B4}"/>
    <cellStyle name="Vírgula 7 2 2 3 2 2 3 2" xfId="4582" xr:uid="{29504E1C-26BD-4487-8CED-F73A95180345}"/>
    <cellStyle name="Vírgula 7 2 2 3 2 2 3 2 2" xfId="4583" xr:uid="{971EF308-2F41-4508-A8A5-DA1456D8B81E}"/>
    <cellStyle name="Vírgula 7 2 2 3 2 2 3 2 3" xfId="8503" xr:uid="{5EE391A6-D02C-4427-89B5-867C4F990AA9}"/>
    <cellStyle name="Vírgula 7 2 2 3 2 2 3 3" xfId="4584" xr:uid="{6F943767-476A-4653-A719-7483A66389E1}"/>
    <cellStyle name="Vírgula 7 2 2 3 2 2 3 4" xfId="8502" xr:uid="{C6F81C27-8BF3-44C1-A761-97CE3A2E5A3C}"/>
    <cellStyle name="Vírgula 7 2 2 3 2 2 4" xfId="4585" xr:uid="{8F72408A-3134-4343-AC4E-9EF500D1477C}"/>
    <cellStyle name="Vírgula 7 2 2 3 2 2 4 2" xfId="4586" xr:uid="{AA58A05C-7D89-4AF8-B39C-4DD3489CC63F}"/>
    <cellStyle name="Vírgula 7 2 2 3 2 2 4 3" xfId="8504" xr:uid="{202C1AD7-6D76-495E-A7DD-0E0270E6238A}"/>
    <cellStyle name="Vírgula 7 2 2 3 2 2 5" xfId="4587" xr:uid="{D764D792-229D-44EA-A90E-D0963CF1294F}"/>
    <cellStyle name="Vírgula 7 2 2 3 2 2 6" xfId="8499" xr:uid="{9628F49D-7F50-45B8-A54C-22201E8047B2}"/>
    <cellStyle name="Vírgula 7 2 2 3 2 3" xfId="4588" xr:uid="{747C58F2-4A74-4BA6-87F1-AAA593F46AD7}"/>
    <cellStyle name="Vírgula 7 2 2 3 2 3 2" xfId="4589" xr:uid="{EC015F92-8C35-4A57-942D-4E3540F6DC4C}"/>
    <cellStyle name="Vírgula 7 2 2 3 2 3 2 2" xfId="4590" xr:uid="{468E2224-65A8-4A6C-9BDF-F51F3A12A212}"/>
    <cellStyle name="Vírgula 7 2 2 3 2 3 2 3" xfId="8506" xr:uid="{0B3BF267-9508-4C70-958A-85A756C353B8}"/>
    <cellStyle name="Vírgula 7 2 2 3 2 3 3" xfId="4591" xr:uid="{B2C9305A-2194-45B6-806C-DDE20096C8E6}"/>
    <cellStyle name="Vírgula 7 2 2 3 2 3 4" xfId="8505" xr:uid="{9B88CFA3-BD0F-403D-951B-8918DF4A4E91}"/>
    <cellStyle name="Vírgula 7 2 2 3 2 4" xfId="4592" xr:uid="{38843054-CFCB-4097-9425-935B3BD9DC1A}"/>
    <cellStyle name="Vírgula 7 2 2 3 2 4 2" xfId="4593" xr:uid="{52FD345A-185B-4E8B-8CF3-FF9BBD4CA79E}"/>
    <cellStyle name="Vírgula 7 2 2 3 2 4 2 2" xfId="4594" xr:uid="{4EB8A6B7-FEC8-410C-B442-D1F44D96D8D1}"/>
    <cellStyle name="Vírgula 7 2 2 3 2 4 2 3" xfId="8508" xr:uid="{6CECF733-3E35-4D41-A254-F06319A1CB93}"/>
    <cellStyle name="Vírgula 7 2 2 3 2 4 3" xfId="4595" xr:uid="{6C73D9EE-2B24-4B5C-8870-AF9185431944}"/>
    <cellStyle name="Vírgula 7 2 2 3 2 4 4" xfId="8507" xr:uid="{AFE13AB2-B7EB-440A-9ED9-C2A47CB1C11C}"/>
    <cellStyle name="Vírgula 7 2 2 3 2 5" xfId="4596" xr:uid="{5FBA2A7A-14C7-4532-9761-F109FC0D5DD9}"/>
    <cellStyle name="Vírgula 7 2 2 3 2 5 2" xfId="4597" xr:uid="{90EF8129-B2DE-4A21-96AB-68BABD58FE9C}"/>
    <cellStyle name="Vírgula 7 2 2 3 2 5 3" xfId="8509" xr:uid="{D9C7A332-A63C-4A95-847A-17C36A577DD1}"/>
    <cellStyle name="Vírgula 7 2 2 3 2 6" xfId="4598" xr:uid="{772EA4F8-FE38-4C6B-90DB-FCC829D9E65C}"/>
    <cellStyle name="Vírgula 7 2 2 3 2 7" xfId="8498" xr:uid="{1E517859-7D5E-4A5C-8C22-92D7C7DE133A}"/>
    <cellStyle name="Vírgula 7 2 2 3 3" xfId="4599" xr:uid="{65AB06BB-6718-484A-A746-7CDCE75DF43A}"/>
    <cellStyle name="Vírgula 7 2 2 3 3 2" xfId="4600" xr:uid="{0ED2C635-D479-4523-A847-33D2FCA7F829}"/>
    <cellStyle name="Vírgula 7 2 2 3 3 2 2" xfId="4601" xr:uid="{2E85FD28-A064-4F2C-89AE-5A0A23B1A631}"/>
    <cellStyle name="Vírgula 7 2 2 3 3 2 2 2" xfId="4602" xr:uid="{EDDD162E-8EE0-4F70-9939-23D371B935A8}"/>
    <cellStyle name="Vírgula 7 2 2 3 3 2 2 2 2" xfId="4603" xr:uid="{4CE68971-232A-43DD-874D-B51C76BDFFEE}"/>
    <cellStyle name="Vírgula 7 2 2 3 3 2 2 2 3" xfId="8513" xr:uid="{3C9A8FF1-6AA8-4710-BF72-6D002DD8DC39}"/>
    <cellStyle name="Vírgula 7 2 2 3 3 2 2 3" xfId="4604" xr:uid="{F1E79F72-5432-454A-90BB-EB27991A74D3}"/>
    <cellStyle name="Vírgula 7 2 2 3 3 2 2 4" xfId="8512" xr:uid="{3636BCD6-C093-4B2E-AD5F-B18E692827D6}"/>
    <cellStyle name="Vírgula 7 2 2 3 3 2 3" xfId="4605" xr:uid="{E56C4493-79A3-44E0-BF0B-30288AA5588F}"/>
    <cellStyle name="Vírgula 7 2 2 3 3 2 3 2" xfId="4606" xr:uid="{7CB3421F-FFDA-466F-946E-04C552740362}"/>
    <cellStyle name="Vírgula 7 2 2 3 3 2 3 2 2" xfId="4607" xr:uid="{BE7983F1-A596-4DAD-A85E-92A14077F7D1}"/>
    <cellStyle name="Vírgula 7 2 2 3 3 2 3 2 3" xfId="8515" xr:uid="{775AB4E8-D110-4BC4-BDC8-E362B5CC1769}"/>
    <cellStyle name="Vírgula 7 2 2 3 3 2 3 3" xfId="4608" xr:uid="{8D280D00-DB9C-4648-80F6-4DD6AF6370CF}"/>
    <cellStyle name="Vírgula 7 2 2 3 3 2 3 4" xfId="8514" xr:uid="{B71FC0FE-451F-45B6-8E52-D6C1DD46C8C9}"/>
    <cellStyle name="Vírgula 7 2 2 3 3 2 4" xfId="4609" xr:uid="{364CC001-614F-411E-A5BB-3B75C2CCB008}"/>
    <cellStyle name="Vírgula 7 2 2 3 3 2 4 2" xfId="4610" xr:uid="{387B4DD7-A851-4D86-B7DC-19C1B0BA23E6}"/>
    <cellStyle name="Vírgula 7 2 2 3 3 2 4 3" xfId="8516" xr:uid="{7AC69893-2EAB-42E7-AA9E-8588BA28A017}"/>
    <cellStyle name="Vírgula 7 2 2 3 3 2 5" xfId="4611" xr:uid="{5D6450A9-7707-4EB4-97D5-45EFBFC87517}"/>
    <cellStyle name="Vírgula 7 2 2 3 3 2 6" xfId="8511" xr:uid="{582AA527-72EA-49EF-B8B9-944F0EE8626B}"/>
    <cellStyle name="Vírgula 7 2 2 3 3 3" xfId="4612" xr:uid="{334CA72E-A33A-4A7D-9683-D131F33D4A20}"/>
    <cellStyle name="Vírgula 7 2 2 3 3 3 2" xfId="4613" xr:uid="{6DC6FB46-F6DE-4CB4-AD69-F530C21BFA0F}"/>
    <cellStyle name="Vírgula 7 2 2 3 3 3 2 2" xfId="4614" xr:uid="{98D42BFD-E18C-4BE8-AE83-4CE997E11928}"/>
    <cellStyle name="Vírgula 7 2 2 3 3 3 2 3" xfId="8518" xr:uid="{1F5B6D56-6E0B-47F1-9604-F824296D068A}"/>
    <cellStyle name="Vírgula 7 2 2 3 3 3 3" xfId="4615" xr:uid="{51E1C46F-4F5E-4349-A652-7B5D7F9B02A5}"/>
    <cellStyle name="Vírgula 7 2 2 3 3 3 4" xfId="8517" xr:uid="{1E448D73-7245-40D8-A124-1657CC23B0FF}"/>
    <cellStyle name="Vírgula 7 2 2 3 3 4" xfId="4616" xr:uid="{873A326D-ECF2-4E98-8FA2-2A24F9D94A68}"/>
    <cellStyle name="Vírgula 7 2 2 3 3 4 2" xfId="4617" xr:uid="{21C0E806-CF0D-4F8E-9E02-AAE5CD344E9B}"/>
    <cellStyle name="Vírgula 7 2 2 3 3 4 2 2" xfId="4618" xr:uid="{180DA41F-4D8D-43B0-8672-BB62415E20D0}"/>
    <cellStyle name="Vírgula 7 2 2 3 3 4 2 3" xfId="8520" xr:uid="{276E7740-3F46-4FD5-93E3-0B2C08FE4F93}"/>
    <cellStyle name="Vírgula 7 2 2 3 3 4 3" xfId="4619" xr:uid="{A144E1FB-3012-48F4-BE9A-CADDD95E055B}"/>
    <cellStyle name="Vírgula 7 2 2 3 3 4 4" xfId="8519" xr:uid="{615BBCDF-25E2-4147-9074-C81334EBC512}"/>
    <cellStyle name="Vírgula 7 2 2 3 3 5" xfId="4620" xr:uid="{21C7CBCA-7A36-47BD-89EB-36A42C53C321}"/>
    <cellStyle name="Vírgula 7 2 2 3 3 5 2" xfId="4621" xr:uid="{7BE8D8C5-8DBB-41D3-9D06-98B30BB3B172}"/>
    <cellStyle name="Vírgula 7 2 2 3 3 5 3" xfId="8521" xr:uid="{3049AED6-8255-4438-B882-DE4828FB81F1}"/>
    <cellStyle name="Vírgula 7 2 2 3 3 6" xfId="4622" xr:uid="{B5855A11-C1CE-48F6-9041-5106F816DA5B}"/>
    <cellStyle name="Vírgula 7 2 2 3 3 7" xfId="8510" xr:uid="{899ADC12-2781-4FCF-B73A-2EF64860DD7C}"/>
    <cellStyle name="Vírgula 7 2 2 3 4" xfId="4623" xr:uid="{61B7D553-A483-4130-A35A-747EE8C4EA8B}"/>
    <cellStyle name="Vírgula 7 2 2 3 4 2" xfId="4624" xr:uid="{80DAEA27-D377-4E40-A3C0-3CFE7893584D}"/>
    <cellStyle name="Vírgula 7 2 2 3 4 2 2" xfId="4625" xr:uid="{D1521C17-CD49-4C7A-AF7A-817B202BE54F}"/>
    <cellStyle name="Vírgula 7 2 2 3 4 2 2 2" xfId="4626" xr:uid="{0AC68187-EAF6-4469-9A5A-A9A88D9CD52F}"/>
    <cellStyle name="Vírgula 7 2 2 3 4 2 2 3" xfId="8524" xr:uid="{68345D83-7184-4B8B-B7A8-0BFD20091D08}"/>
    <cellStyle name="Vírgula 7 2 2 3 4 2 3" xfId="4627" xr:uid="{EBC21DE5-1C12-4F78-89E4-7F409C5FD37B}"/>
    <cellStyle name="Vírgula 7 2 2 3 4 2 4" xfId="8523" xr:uid="{8A319167-96D6-4961-A75D-BCF6F7235738}"/>
    <cellStyle name="Vírgula 7 2 2 3 4 3" xfId="4628" xr:uid="{E556EE75-E22B-45D9-A0FD-AE46F761F88F}"/>
    <cellStyle name="Vírgula 7 2 2 3 4 3 2" xfId="4629" xr:uid="{77682AC5-37B7-4A78-85C1-E72EE29FC89B}"/>
    <cellStyle name="Vírgula 7 2 2 3 4 3 2 2" xfId="4630" xr:uid="{6C99500D-8D5A-430C-BAE2-2D27FFA40C5F}"/>
    <cellStyle name="Vírgula 7 2 2 3 4 3 2 3" xfId="8526" xr:uid="{22738F85-4997-435F-BCC9-074B362CCD6F}"/>
    <cellStyle name="Vírgula 7 2 2 3 4 3 3" xfId="4631" xr:uid="{9D7DF7B1-A4E1-41CF-B6A7-F3144274CBF8}"/>
    <cellStyle name="Vírgula 7 2 2 3 4 3 4" xfId="8525" xr:uid="{F8A5CEF3-48C9-4568-897D-E8A45D4F10C4}"/>
    <cellStyle name="Vírgula 7 2 2 3 4 4" xfId="4632" xr:uid="{1B24F3F5-6D20-49C9-B770-1CB262C874D2}"/>
    <cellStyle name="Vírgula 7 2 2 3 4 4 2" xfId="4633" xr:uid="{F24606FE-3C81-478B-9B17-A73FA65FBB40}"/>
    <cellStyle name="Vírgula 7 2 2 3 4 4 3" xfId="8527" xr:uid="{454D9752-931B-4213-9C05-224CD4A4A0FE}"/>
    <cellStyle name="Vírgula 7 2 2 3 4 5" xfId="4634" xr:uid="{E49F4FD7-813B-4192-ABCC-D90FB0DF3B60}"/>
    <cellStyle name="Vírgula 7 2 2 3 4 6" xfId="8522" xr:uid="{F0681794-970F-45BC-BC23-E6EF018406D6}"/>
    <cellStyle name="Vírgula 7 2 2 3 5" xfId="4635" xr:uid="{13724BC9-80F2-433A-B356-E29F5C68188A}"/>
    <cellStyle name="Vírgula 7 2 2 3 5 2" xfId="4636" xr:uid="{F965950F-0AB6-460A-B118-3755C53E4569}"/>
    <cellStyle name="Vírgula 7 2 2 3 5 2 2" xfId="4637" xr:uid="{8A4BFAD5-E914-49C7-9F61-1075375D0060}"/>
    <cellStyle name="Vírgula 7 2 2 3 5 2 3" xfId="8529" xr:uid="{F4A3BA8F-A24F-402D-962D-FB525F07D9DD}"/>
    <cellStyle name="Vírgula 7 2 2 3 5 3" xfId="4638" xr:uid="{92E75BEB-3140-49C8-9A44-478684E07FEF}"/>
    <cellStyle name="Vírgula 7 2 2 3 5 4" xfId="8528" xr:uid="{9D18FFE6-C3E2-40E0-A543-0DC3CDF9818F}"/>
    <cellStyle name="Vírgula 7 2 2 3 6" xfId="4639" xr:uid="{E5A516E4-A02F-4B8E-8B42-33D16784B0EE}"/>
    <cellStyle name="Vírgula 7 2 2 3 6 2" xfId="4640" xr:uid="{10842ADA-67F5-4F4B-8373-3F8618BF6C88}"/>
    <cellStyle name="Vírgula 7 2 2 3 6 2 2" xfId="4641" xr:uid="{20F06B0C-2FAB-4F56-B0BA-1735F6F8049B}"/>
    <cellStyle name="Vírgula 7 2 2 3 6 2 3" xfId="8531" xr:uid="{88FAAC45-75BB-4B22-B126-464086B4CBB0}"/>
    <cellStyle name="Vírgula 7 2 2 3 6 3" xfId="4642" xr:uid="{DB31DED1-2A03-472A-841C-E711A14802D0}"/>
    <cellStyle name="Vírgula 7 2 2 3 6 4" xfId="8530" xr:uid="{883B4669-4D74-41C4-9191-FBCC34FA99A9}"/>
    <cellStyle name="Vírgula 7 2 2 3 7" xfId="4643" xr:uid="{CF568C9E-563E-4A08-9585-624632118246}"/>
    <cellStyle name="Vírgula 7 2 2 3 7 2" xfId="4644" xr:uid="{D3AA169E-8C05-48E8-99BF-4D3046152D29}"/>
    <cellStyle name="Vírgula 7 2 2 3 7 3" xfId="8532" xr:uid="{C3DCC935-A1B9-4412-B9BF-6FEB117E37B1}"/>
    <cellStyle name="Vírgula 7 2 2 3 8" xfId="4645" xr:uid="{568FAC85-21BD-45FC-80E4-F879F5A9992A}"/>
    <cellStyle name="Vírgula 7 2 2 3 9" xfId="8497" xr:uid="{B34F11DD-6FBB-4184-B3DA-2E4FB2AF983A}"/>
    <cellStyle name="Vírgula 7 2 2 4" xfId="4646" xr:uid="{E7898C94-4FD3-4887-8E8F-34ED8A564BF8}"/>
    <cellStyle name="Vírgula 7 2 2 4 2" xfId="4647" xr:uid="{9F318154-2334-45DD-A379-D575EFCEE3B4}"/>
    <cellStyle name="Vírgula 7 2 2 4 2 2" xfId="4648" xr:uid="{F06C4B4A-F276-417E-AC73-388C2B09BC48}"/>
    <cellStyle name="Vírgula 7 2 2 4 2 2 2" xfId="4649" xr:uid="{534D279F-0FF5-4C8A-95B9-7E0A8FEC2812}"/>
    <cellStyle name="Vírgula 7 2 2 4 2 2 2 2" xfId="4650" xr:uid="{FE4F07F0-1313-445F-A52B-5E1A3FF6ECA7}"/>
    <cellStyle name="Vírgula 7 2 2 4 2 2 2 2 2" xfId="4651" xr:uid="{4544AF10-C822-4C1D-A38A-0E2807473E43}"/>
    <cellStyle name="Vírgula 7 2 2 4 2 2 2 2 3" xfId="8537" xr:uid="{42B5BDBA-DF4E-4FED-AC2D-60511C779620}"/>
    <cellStyle name="Vírgula 7 2 2 4 2 2 2 3" xfId="4652" xr:uid="{58298789-F840-470F-9864-23B1B22EC593}"/>
    <cellStyle name="Vírgula 7 2 2 4 2 2 2 4" xfId="8536" xr:uid="{939329AC-19AA-4FFA-BE68-2D1D3F41A01B}"/>
    <cellStyle name="Vírgula 7 2 2 4 2 2 3" xfId="4653" xr:uid="{C1EC75B8-7BF4-4822-9D9E-4877E42634E3}"/>
    <cellStyle name="Vírgula 7 2 2 4 2 2 3 2" xfId="4654" xr:uid="{DED65C44-41A5-4AB8-A081-5A7200FF29FA}"/>
    <cellStyle name="Vírgula 7 2 2 4 2 2 3 2 2" xfId="4655" xr:uid="{ADFFF3DB-BA9A-4DBF-94DA-092E095B98A8}"/>
    <cellStyle name="Vírgula 7 2 2 4 2 2 3 2 3" xfId="8539" xr:uid="{784EAC87-E054-4E0D-8057-DB8077BBA2EF}"/>
    <cellStyle name="Vírgula 7 2 2 4 2 2 3 3" xfId="4656" xr:uid="{F107FABB-163B-460F-9D01-23DE2253D767}"/>
    <cellStyle name="Vírgula 7 2 2 4 2 2 3 4" xfId="8538" xr:uid="{1693999A-2D12-4B04-B1E9-433B5CC937BB}"/>
    <cellStyle name="Vírgula 7 2 2 4 2 2 4" xfId="4657" xr:uid="{45DEB4A3-AB39-4DF6-BB0E-0C56825852A1}"/>
    <cellStyle name="Vírgula 7 2 2 4 2 2 4 2" xfId="4658" xr:uid="{BE2426C6-04D3-42D4-B241-8652E6B89EFE}"/>
    <cellStyle name="Vírgula 7 2 2 4 2 2 4 3" xfId="8540" xr:uid="{1D37EFA6-E9EB-4125-B74B-4C0AB1BF6EAC}"/>
    <cellStyle name="Vírgula 7 2 2 4 2 2 5" xfId="4659" xr:uid="{B60EC096-6BE5-4AF8-8318-5E67766E9476}"/>
    <cellStyle name="Vírgula 7 2 2 4 2 2 6" xfId="8535" xr:uid="{74C9121D-42B1-4427-8F8A-CA29FC9A04BD}"/>
    <cellStyle name="Vírgula 7 2 2 4 2 3" xfId="4660" xr:uid="{65943756-C912-4E5F-8007-77E885C47BE9}"/>
    <cellStyle name="Vírgula 7 2 2 4 2 3 2" xfId="4661" xr:uid="{5408C7C6-5168-4E05-8A6E-52107932EA9B}"/>
    <cellStyle name="Vírgula 7 2 2 4 2 3 2 2" xfId="4662" xr:uid="{18E66E13-B93C-47BE-BEA5-6312E62EC5DE}"/>
    <cellStyle name="Vírgula 7 2 2 4 2 3 2 3" xfId="8542" xr:uid="{5CDB01A2-AC51-42D8-B6AF-9988A5F874E8}"/>
    <cellStyle name="Vírgula 7 2 2 4 2 3 3" xfId="4663" xr:uid="{39976943-38B7-406F-A875-0994E84BB02D}"/>
    <cellStyle name="Vírgula 7 2 2 4 2 3 4" xfId="8541" xr:uid="{2E4159E6-A831-445F-B2A6-6BE54FA0B82F}"/>
    <cellStyle name="Vírgula 7 2 2 4 2 4" xfId="4664" xr:uid="{D5805BAB-B319-42F4-BD68-714A03496F4F}"/>
    <cellStyle name="Vírgula 7 2 2 4 2 4 2" xfId="4665" xr:uid="{5583A5D1-8D94-4E58-89C7-604700AE3C60}"/>
    <cellStyle name="Vírgula 7 2 2 4 2 4 2 2" xfId="4666" xr:uid="{34342B1F-20A3-432D-BD09-C836F908D861}"/>
    <cellStyle name="Vírgula 7 2 2 4 2 4 2 3" xfId="8544" xr:uid="{796309A9-DA25-46A9-8E33-5C313C83ED9A}"/>
    <cellStyle name="Vírgula 7 2 2 4 2 4 3" xfId="4667" xr:uid="{C436B361-961B-401A-A998-2C011BB738EB}"/>
    <cellStyle name="Vírgula 7 2 2 4 2 4 4" xfId="8543" xr:uid="{7AEE2009-F7B0-4F32-9D1F-9421F1B28ADC}"/>
    <cellStyle name="Vírgula 7 2 2 4 2 5" xfId="4668" xr:uid="{2F393B1C-7A44-4A74-A787-DE5457017807}"/>
    <cellStyle name="Vírgula 7 2 2 4 2 5 2" xfId="4669" xr:uid="{0159A4E3-5CD4-41CF-98AB-C679C97811DB}"/>
    <cellStyle name="Vírgula 7 2 2 4 2 5 3" xfId="8545" xr:uid="{CF9E064E-EAD1-4C39-92CB-4E68BCE1A8B1}"/>
    <cellStyle name="Vírgula 7 2 2 4 2 6" xfId="4670" xr:uid="{3A0AAA92-FEA2-40D2-B945-75C0A3A580D8}"/>
    <cellStyle name="Vírgula 7 2 2 4 2 7" xfId="8534" xr:uid="{CE8AB668-05FC-447D-B356-FD430B7F38EB}"/>
    <cellStyle name="Vírgula 7 2 2 4 3" xfId="4671" xr:uid="{3486A0B5-F832-4063-99C3-503379D83F95}"/>
    <cellStyle name="Vírgula 7 2 2 4 3 2" xfId="4672" xr:uid="{19BD3E2F-8DFA-4705-A309-DBC2D1CE490E}"/>
    <cellStyle name="Vírgula 7 2 2 4 3 2 2" xfId="4673" xr:uid="{19CC4671-6626-410D-8EF3-11565CCE5CC3}"/>
    <cellStyle name="Vírgula 7 2 2 4 3 2 2 2" xfId="4674" xr:uid="{C4C23FC7-2C48-42EF-838B-71FF8CA3C08B}"/>
    <cellStyle name="Vírgula 7 2 2 4 3 2 2 2 2" xfId="4675" xr:uid="{6E63FEB0-555B-47BD-B63D-84C2FED0990B}"/>
    <cellStyle name="Vírgula 7 2 2 4 3 2 2 2 3" xfId="8549" xr:uid="{9FC5F382-5C17-4C6C-AF53-6F45D626A034}"/>
    <cellStyle name="Vírgula 7 2 2 4 3 2 2 3" xfId="4676" xr:uid="{86B470C5-85F2-40FA-A455-9049956F954A}"/>
    <cellStyle name="Vírgula 7 2 2 4 3 2 2 4" xfId="8548" xr:uid="{CB75430C-CAAE-4A84-840F-656D68C31F58}"/>
    <cellStyle name="Vírgula 7 2 2 4 3 2 3" xfId="4677" xr:uid="{DBEC9910-5332-40C7-9DF9-010F4104D571}"/>
    <cellStyle name="Vírgula 7 2 2 4 3 2 3 2" xfId="4678" xr:uid="{0EC354C4-767F-4D3D-8E36-8B11E90DF696}"/>
    <cellStyle name="Vírgula 7 2 2 4 3 2 3 2 2" xfId="4679" xr:uid="{3D303A79-3FA8-4D5F-8A3E-CDFB2C4B0912}"/>
    <cellStyle name="Vírgula 7 2 2 4 3 2 3 2 3" xfId="8551" xr:uid="{AD956480-F768-4B13-B73B-867C55122CA8}"/>
    <cellStyle name="Vírgula 7 2 2 4 3 2 3 3" xfId="4680" xr:uid="{3D68B5CC-4270-46A3-B1ED-BED2FDA30494}"/>
    <cellStyle name="Vírgula 7 2 2 4 3 2 3 4" xfId="8550" xr:uid="{9BFB08FA-1E8A-4DF7-A1BC-0D293667BD15}"/>
    <cellStyle name="Vírgula 7 2 2 4 3 2 4" xfId="4681" xr:uid="{54CB9FAA-925C-4E60-B86A-104F94B35056}"/>
    <cellStyle name="Vírgula 7 2 2 4 3 2 4 2" xfId="4682" xr:uid="{38399E79-86B4-48C9-A245-D50018AC6399}"/>
    <cellStyle name="Vírgula 7 2 2 4 3 2 4 3" xfId="8552" xr:uid="{498E18E5-FCA9-48C4-A351-AAE7D61F0F3D}"/>
    <cellStyle name="Vírgula 7 2 2 4 3 2 5" xfId="4683" xr:uid="{8960EC75-7CBA-4776-BEA4-04D12186FA52}"/>
    <cellStyle name="Vírgula 7 2 2 4 3 2 6" xfId="8547" xr:uid="{AB203277-DB37-461A-A0DB-3B2158515798}"/>
    <cellStyle name="Vírgula 7 2 2 4 3 3" xfId="4684" xr:uid="{9A2D14F6-08A2-47B8-8F1D-9B23FDF66738}"/>
    <cellStyle name="Vírgula 7 2 2 4 3 3 2" xfId="4685" xr:uid="{6E45BB20-2F69-4F6F-854A-DBE5EDE30E81}"/>
    <cellStyle name="Vírgula 7 2 2 4 3 3 2 2" xfId="4686" xr:uid="{4DBFE16E-D542-4EDC-9134-DAFF8D3C4F1F}"/>
    <cellStyle name="Vírgula 7 2 2 4 3 3 2 3" xfId="8554" xr:uid="{F1C9DC94-447F-4A52-BA3B-51AFC16C27D7}"/>
    <cellStyle name="Vírgula 7 2 2 4 3 3 3" xfId="4687" xr:uid="{560EE348-A4E2-4414-ABEE-8F87CA1C9700}"/>
    <cellStyle name="Vírgula 7 2 2 4 3 3 4" xfId="8553" xr:uid="{9F529CA1-28B4-400A-A72B-57B8589D4D07}"/>
    <cellStyle name="Vírgula 7 2 2 4 3 4" xfId="4688" xr:uid="{63F6AB71-795F-494B-83BE-608DCF17E29B}"/>
    <cellStyle name="Vírgula 7 2 2 4 3 4 2" xfId="4689" xr:uid="{03A85816-1ECF-4775-9E77-8EDCE6D60941}"/>
    <cellStyle name="Vírgula 7 2 2 4 3 4 2 2" xfId="4690" xr:uid="{3CC113A0-ACDA-48BC-AEB1-E42D5EF02DA7}"/>
    <cellStyle name="Vírgula 7 2 2 4 3 4 2 3" xfId="8556" xr:uid="{7C58D389-6E80-4A71-AF40-BB858AC7E288}"/>
    <cellStyle name="Vírgula 7 2 2 4 3 4 3" xfId="4691" xr:uid="{A7256464-6DA9-42DA-B089-DCD658A88A77}"/>
    <cellStyle name="Vírgula 7 2 2 4 3 4 4" xfId="8555" xr:uid="{E3936C84-129E-461F-82FA-8803E22E24E3}"/>
    <cellStyle name="Vírgula 7 2 2 4 3 5" xfId="4692" xr:uid="{A49648E8-DC44-41B5-8072-874ED95D725A}"/>
    <cellStyle name="Vírgula 7 2 2 4 3 5 2" xfId="4693" xr:uid="{E2823FA4-64FB-406C-B25D-37650D30E1E5}"/>
    <cellStyle name="Vírgula 7 2 2 4 3 5 3" xfId="8557" xr:uid="{BA4FB2AD-FBC8-4311-89CE-120F4959FC67}"/>
    <cellStyle name="Vírgula 7 2 2 4 3 6" xfId="4694" xr:uid="{BD07AB28-2400-4EC5-96EB-B7AFF61B976C}"/>
    <cellStyle name="Vírgula 7 2 2 4 3 7" xfId="8546" xr:uid="{04AC8410-CA4C-46B9-81CA-05EC3DBFBF6F}"/>
    <cellStyle name="Vírgula 7 2 2 4 4" xfId="4695" xr:uid="{8EE10A6C-FF33-4F6D-B825-E211EB7791F0}"/>
    <cellStyle name="Vírgula 7 2 2 4 4 2" xfId="4696" xr:uid="{7BCAFC49-1268-4F7E-99A0-43DDE3BBC352}"/>
    <cellStyle name="Vírgula 7 2 2 4 4 2 2" xfId="4697" xr:uid="{B88F64FC-C72E-4B4E-9088-6F9ED850E11F}"/>
    <cellStyle name="Vírgula 7 2 2 4 4 2 2 2" xfId="4698" xr:uid="{5D3CC24C-0A63-4E38-97B1-9219EA00F29D}"/>
    <cellStyle name="Vírgula 7 2 2 4 4 2 2 3" xfId="8560" xr:uid="{615E56FC-7706-4C3B-A27B-A8A660A64136}"/>
    <cellStyle name="Vírgula 7 2 2 4 4 2 3" xfId="4699" xr:uid="{03CD1C23-0DFE-45C2-8FAA-D03F1E60D652}"/>
    <cellStyle name="Vírgula 7 2 2 4 4 2 4" xfId="8559" xr:uid="{CB812E7A-1240-4EF9-AF09-0A9F19D990C8}"/>
    <cellStyle name="Vírgula 7 2 2 4 4 3" xfId="4700" xr:uid="{88724162-3AB8-47D6-BCD8-113DC2F52DC3}"/>
    <cellStyle name="Vírgula 7 2 2 4 4 3 2" xfId="4701" xr:uid="{1B724466-1816-491A-9706-0AF4812C0EED}"/>
    <cellStyle name="Vírgula 7 2 2 4 4 3 2 2" xfId="4702" xr:uid="{15B1062C-1982-49FB-98B4-324EA5BD009B}"/>
    <cellStyle name="Vírgula 7 2 2 4 4 3 2 3" xfId="8562" xr:uid="{A466EE52-86C2-4E9C-BA30-ECF751320473}"/>
    <cellStyle name="Vírgula 7 2 2 4 4 3 3" xfId="4703" xr:uid="{983AB0A6-114A-44EE-BABF-474C28A2FCE7}"/>
    <cellStyle name="Vírgula 7 2 2 4 4 3 4" xfId="8561" xr:uid="{2061184F-4259-40A3-81D9-D7D596BA3E82}"/>
    <cellStyle name="Vírgula 7 2 2 4 4 4" xfId="4704" xr:uid="{4625F15B-400A-4708-84A0-8988DB7CF283}"/>
    <cellStyle name="Vírgula 7 2 2 4 4 4 2" xfId="4705" xr:uid="{2153E69E-CF35-4DEE-BF81-C9F939D7DC9A}"/>
    <cellStyle name="Vírgula 7 2 2 4 4 4 3" xfId="8563" xr:uid="{C914A7E4-1C23-4973-833A-25CAF0FECA77}"/>
    <cellStyle name="Vírgula 7 2 2 4 4 5" xfId="4706" xr:uid="{A5515775-4E30-4490-AE12-7AE52BE90260}"/>
    <cellStyle name="Vírgula 7 2 2 4 4 6" xfId="8558" xr:uid="{CEBA0487-A2FC-4220-B67E-0A3CA85902F7}"/>
    <cellStyle name="Vírgula 7 2 2 4 5" xfId="4707" xr:uid="{6550ACCF-BA61-44BF-B242-1EBC5DCC43D4}"/>
    <cellStyle name="Vírgula 7 2 2 4 5 2" xfId="4708" xr:uid="{63B543E7-8417-492E-8805-634A068FC98E}"/>
    <cellStyle name="Vírgula 7 2 2 4 5 2 2" xfId="4709" xr:uid="{F0009701-5EF8-4E10-9012-AC729ADF4C91}"/>
    <cellStyle name="Vírgula 7 2 2 4 5 2 3" xfId="8565" xr:uid="{77D2B240-611C-4F0F-B469-114161A24112}"/>
    <cellStyle name="Vírgula 7 2 2 4 5 3" xfId="4710" xr:uid="{7AE5BA1B-6D65-4796-897C-57EBA952A4C3}"/>
    <cellStyle name="Vírgula 7 2 2 4 5 4" xfId="8564" xr:uid="{BEE09D23-BFB4-4D56-ACE1-B1DF093F602A}"/>
    <cellStyle name="Vírgula 7 2 2 4 6" xfId="4711" xr:uid="{9F1788F5-68EA-4929-A225-C30A2BE9E353}"/>
    <cellStyle name="Vírgula 7 2 2 4 6 2" xfId="4712" xr:uid="{9D6CF78D-D168-4605-BCE1-F0C2AEF5742D}"/>
    <cellStyle name="Vírgula 7 2 2 4 6 2 2" xfId="4713" xr:uid="{608782D6-2AE1-431D-B1A4-36C61B17BE14}"/>
    <cellStyle name="Vírgula 7 2 2 4 6 2 3" xfId="8567" xr:uid="{468D64A6-C75D-4EA6-8D11-4CBCCCAA0033}"/>
    <cellStyle name="Vírgula 7 2 2 4 6 3" xfId="4714" xr:uid="{1CBB245C-516B-4304-8DDB-A63C56E8AF21}"/>
    <cellStyle name="Vírgula 7 2 2 4 6 4" xfId="8566" xr:uid="{7070126D-D77F-41E6-86FA-95DABE9A1542}"/>
    <cellStyle name="Vírgula 7 2 2 4 7" xfId="4715" xr:uid="{7EC0E325-7115-4E79-BDDA-975C7D79C0E4}"/>
    <cellStyle name="Vírgula 7 2 2 4 7 2" xfId="4716" xr:uid="{7CD0F697-8617-47FC-91DD-AE8B5C29D0CB}"/>
    <cellStyle name="Vírgula 7 2 2 4 7 3" xfId="8568" xr:uid="{832D7A25-293D-48F1-B243-5EF56960B18C}"/>
    <cellStyle name="Vírgula 7 2 2 4 8" xfId="4717" xr:uid="{E3EB843E-09F1-4976-B5F2-07504F4430BE}"/>
    <cellStyle name="Vírgula 7 2 2 4 9" xfId="8533" xr:uid="{F1CC7535-2768-4F11-B121-6E82289B9F27}"/>
    <cellStyle name="Vírgula 7 2 2 5" xfId="4718" xr:uid="{19BACD26-9AA8-46AF-8066-3735672BF714}"/>
    <cellStyle name="Vírgula 7 2 2 5 2" xfId="4719" xr:uid="{A35EB5EB-2DD6-4631-A1A7-E7A357298C4A}"/>
    <cellStyle name="Vírgula 7 2 2 5 2 2" xfId="4720" xr:uid="{CEA4F981-9E69-45BF-8F60-512300981D41}"/>
    <cellStyle name="Vírgula 7 2 2 5 2 2 2" xfId="4721" xr:uid="{6792699B-9481-4A99-AF7D-CFAA87BA3C36}"/>
    <cellStyle name="Vírgula 7 2 2 5 2 2 2 2" xfId="4722" xr:uid="{AB0C4966-92F4-4DE4-BFD9-E592D938F50D}"/>
    <cellStyle name="Vírgula 7 2 2 5 2 2 2 3" xfId="8572" xr:uid="{87211043-407E-410F-8DD6-241DDC5089AC}"/>
    <cellStyle name="Vírgula 7 2 2 5 2 2 3" xfId="4723" xr:uid="{0BDB973C-37E6-4CCB-8C1B-D92A9B4ABF6D}"/>
    <cellStyle name="Vírgula 7 2 2 5 2 2 4" xfId="8571" xr:uid="{B5CB5B68-5223-4ED6-8893-38F4282C7268}"/>
    <cellStyle name="Vírgula 7 2 2 5 2 3" xfId="4724" xr:uid="{1AF10D41-03FE-4E6F-A1ED-76F7D0227D88}"/>
    <cellStyle name="Vírgula 7 2 2 5 2 3 2" xfId="4725" xr:uid="{DF79D911-A405-490C-B48A-ECCCEE830871}"/>
    <cellStyle name="Vírgula 7 2 2 5 2 3 2 2" xfId="4726" xr:uid="{581DF2B0-D918-4F7F-9F19-8EC8CABBFB4E}"/>
    <cellStyle name="Vírgula 7 2 2 5 2 3 2 3" xfId="8574" xr:uid="{C2713E3E-FD0F-4D28-A4CA-1BB31E30B8B4}"/>
    <cellStyle name="Vírgula 7 2 2 5 2 3 3" xfId="4727" xr:uid="{F7687E4A-B0E6-43C3-95A9-BDD2AEDB5587}"/>
    <cellStyle name="Vírgula 7 2 2 5 2 3 4" xfId="8573" xr:uid="{033B1818-9670-49D2-9D70-631384AE9121}"/>
    <cellStyle name="Vírgula 7 2 2 5 2 4" xfId="4728" xr:uid="{6B707653-3E36-44D5-924B-AF626DE8B64D}"/>
    <cellStyle name="Vírgula 7 2 2 5 2 4 2" xfId="4729" xr:uid="{D485E307-836A-4ED4-BDC1-360396000EDD}"/>
    <cellStyle name="Vírgula 7 2 2 5 2 4 3" xfId="8575" xr:uid="{F529C3D1-813B-4982-9AB2-4B3BCE384851}"/>
    <cellStyle name="Vírgula 7 2 2 5 2 5" xfId="4730" xr:uid="{00BB6A7B-2F71-4903-A233-89378145876A}"/>
    <cellStyle name="Vírgula 7 2 2 5 2 6" xfId="8570" xr:uid="{F114F29C-C665-47B3-B767-2B63DBA19AA4}"/>
    <cellStyle name="Vírgula 7 2 2 5 3" xfId="4731" xr:uid="{2C69EC69-C73F-4225-A6C2-382906F8E161}"/>
    <cellStyle name="Vírgula 7 2 2 5 3 2" xfId="4732" xr:uid="{5E045558-96A0-44A8-A920-A4AF955B3503}"/>
    <cellStyle name="Vírgula 7 2 2 5 3 2 2" xfId="4733" xr:uid="{C53B8E95-BA7F-433A-BAB5-56FE35A0BADC}"/>
    <cellStyle name="Vírgula 7 2 2 5 3 2 3" xfId="8577" xr:uid="{B7CDD283-AAAF-4901-86D2-AFC0918173AE}"/>
    <cellStyle name="Vírgula 7 2 2 5 3 3" xfId="4734" xr:uid="{C4977EB7-23B6-4FD7-B713-E5574A5A790A}"/>
    <cellStyle name="Vírgula 7 2 2 5 3 4" xfId="8576" xr:uid="{069CBAF0-0A2B-4339-B8D9-F72BC8E257CE}"/>
    <cellStyle name="Vírgula 7 2 2 5 4" xfId="4735" xr:uid="{180F323C-F3F7-4329-8A87-224E8CEAAD40}"/>
    <cellStyle name="Vírgula 7 2 2 5 4 2" xfId="4736" xr:uid="{BEDE583E-E238-49A8-8977-BBFFE26ACBCB}"/>
    <cellStyle name="Vírgula 7 2 2 5 4 2 2" xfId="4737" xr:uid="{F3FC4E4B-28AD-4161-8235-6423535A5997}"/>
    <cellStyle name="Vírgula 7 2 2 5 4 2 3" xfId="8579" xr:uid="{53B03A0E-5EC9-43D9-8DD6-47F4DFA62E7C}"/>
    <cellStyle name="Vírgula 7 2 2 5 4 3" xfId="4738" xr:uid="{78BCD9DB-A12B-4814-8646-8C0E75D2CF3A}"/>
    <cellStyle name="Vírgula 7 2 2 5 4 4" xfId="8578" xr:uid="{1A73AE4C-36B4-433D-994D-9B1C233DCE6D}"/>
    <cellStyle name="Vírgula 7 2 2 5 5" xfId="4739" xr:uid="{4E9522E8-E633-4280-9F46-1E0C46BACB51}"/>
    <cellStyle name="Vírgula 7 2 2 5 5 2" xfId="4740" xr:uid="{E3A4114F-472A-4BFF-84BA-F1A190628577}"/>
    <cellStyle name="Vírgula 7 2 2 5 5 3" xfId="8580" xr:uid="{D71492CB-3127-49D4-BD3E-2C2BE6CE7825}"/>
    <cellStyle name="Vírgula 7 2 2 5 6" xfId="4741" xr:uid="{F432429A-B037-44AD-BF99-A26222A130E7}"/>
    <cellStyle name="Vírgula 7 2 2 5 7" xfId="8569" xr:uid="{BF3A269F-27B2-4B2F-89F2-C9F9ECDBE4B7}"/>
    <cellStyle name="Vírgula 7 2 2 6" xfId="4742" xr:uid="{44799A75-3CAE-4C2C-8942-F93C31CF4F30}"/>
    <cellStyle name="Vírgula 7 2 2 6 2" xfId="4743" xr:uid="{E84053D8-02B5-4068-8B4A-FBBF53C8EBD2}"/>
    <cellStyle name="Vírgula 7 2 2 6 2 2" xfId="4744" xr:uid="{1FFF10C6-0E8E-4383-9994-7E4E8FD0ADA1}"/>
    <cellStyle name="Vírgula 7 2 2 6 2 2 2" xfId="4745" xr:uid="{63AF505F-7B16-42CB-8F0B-2906A56B1971}"/>
    <cellStyle name="Vírgula 7 2 2 6 2 2 2 2" xfId="4746" xr:uid="{9693A511-C353-44D4-89B5-678C5D5B13D4}"/>
    <cellStyle name="Vírgula 7 2 2 6 2 2 2 3" xfId="8584" xr:uid="{4C63347D-683C-45F9-9B45-907F94A27EAF}"/>
    <cellStyle name="Vírgula 7 2 2 6 2 2 3" xfId="4747" xr:uid="{90DDBE87-C03D-4723-96FA-7EF2D95C5FA4}"/>
    <cellStyle name="Vírgula 7 2 2 6 2 2 4" xfId="8583" xr:uid="{F558A2CB-89C1-47B4-BE02-F2E5ED2DB2E4}"/>
    <cellStyle name="Vírgula 7 2 2 6 2 3" xfId="4748" xr:uid="{4FAF05CA-CBAA-4C10-960C-46BF7FEB640B}"/>
    <cellStyle name="Vírgula 7 2 2 6 2 3 2" xfId="4749" xr:uid="{33C20887-FA57-4952-9D9C-4CE8A3CE5B7E}"/>
    <cellStyle name="Vírgula 7 2 2 6 2 3 2 2" xfId="4750" xr:uid="{292FC8EB-00D4-44F9-9FE0-970CCA64BA0C}"/>
    <cellStyle name="Vírgula 7 2 2 6 2 3 2 3" xfId="8586" xr:uid="{3ECDF7E1-7FEE-4558-9A63-2DBD3EEA861A}"/>
    <cellStyle name="Vírgula 7 2 2 6 2 3 3" xfId="4751" xr:uid="{93975E96-59A0-49DA-BF15-72F22E62F4EB}"/>
    <cellStyle name="Vírgula 7 2 2 6 2 3 4" xfId="8585" xr:uid="{FD97E053-30D1-40AF-B454-A82AA17F8C01}"/>
    <cellStyle name="Vírgula 7 2 2 6 2 4" xfId="4752" xr:uid="{001D0539-87A5-4684-9556-6B66F0C9B0D6}"/>
    <cellStyle name="Vírgula 7 2 2 6 2 4 2" xfId="4753" xr:uid="{7736187E-771F-4FA3-983B-7A0CBCAA7C3E}"/>
    <cellStyle name="Vírgula 7 2 2 6 2 4 3" xfId="8587" xr:uid="{A9A93F38-5DF6-4CC3-95DE-C315B581E695}"/>
    <cellStyle name="Vírgula 7 2 2 6 2 5" xfId="4754" xr:uid="{6BCF5BEC-3384-4BD9-90D3-249885A50743}"/>
    <cellStyle name="Vírgula 7 2 2 6 2 6" xfId="8582" xr:uid="{CAFDF02B-B7AE-4FA6-86AE-F7EE9A448212}"/>
    <cellStyle name="Vírgula 7 2 2 6 3" xfId="4755" xr:uid="{242EC12D-D190-451C-BD53-4270F025296B}"/>
    <cellStyle name="Vírgula 7 2 2 6 3 2" xfId="4756" xr:uid="{220BC90A-6B5A-4215-A9E1-AB29CE5D29C3}"/>
    <cellStyle name="Vírgula 7 2 2 6 3 2 2" xfId="4757" xr:uid="{944511AE-A23F-4779-894A-2BB9C19650D5}"/>
    <cellStyle name="Vírgula 7 2 2 6 3 2 3" xfId="8589" xr:uid="{EA6C5B88-2101-4DEA-AB83-0C6FB21EC1C0}"/>
    <cellStyle name="Vírgula 7 2 2 6 3 3" xfId="4758" xr:uid="{988998C6-E587-46D3-B334-A658A1F0F36B}"/>
    <cellStyle name="Vírgula 7 2 2 6 3 4" xfId="8588" xr:uid="{E2FE970F-6EA8-4419-9C50-04CE23C19B1B}"/>
    <cellStyle name="Vírgula 7 2 2 6 4" xfId="4759" xr:uid="{BC4B597D-01C3-416C-9121-AFAC93601F3B}"/>
    <cellStyle name="Vírgula 7 2 2 6 4 2" xfId="4760" xr:uid="{4F4358DA-4070-435A-A24C-5E9D4BCEAB83}"/>
    <cellStyle name="Vírgula 7 2 2 6 4 2 2" xfId="4761" xr:uid="{CF5E8EAB-E407-4E60-B799-0ED2A14FC878}"/>
    <cellStyle name="Vírgula 7 2 2 6 4 2 3" xfId="8591" xr:uid="{0828784B-8527-43BB-9B40-184040B6B7B2}"/>
    <cellStyle name="Vírgula 7 2 2 6 4 3" xfId="4762" xr:uid="{2EB55D7B-ECAB-4F2D-93E4-08340D034A57}"/>
    <cellStyle name="Vírgula 7 2 2 6 4 4" xfId="8590" xr:uid="{2D4965A4-E81F-4E15-B980-F3BE13C0028D}"/>
    <cellStyle name="Vírgula 7 2 2 6 5" xfId="4763" xr:uid="{55B9553C-98EE-416E-BD0F-12AB52E27992}"/>
    <cellStyle name="Vírgula 7 2 2 6 5 2" xfId="4764" xr:uid="{E8C158D0-FFBE-4D91-B446-C6B4A02CA438}"/>
    <cellStyle name="Vírgula 7 2 2 6 5 3" xfId="8592" xr:uid="{20911D34-6805-4C0F-9061-78A76CCD58F8}"/>
    <cellStyle name="Vírgula 7 2 2 6 6" xfId="4765" xr:uid="{822A2A25-37B1-4F72-B1F5-7BF8D5E8A06C}"/>
    <cellStyle name="Vírgula 7 2 2 6 7" xfId="8581" xr:uid="{1BFB17FF-346D-4527-A818-0CD46D67962E}"/>
    <cellStyle name="Vírgula 7 2 2 7" xfId="4766" xr:uid="{1ECAD0EC-85AE-42D2-922B-50517925D37C}"/>
    <cellStyle name="Vírgula 7 2 2 7 2" xfId="4767" xr:uid="{E9090224-CC87-464E-BAA4-D87E833E0C7A}"/>
    <cellStyle name="Vírgula 7 2 2 7 2 2" xfId="4768" xr:uid="{61E05E0B-428B-495C-8993-762231724E4F}"/>
    <cellStyle name="Vírgula 7 2 2 7 2 2 2" xfId="4769" xr:uid="{A3C5F6D5-F6EE-4B8A-9955-4341E7DDC3A2}"/>
    <cellStyle name="Vírgula 7 2 2 7 2 2 3" xfId="8595" xr:uid="{A3FBCF09-DD3F-4831-856C-159AF56FDF29}"/>
    <cellStyle name="Vírgula 7 2 2 7 2 3" xfId="4770" xr:uid="{C2E29C2A-0E75-4C68-BCFC-FC58E1ADF59A}"/>
    <cellStyle name="Vírgula 7 2 2 7 2 4" xfId="8594" xr:uid="{3F4A8AC9-E2B5-4408-B11B-41C259B0663A}"/>
    <cellStyle name="Vírgula 7 2 2 7 3" xfId="4771" xr:uid="{1DE938B0-CD25-4E24-84D6-8CB3452DD2F9}"/>
    <cellStyle name="Vírgula 7 2 2 7 3 2" xfId="4772" xr:uid="{111E0933-587D-4B4D-9E55-9C02606F3428}"/>
    <cellStyle name="Vírgula 7 2 2 7 3 2 2" xfId="4773" xr:uid="{346366A6-6F18-4E82-B786-552B1C27A140}"/>
    <cellStyle name="Vírgula 7 2 2 7 3 2 3" xfId="8597" xr:uid="{9C84F741-FC2D-4663-AD4E-90F5D1F127EB}"/>
    <cellStyle name="Vírgula 7 2 2 7 3 3" xfId="4774" xr:uid="{32E22AAB-9525-4C62-9A4D-5D0B94017DCD}"/>
    <cellStyle name="Vírgula 7 2 2 7 3 4" xfId="8596" xr:uid="{E0D1D628-3ADD-43EA-8D13-1D3F80A02D2E}"/>
    <cellStyle name="Vírgula 7 2 2 7 4" xfId="4775" xr:uid="{6F372DF9-75F5-42CF-8245-F4943C1C8727}"/>
    <cellStyle name="Vírgula 7 2 2 7 4 2" xfId="4776" xr:uid="{6D66AF28-6BC7-4E30-9751-320443238D11}"/>
    <cellStyle name="Vírgula 7 2 2 7 4 3" xfId="8598" xr:uid="{CCA48598-275D-4955-B9A4-EAF364637850}"/>
    <cellStyle name="Vírgula 7 2 2 7 5" xfId="4777" xr:uid="{184D31AE-4390-4D42-8E4D-1100CB08F54A}"/>
    <cellStyle name="Vírgula 7 2 2 7 6" xfId="8593" xr:uid="{61E2B145-92B6-4712-A4FA-340E46DB27BC}"/>
    <cellStyle name="Vírgula 7 2 2 8" xfId="4778" xr:uid="{192EB19F-9A81-4568-8240-655B4CDD6F03}"/>
    <cellStyle name="Vírgula 7 2 2 8 2" xfId="4779" xr:uid="{03EFA5A0-380B-4B04-87E7-84C6894F3CCC}"/>
    <cellStyle name="Vírgula 7 2 2 8 2 2" xfId="4780" xr:uid="{102458F2-DE14-4404-92A6-F0CA3F236583}"/>
    <cellStyle name="Vírgula 7 2 2 8 2 3" xfId="8600" xr:uid="{EC0C4E51-8E22-4BE3-A5C6-FBD589C759E5}"/>
    <cellStyle name="Vírgula 7 2 2 8 3" xfId="4781" xr:uid="{71967591-3FEE-4C96-B60C-D72DA1E1BB2B}"/>
    <cellStyle name="Vírgula 7 2 2 8 4" xfId="8599" xr:uid="{C1145267-1890-4DD0-909C-ED3F1DE40F13}"/>
    <cellStyle name="Vírgula 7 2 2 9" xfId="4782" xr:uid="{6AAE2360-C228-40E2-B6AC-E31B1DDFF784}"/>
    <cellStyle name="Vírgula 7 2 2 9 2" xfId="4783" xr:uid="{EB4898E4-A07F-4E8A-A6A6-D8A09B7B9C78}"/>
    <cellStyle name="Vírgula 7 2 2 9 2 2" xfId="4784" xr:uid="{601F4FBF-55D8-4D7C-B1CF-299018A7B602}"/>
    <cellStyle name="Vírgula 7 2 2 9 2 3" xfId="8602" xr:uid="{1CBE61E8-48D8-4B8B-B087-479565E62101}"/>
    <cellStyle name="Vírgula 7 2 2 9 3" xfId="4785" xr:uid="{D0312130-942F-4B43-B6E1-DF38EB796379}"/>
    <cellStyle name="Vírgula 7 2 2 9 4" xfId="8601" xr:uid="{23D21C31-BE1A-4AFF-8183-C35AED08C54A}"/>
    <cellStyle name="Vírgula 7 2 3" xfId="4786" xr:uid="{A1209930-203D-47BB-976F-AA0CFCD804DF}"/>
    <cellStyle name="Vírgula 7 2 3 2" xfId="4787" xr:uid="{0D0C7871-0282-4FEE-AB43-8875D147FDFB}"/>
    <cellStyle name="Vírgula 7 2 3 2 2" xfId="4788" xr:uid="{45C6FD33-0F94-4647-A658-79A940610CE0}"/>
    <cellStyle name="Vírgula 7 2 3 2 2 2" xfId="4789" xr:uid="{13463C61-3B46-45D7-9590-772E3344C05C}"/>
    <cellStyle name="Vírgula 7 2 3 2 2 2 2" xfId="4790" xr:uid="{2E91D2A0-FB2F-4663-B96A-42FD8C9DD785}"/>
    <cellStyle name="Vírgula 7 2 3 2 2 2 2 2" xfId="4791" xr:uid="{75DF2855-AD9A-4795-A793-E56BEA0F562A}"/>
    <cellStyle name="Vírgula 7 2 3 2 2 2 2 3" xfId="8607" xr:uid="{E1A8EB49-0253-41D1-8E57-6575C87B6832}"/>
    <cellStyle name="Vírgula 7 2 3 2 2 2 3" xfId="4792" xr:uid="{A1B6EA3F-80ED-4E9E-BCDB-726C74356EF4}"/>
    <cellStyle name="Vírgula 7 2 3 2 2 2 4" xfId="8606" xr:uid="{92CFB311-F32F-4F50-BDA6-6D6AAB9193D7}"/>
    <cellStyle name="Vírgula 7 2 3 2 2 3" xfId="4793" xr:uid="{08B498DD-4A80-484D-BAE1-18D4AF7EAE1E}"/>
    <cellStyle name="Vírgula 7 2 3 2 2 3 2" xfId="4794" xr:uid="{702517EE-F3C2-4A6C-9765-D3368A3FA03D}"/>
    <cellStyle name="Vírgula 7 2 3 2 2 3 2 2" xfId="4795" xr:uid="{2CB1CA15-FB7E-481B-8DC5-7BFC4490D1D3}"/>
    <cellStyle name="Vírgula 7 2 3 2 2 3 2 3" xfId="8609" xr:uid="{AEF6C011-F1A4-4D43-AC02-DC0AA289DF20}"/>
    <cellStyle name="Vírgula 7 2 3 2 2 3 3" xfId="4796" xr:uid="{CA31FEC4-7267-4198-B84C-D61627E295BF}"/>
    <cellStyle name="Vírgula 7 2 3 2 2 3 4" xfId="8608" xr:uid="{BE4305FC-003A-4380-9D1D-79E3A825C27A}"/>
    <cellStyle name="Vírgula 7 2 3 2 2 4" xfId="4797" xr:uid="{7B331ED8-EA25-4313-9CD1-2764B23D6C7A}"/>
    <cellStyle name="Vírgula 7 2 3 2 2 4 2" xfId="4798" xr:uid="{91123CEB-9D77-44D5-AAB8-2DEC3305F8A6}"/>
    <cellStyle name="Vírgula 7 2 3 2 2 4 3" xfId="8610" xr:uid="{360D1B0D-1F06-4FD3-95EB-02CF1F636DBA}"/>
    <cellStyle name="Vírgula 7 2 3 2 2 5" xfId="4799" xr:uid="{18EA636A-67B2-48E2-AB58-94B99D21AC45}"/>
    <cellStyle name="Vírgula 7 2 3 2 2 6" xfId="8605" xr:uid="{06CAE31C-5849-45BF-8BE1-F23C63182CF8}"/>
    <cellStyle name="Vírgula 7 2 3 2 3" xfId="4800" xr:uid="{9E161CF3-C020-4529-B1CE-65C0A81C5097}"/>
    <cellStyle name="Vírgula 7 2 3 2 3 2" xfId="4801" xr:uid="{89D6742D-9D63-4769-90CD-7CDA0C10B074}"/>
    <cellStyle name="Vírgula 7 2 3 2 3 2 2" xfId="4802" xr:uid="{EC32A99A-ECE4-4064-A914-572FA816469C}"/>
    <cellStyle name="Vírgula 7 2 3 2 3 2 3" xfId="8612" xr:uid="{3C13C2F8-1815-4033-96D2-1339BFFF80FB}"/>
    <cellStyle name="Vírgula 7 2 3 2 3 3" xfId="4803" xr:uid="{F3276174-EACF-4429-B235-EA66275ABD61}"/>
    <cellStyle name="Vírgula 7 2 3 2 3 4" xfId="8611" xr:uid="{0C40A701-DC61-4DC1-BDEA-A9C7034D0E8D}"/>
    <cellStyle name="Vírgula 7 2 3 2 4" xfId="4804" xr:uid="{99B8B4B8-1B9D-4DDE-98A5-847968309DF8}"/>
    <cellStyle name="Vírgula 7 2 3 2 4 2" xfId="4805" xr:uid="{9B79F5F6-E636-4642-8748-11E4AA38E3D0}"/>
    <cellStyle name="Vírgula 7 2 3 2 4 2 2" xfId="4806" xr:uid="{921037C9-D015-4CD5-9628-B4760559BC7E}"/>
    <cellStyle name="Vírgula 7 2 3 2 4 2 3" xfId="8614" xr:uid="{7DAFC3C1-4B45-4869-A4EA-F00EA8EB9C6C}"/>
    <cellStyle name="Vírgula 7 2 3 2 4 3" xfId="4807" xr:uid="{750E7F83-5BF8-4B1B-888F-A845C61BC4C2}"/>
    <cellStyle name="Vírgula 7 2 3 2 4 4" xfId="8613" xr:uid="{BEA03A68-40F9-4061-82E0-15D24545BA9F}"/>
    <cellStyle name="Vírgula 7 2 3 2 5" xfId="4808" xr:uid="{F4EA4EB4-C343-43E1-A7D3-8F5887615BAB}"/>
    <cellStyle name="Vírgula 7 2 3 2 5 2" xfId="4809" xr:uid="{6FD38DB0-968F-4899-B444-5A014D15BF4F}"/>
    <cellStyle name="Vírgula 7 2 3 2 5 3" xfId="8615" xr:uid="{7F48AC49-F477-45FE-859D-0A121B3522AD}"/>
    <cellStyle name="Vírgula 7 2 3 2 6" xfId="4810" xr:uid="{6978D2D5-EFEA-4214-AF55-0B4D60B1A0A8}"/>
    <cellStyle name="Vírgula 7 2 3 2 7" xfId="8604" xr:uid="{A96DE4F6-3F83-46C5-A102-D8F4D7CF221F}"/>
    <cellStyle name="Vírgula 7 2 3 3" xfId="4811" xr:uid="{AF90DA01-21A0-420B-91E7-ADB68F3BC3B6}"/>
    <cellStyle name="Vírgula 7 2 3 3 2" xfId="4812" xr:uid="{73CA45E2-4010-448D-A86F-4466270FE83F}"/>
    <cellStyle name="Vírgula 7 2 3 3 2 2" xfId="4813" xr:uid="{1D2B5DE3-4796-4FBA-903F-FA9B259570FC}"/>
    <cellStyle name="Vírgula 7 2 3 3 2 2 2" xfId="4814" xr:uid="{6D540F76-724C-46D1-99B5-F0D7DCD4A428}"/>
    <cellStyle name="Vírgula 7 2 3 3 2 2 2 2" xfId="4815" xr:uid="{2E3347BF-3A7C-48D3-A564-0BCEFA20D73E}"/>
    <cellStyle name="Vírgula 7 2 3 3 2 2 2 3" xfId="8619" xr:uid="{01BCBC91-CA29-4055-85DD-13623CC2127F}"/>
    <cellStyle name="Vírgula 7 2 3 3 2 2 3" xfId="4816" xr:uid="{5FC097C9-7F4C-46F3-9148-073A063AD494}"/>
    <cellStyle name="Vírgula 7 2 3 3 2 2 4" xfId="8618" xr:uid="{D0F2B584-B3F2-4089-B045-3EE65EE8F5A1}"/>
    <cellStyle name="Vírgula 7 2 3 3 2 3" xfId="4817" xr:uid="{E489A83D-FF5D-4BF8-B323-58D6B68E9B75}"/>
    <cellStyle name="Vírgula 7 2 3 3 2 3 2" xfId="4818" xr:uid="{344E1279-9110-4EE7-9C5A-9956FCA853A6}"/>
    <cellStyle name="Vírgula 7 2 3 3 2 3 2 2" xfId="4819" xr:uid="{BCFC528E-D3AE-400A-A899-F06D684872BB}"/>
    <cellStyle name="Vírgula 7 2 3 3 2 3 2 3" xfId="8621" xr:uid="{32CDD3F6-9DCB-48BC-BAD5-C180E5655475}"/>
    <cellStyle name="Vírgula 7 2 3 3 2 3 3" xfId="4820" xr:uid="{E09B5609-1A70-415E-BD75-A604CB9D1169}"/>
    <cellStyle name="Vírgula 7 2 3 3 2 3 4" xfId="8620" xr:uid="{F6090AC5-EB27-4EBC-8C3F-714E2270C2B6}"/>
    <cellStyle name="Vírgula 7 2 3 3 2 4" xfId="4821" xr:uid="{C5E80151-CFFC-4AB7-AA07-3B5E34A590ED}"/>
    <cellStyle name="Vírgula 7 2 3 3 2 4 2" xfId="4822" xr:uid="{CBBF1A36-4034-42EF-8D2A-F5B4DF0BA562}"/>
    <cellStyle name="Vírgula 7 2 3 3 2 4 3" xfId="8622" xr:uid="{780B2725-6852-47A6-B86D-B91A4DABF016}"/>
    <cellStyle name="Vírgula 7 2 3 3 2 5" xfId="4823" xr:uid="{2E2A849F-111A-4813-B630-EB8473559446}"/>
    <cellStyle name="Vírgula 7 2 3 3 2 6" xfId="8617" xr:uid="{3C51879F-23DA-4E07-B935-D206CD730B34}"/>
    <cellStyle name="Vírgula 7 2 3 3 3" xfId="4824" xr:uid="{B4F1D220-34A3-494F-BFC0-01EAD41F3E7C}"/>
    <cellStyle name="Vírgula 7 2 3 3 3 2" xfId="4825" xr:uid="{15BED7DD-B72C-4624-8218-61F03CA4DCA9}"/>
    <cellStyle name="Vírgula 7 2 3 3 3 2 2" xfId="4826" xr:uid="{FAA4C7C2-3A53-4C3B-ADFD-6C4C18278F35}"/>
    <cellStyle name="Vírgula 7 2 3 3 3 2 3" xfId="8624" xr:uid="{127F05BE-FBF3-4184-AA10-6984F2E8B950}"/>
    <cellStyle name="Vírgula 7 2 3 3 3 3" xfId="4827" xr:uid="{10E517FE-1E41-4494-913B-08361B5809B7}"/>
    <cellStyle name="Vírgula 7 2 3 3 3 4" xfId="8623" xr:uid="{A9EB509F-559F-46C8-B82F-70D36CA72B16}"/>
    <cellStyle name="Vírgula 7 2 3 3 4" xfId="4828" xr:uid="{49142ECC-2FD8-4FAA-A5CA-9BFCCC0665B4}"/>
    <cellStyle name="Vírgula 7 2 3 3 4 2" xfId="4829" xr:uid="{95ED8B1D-6F48-4C31-AAC1-4784EDDF642A}"/>
    <cellStyle name="Vírgula 7 2 3 3 4 2 2" xfId="4830" xr:uid="{D158A74A-C5A7-442F-8E86-38BE4E4988C8}"/>
    <cellStyle name="Vírgula 7 2 3 3 4 2 3" xfId="8626" xr:uid="{15D651A9-6367-40AE-89AC-1C72CA4BA9C7}"/>
    <cellStyle name="Vírgula 7 2 3 3 4 3" xfId="4831" xr:uid="{5344D319-FC5A-443E-9526-F4A29D24B80C}"/>
    <cellStyle name="Vírgula 7 2 3 3 4 4" xfId="8625" xr:uid="{CFE95FA3-93F2-465D-B377-C189CEEFF3D5}"/>
    <cellStyle name="Vírgula 7 2 3 3 5" xfId="4832" xr:uid="{8976FE29-FD4A-49C0-91DA-DD5CF2362654}"/>
    <cellStyle name="Vírgula 7 2 3 3 5 2" xfId="4833" xr:uid="{CB7273E7-FCAE-4A01-9AC1-8B0DBDB982E0}"/>
    <cellStyle name="Vírgula 7 2 3 3 5 3" xfId="8627" xr:uid="{2C8049EB-29A2-4B88-BAD6-A4C4D3B69596}"/>
    <cellStyle name="Vírgula 7 2 3 3 6" xfId="4834" xr:uid="{106CA54F-4C6A-496F-98E4-DC3D6E327FC9}"/>
    <cellStyle name="Vírgula 7 2 3 3 7" xfId="8616" xr:uid="{6BC8514C-9462-4DC0-B95D-98637F9CF9C9}"/>
    <cellStyle name="Vírgula 7 2 3 4" xfId="4835" xr:uid="{559B365C-0C60-43D8-B802-B25ECA5205FE}"/>
    <cellStyle name="Vírgula 7 2 3 4 2" xfId="4836" xr:uid="{C3F3B81B-ADAF-42EE-B453-997A74B0C83D}"/>
    <cellStyle name="Vírgula 7 2 3 4 2 2" xfId="4837" xr:uid="{69C9BCFB-A1C3-4E49-AE04-3ECE6838EE8D}"/>
    <cellStyle name="Vírgula 7 2 3 4 2 2 2" xfId="4838" xr:uid="{234BA42C-4F32-474F-B29E-127A6A0D9344}"/>
    <cellStyle name="Vírgula 7 2 3 4 2 2 3" xfId="8630" xr:uid="{B0697DA2-2EBD-463A-863E-078BE7A0A60A}"/>
    <cellStyle name="Vírgula 7 2 3 4 2 3" xfId="4839" xr:uid="{DD6C601F-0F00-4E0F-82C2-2413DBC7E794}"/>
    <cellStyle name="Vírgula 7 2 3 4 2 4" xfId="8629" xr:uid="{A397306C-D5D6-4543-9C85-789B0FC3D59F}"/>
    <cellStyle name="Vírgula 7 2 3 4 3" xfId="4840" xr:uid="{2BFBCD95-22FE-42B9-AC49-184C8E10E072}"/>
    <cellStyle name="Vírgula 7 2 3 4 3 2" xfId="4841" xr:uid="{E3048506-F492-4E54-B4D9-9C923C665354}"/>
    <cellStyle name="Vírgula 7 2 3 4 3 2 2" xfId="4842" xr:uid="{0994F583-0C19-4573-9160-97EA0576B748}"/>
    <cellStyle name="Vírgula 7 2 3 4 3 2 3" xfId="8632" xr:uid="{CEBC18BD-6DE2-4B37-85B4-224A3C629AF3}"/>
    <cellStyle name="Vírgula 7 2 3 4 3 3" xfId="4843" xr:uid="{71A0936F-AEA6-49BC-8505-A27C116741BC}"/>
    <cellStyle name="Vírgula 7 2 3 4 3 4" xfId="8631" xr:uid="{D5883702-2B20-454D-B4D7-6C8C25F1373D}"/>
    <cellStyle name="Vírgula 7 2 3 4 4" xfId="4844" xr:uid="{68783B21-7D3E-4FA6-B648-0AB3B0B7ACF6}"/>
    <cellStyle name="Vírgula 7 2 3 4 4 2" xfId="4845" xr:uid="{9D2D9F08-C225-42F9-9292-D437A252D8A0}"/>
    <cellStyle name="Vírgula 7 2 3 4 4 3" xfId="8633" xr:uid="{B2348ADC-66CE-4F65-B141-EF6797BF8230}"/>
    <cellStyle name="Vírgula 7 2 3 4 5" xfId="4846" xr:uid="{6656D51A-A857-4CC9-B69A-975EA23BD337}"/>
    <cellStyle name="Vírgula 7 2 3 4 6" xfId="8628" xr:uid="{08BECFDC-7C77-4D3B-B6AC-B0182A37967A}"/>
    <cellStyle name="Vírgula 7 2 3 5" xfId="4847" xr:uid="{3D47E6E0-9444-445A-AA21-EE5B359BF390}"/>
    <cellStyle name="Vírgula 7 2 3 5 2" xfId="4848" xr:uid="{8DD42FE0-F51F-4B38-8F33-0CC5AD426AE4}"/>
    <cellStyle name="Vírgula 7 2 3 5 2 2" xfId="4849" xr:uid="{108AB823-B517-4E6B-81BA-E2D336ACD8BF}"/>
    <cellStyle name="Vírgula 7 2 3 5 2 3" xfId="8635" xr:uid="{62B81964-CC63-4930-9712-EBF9E6DD247C}"/>
    <cellStyle name="Vírgula 7 2 3 5 3" xfId="4850" xr:uid="{44E46C67-ECF9-49B3-AB68-D6F9D8E0ACF8}"/>
    <cellStyle name="Vírgula 7 2 3 5 4" xfId="8634" xr:uid="{50757CDF-0A1F-4797-813E-1D120D69A6B8}"/>
    <cellStyle name="Vírgula 7 2 3 6" xfId="4851" xr:uid="{238866BC-1D09-44FF-9570-18F6266CFE3D}"/>
    <cellStyle name="Vírgula 7 2 3 6 2" xfId="4852" xr:uid="{F90E5F7D-A741-46BE-891B-EAFB3D2CB0E1}"/>
    <cellStyle name="Vírgula 7 2 3 6 2 2" xfId="4853" xr:uid="{AD81D53B-02DA-4309-8A41-4EB4EF1B773B}"/>
    <cellStyle name="Vírgula 7 2 3 6 2 3" xfId="8637" xr:uid="{5B72FE68-AC14-48BE-A047-87142C2B42C3}"/>
    <cellStyle name="Vírgula 7 2 3 6 3" xfId="4854" xr:uid="{4B519795-FD60-47DC-A4DD-F442993AC215}"/>
    <cellStyle name="Vírgula 7 2 3 6 4" xfId="8636" xr:uid="{4A3431C4-6BCF-4F82-ADD8-D0C320202166}"/>
    <cellStyle name="Vírgula 7 2 3 7" xfId="4855" xr:uid="{0D4438FA-27EE-4FC1-ADC7-7F8F0D06F18F}"/>
    <cellStyle name="Vírgula 7 2 3 7 2" xfId="4856" xr:uid="{863C39EC-5E4B-49D7-8A64-C710E5064C56}"/>
    <cellStyle name="Vírgula 7 2 3 7 3" xfId="8638" xr:uid="{DFD5B7F6-FE54-44B9-8BA1-B85D45AD77D3}"/>
    <cellStyle name="Vírgula 7 2 3 8" xfId="4857" xr:uid="{6E4FA10B-65A2-4700-86C0-B8AE450A2C74}"/>
    <cellStyle name="Vírgula 7 2 3 9" xfId="8603" xr:uid="{067A7ACA-06E3-4027-B691-957A05396085}"/>
    <cellStyle name="Vírgula 7 2 4" xfId="4858" xr:uid="{E0E298F7-9C0B-40EE-8280-0F3F1655CC2F}"/>
    <cellStyle name="Vírgula 7 2 4 2" xfId="4859" xr:uid="{39234477-210F-4FE3-91D7-1D91E3B120B4}"/>
    <cellStyle name="Vírgula 7 2 4 2 2" xfId="4860" xr:uid="{E3795CA3-B406-46C3-9B89-1BF497434F4F}"/>
    <cellStyle name="Vírgula 7 2 4 2 2 2" xfId="4861" xr:uid="{CC2275D4-8CC4-4044-A570-EE72E7C957BE}"/>
    <cellStyle name="Vírgula 7 2 4 2 2 2 2" xfId="4862" xr:uid="{417A39D1-DC7C-417A-A6AF-6AF00DD1C859}"/>
    <cellStyle name="Vírgula 7 2 4 2 2 2 2 2" xfId="4863" xr:uid="{B739CD30-86D9-456E-B9FA-D53F956741B3}"/>
    <cellStyle name="Vírgula 7 2 4 2 2 2 2 3" xfId="8643" xr:uid="{50576D01-3264-40A4-95B9-D77C98E10890}"/>
    <cellStyle name="Vírgula 7 2 4 2 2 2 3" xfId="4864" xr:uid="{BF1468E2-05D0-4117-8DB8-DDA8F61FF863}"/>
    <cellStyle name="Vírgula 7 2 4 2 2 2 4" xfId="8642" xr:uid="{6A3AF846-0614-4639-9355-D8A2B6919009}"/>
    <cellStyle name="Vírgula 7 2 4 2 2 3" xfId="4865" xr:uid="{40BCE46B-5ABB-4C05-A15A-E372CC0A996D}"/>
    <cellStyle name="Vírgula 7 2 4 2 2 3 2" xfId="4866" xr:uid="{C901B9F6-5DDB-4F67-A6FB-6CB27DD88ADB}"/>
    <cellStyle name="Vírgula 7 2 4 2 2 3 2 2" xfId="4867" xr:uid="{E91B822A-1267-4541-AA88-E8819D93AF02}"/>
    <cellStyle name="Vírgula 7 2 4 2 2 3 2 3" xfId="8645" xr:uid="{4BCCA445-2925-48B2-B2A7-53F60F5D5131}"/>
    <cellStyle name="Vírgula 7 2 4 2 2 3 3" xfId="4868" xr:uid="{B0BC3899-0AC0-422F-B274-CACB1E1E6224}"/>
    <cellStyle name="Vírgula 7 2 4 2 2 3 4" xfId="8644" xr:uid="{408DF06F-A83F-4566-99BE-46EB24B4088C}"/>
    <cellStyle name="Vírgula 7 2 4 2 2 4" xfId="4869" xr:uid="{60D07899-181B-40BC-ADA7-19A479BB58D1}"/>
    <cellStyle name="Vírgula 7 2 4 2 2 4 2" xfId="4870" xr:uid="{E1A1AFAD-0E92-42E9-8C72-A6B10A077278}"/>
    <cellStyle name="Vírgula 7 2 4 2 2 4 3" xfId="8646" xr:uid="{EE177BC2-F443-4DED-9762-ED940754CFCA}"/>
    <cellStyle name="Vírgula 7 2 4 2 2 5" xfId="4871" xr:uid="{3D06175F-3D1A-492D-8024-EC3E6DB6153A}"/>
    <cellStyle name="Vírgula 7 2 4 2 2 6" xfId="8641" xr:uid="{45EAE8B5-AC1F-4188-A341-6868EC7389EA}"/>
    <cellStyle name="Vírgula 7 2 4 2 3" xfId="4872" xr:uid="{1BA4F8BB-F39D-4F94-A1CF-79D048CD9ED0}"/>
    <cellStyle name="Vírgula 7 2 4 2 3 2" xfId="4873" xr:uid="{DB8562A4-2FD6-4B45-9EFA-8974714AC38F}"/>
    <cellStyle name="Vírgula 7 2 4 2 3 2 2" xfId="4874" xr:uid="{3CE1170F-F14F-4537-BFDA-B0161944F73C}"/>
    <cellStyle name="Vírgula 7 2 4 2 3 2 3" xfId="8648" xr:uid="{D4A71499-9EF2-44C0-AF1F-C3F513809C11}"/>
    <cellStyle name="Vírgula 7 2 4 2 3 3" xfId="4875" xr:uid="{979213B4-20A6-4EDF-A603-349A8F45468B}"/>
    <cellStyle name="Vírgula 7 2 4 2 3 4" xfId="8647" xr:uid="{916BB892-321D-4BC9-B733-1F57D2FF8D68}"/>
    <cellStyle name="Vírgula 7 2 4 2 4" xfId="4876" xr:uid="{D5AD2690-9AD6-4279-B94D-C0396303F4B7}"/>
    <cellStyle name="Vírgula 7 2 4 2 4 2" xfId="4877" xr:uid="{FD3F2E4C-E17A-48EC-927F-7BD3B1FD37D9}"/>
    <cellStyle name="Vírgula 7 2 4 2 4 2 2" xfId="4878" xr:uid="{4510312F-2F2C-4DD0-9035-871521EE699F}"/>
    <cellStyle name="Vírgula 7 2 4 2 4 2 3" xfId="8650" xr:uid="{E6F3B17E-25DB-41E2-83A7-C9B1E7510158}"/>
    <cellStyle name="Vírgula 7 2 4 2 4 3" xfId="4879" xr:uid="{66D8088F-B862-4D1A-8385-93FB771780DF}"/>
    <cellStyle name="Vírgula 7 2 4 2 4 4" xfId="8649" xr:uid="{6E1C2A43-BE76-4DB0-9C46-9FF8D020E894}"/>
    <cellStyle name="Vírgula 7 2 4 2 5" xfId="4880" xr:uid="{32AF02D0-C271-486A-8C17-F33D8BF70ACD}"/>
    <cellStyle name="Vírgula 7 2 4 2 5 2" xfId="4881" xr:uid="{9C6E9F1D-48D7-47B5-A878-73EAFA946789}"/>
    <cellStyle name="Vírgula 7 2 4 2 5 3" xfId="8651" xr:uid="{65D44233-B93B-4DE7-B792-81ABE9FCF82A}"/>
    <cellStyle name="Vírgula 7 2 4 2 6" xfId="4882" xr:uid="{ED1BDD74-DC06-46D2-B506-DBE322486DDF}"/>
    <cellStyle name="Vírgula 7 2 4 2 7" xfId="8640" xr:uid="{D1F5809B-FBFC-4DFF-97AB-48D82B3F9AA7}"/>
    <cellStyle name="Vírgula 7 2 4 3" xfId="4883" xr:uid="{2363E985-4609-46F9-9BB7-A29571480DB2}"/>
    <cellStyle name="Vírgula 7 2 4 3 2" xfId="4884" xr:uid="{5D12ACCD-AE65-4749-B1C7-44A9E797ABF9}"/>
    <cellStyle name="Vírgula 7 2 4 3 2 2" xfId="4885" xr:uid="{E25557A4-B05B-415D-BBEF-73E78B9A0779}"/>
    <cellStyle name="Vírgula 7 2 4 3 2 2 2" xfId="4886" xr:uid="{D1956E56-66E6-41F8-A5F5-59E420D2B286}"/>
    <cellStyle name="Vírgula 7 2 4 3 2 2 2 2" xfId="4887" xr:uid="{1A38D124-8FE6-414F-A625-19DE1E44D18A}"/>
    <cellStyle name="Vírgula 7 2 4 3 2 2 2 3" xfId="8655" xr:uid="{56310C43-B48F-4EFD-997E-3785C2B8A795}"/>
    <cellStyle name="Vírgula 7 2 4 3 2 2 3" xfId="4888" xr:uid="{3CD217A7-7774-4725-8FB8-54A1CA2FA2FA}"/>
    <cellStyle name="Vírgula 7 2 4 3 2 2 4" xfId="8654" xr:uid="{B921B2DC-251E-4A2C-85DB-A7584766BE36}"/>
    <cellStyle name="Vírgula 7 2 4 3 2 3" xfId="4889" xr:uid="{041738FF-722F-4BAC-A349-D18E3AC5EA25}"/>
    <cellStyle name="Vírgula 7 2 4 3 2 3 2" xfId="4890" xr:uid="{6F12E7AB-08EE-429D-A480-1F343023FAB3}"/>
    <cellStyle name="Vírgula 7 2 4 3 2 3 2 2" xfId="4891" xr:uid="{EC1A736F-06FD-416F-952B-0E533E0CCA52}"/>
    <cellStyle name="Vírgula 7 2 4 3 2 3 2 3" xfId="8657" xr:uid="{73E543CE-51B1-4E97-BAB5-8C41B0BE9A73}"/>
    <cellStyle name="Vírgula 7 2 4 3 2 3 3" xfId="4892" xr:uid="{0CB0A316-5286-4C20-A679-6CFEA55A77F9}"/>
    <cellStyle name="Vírgula 7 2 4 3 2 3 4" xfId="8656" xr:uid="{54860791-7065-4FAA-B404-A51830AA0011}"/>
    <cellStyle name="Vírgula 7 2 4 3 2 4" xfId="4893" xr:uid="{FF351FA3-234B-4E15-8FE8-D74E0250B59C}"/>
    <cellStyle name="Vírgula 7 2 4 3 2 4 2" xfId="4894" xr:uid="{8E3D8E6F-3CF3-42C0-807B-6CC92DEE35E2}"/>
    <cellStyle name="Vírgula 7 2 4 3 2 4 3" xfId="8658" xr:uid="{1DF22DEE-1A89-48F7-92A0-67C64A6A54D5}"/>
    <cellStyle name="Vírgula 7 2 4 3 2 5" xfId="4895" xr:uid="{17EC4881-D4F1-4999-A3E8-53A9B3AE93E9}"/>
    <cellStyle name="Vírgula 7 2 4 3 2 6" xfId="8653" xr:uid="{19672892-89A2-43EE-BD59-CF6B3DD4B67A}"/>
    <cellStyle name="Vírgula 7 2 4 3 3" xfId="4896" xr:uid="{79422CEA-CE7D-4486-A8C6-201BE86D0740}"/>
    <cellStyle name="Vírgula 7 2 4 3 3 2" xfId="4897" xr:uid="{857AED61-FFB9-4168-BEFD-2FF3E89D4088}"/>
    <cellStyle name="Vírgula 7 2 4 3 3 2 2" xfId="4898" xr:uid="{995EF4E7-3E68-4B73-BE2E-1A00C62AB915}"/>
    <cellStyle name="Vírgula 7 2 4 3 3 2 3" xfId="8660" xr:uid="{0C33EF1B-D704-44B2-844F-4689C5B99B86}"/>
    <cellStyle name="Vírgula 7 2 4 3 3 3" xfId="4899" xr:uid="{D7607E26-FC75-4132-A662-69511695E909}"/>
    <cellStyle name="Vírgula 7 2 4 3 3 4" xfId="8659" xr:uid="{D470C226-6F80-49C3-A3D3-C752EADAB332}"/>
    <cellStyle name="Vírgula 7 2 4 3 4" xfId="4900" xr:uid="{3B80D966-291A-4118-8F10-326445402AC4}"/>
    <cellStyle name="Vírgula 7 2 4 3 4 2" xfId="4901" xr:uid="{BED82BA0-C2E0-4B7E-92B8-01CBB9385A1E}"/>
    <cellStyle name="Vírgula 7 2 4 3 4 2 2" xfId="4902" xr:uid="{724F3389-91D9-453B-B2D9-3B906F07A3E6}"/>
    <cellStyle name="Vírgula 7 2 4 3 4 2 3" xfId="8662" xr:uid="{21935D36-696B-49DC-880A-E7B0083AC096}"/>
    <cellStyle name="Vírgula 7 2 4 3 4 3" xfId="4903" xr:uid="{1A6433DF-0A14-42D6-97AE-0928032535BC}"/>
    <cellStyle name="Vírgula 7 2 4 3 4 4" xfId="8661" xr:uid="{AD21FC1C-759C-40BA-AC3D-87084EA275BA}"/>
    <cellStyle name="Vírgula 7 2 4 3 5" xfId="4904" xr:uid="{761104F8-D5E8-40AF-993A-2CE2991F421B}"/>
    <cellStyle name="Vírgula 7 2 4 3 5 2" xfId="4905" xr:uid="{0413777C-7E27-4462-AAA6-A83EB1841AA4}"/>
    <cellStyle name="Vírgula 7 2 4 3 5 3" xfId="8663" xr:uid="{3B4F4578-B24D-49D9-B3DA-9D8A7194E19B}"/>
    <cellStyle name="Vírgula 7 2 4 3 6" xfId="4906" xr:uid="{E3B62ABD-16C8-40BB-8B25-CC16A473BE2D}"/>
    <cellStyle name="Vírgula 7 2 4 3 7" xfId="8652" xr:uid="{ED2B51A1-FAC1-4249-ACE7-D3D4256726F1}"/>
    <cellStyle name="Vírgula 7 2 4 4" xfId="4907" xr:uid="{BC91E9C6-50BA-43D6-9583-720594D1EE87}"/>
    <cellStyle name="Vírgula 7 2 4 4 2" xfId="4908" xr:uid="{886976F6-44A4-441B-922A-C402B4368BBE}"/>
    <cellStyle name="Vírgula 7 2 4 4 2 2" xfId="4909" xr:uid="{1C52E47D-B4B7-4E5B-B0C6-56D203CC9FAF}"/>
    <cellStyle name="Vírgula 7 2 4 4 2 2 2" xfId="4910" xr:uid="{994306B8-06EA-47A3-BFD5-00EEF7B05405}"/>
    <cellStyle name="Vírgula 7 2 4 4 2 2 3" xfId="8666" xr:uid="{BA630B33-288F-435F-9617-25A39DAC4ED1}"/>
    <cellStyle name="Vírgula 7 2 4 4 2 3" xfId="4911" xr:uid="{6CE66165-FD18-4B53-A2EA-B3517F2003FD}"/>
    <cellStyle name="Vírgula 7 2 4 4 2 4" xfId="8665" xr:uid="{4FC443FF-9830-4D4F-90A2-252EA08DF9D7}"/>
    <cellStyle name="Vírgula 7 2 4 4 3" xfId="4912" xr:uid="{945A764D-1E3E-4D0F-95AC-20BCF6F62330}"/>
    <cellStyle name="Vírgula 7 2 4 4 3 2" xfId="4913" xr:uid="{E2CE2248-5A66-4E8C-A4E3-A44792B824E2}"/>
    <cellStyle name="Vírgula 7 2 4 4 3 2 2" xfId="4914" xr:uid="{A907378C-0D78-480F-8A14-B07CF3331324}"/>
    <cellStyle name="Vírgula 7 2 4 4 3 2 3" xfId="8668" xr:uid="{D52EC8BB-5A3A-4541-A5F5-96CFB5C6EDAC}"/>
    <cellStyle name="Vírgula 7 2 4 4 3 3" xfId="4915" xr:uid="{D87959CE-5288-4FC1-9A8A-80A72808960E}"/>
    <cellStyle name="Vírgula 7 2 4 4 3 4" xfId="8667" xr:uid="{6AD2E7C2-8F4E-49E2-8709-0E9B0B4575EF}"/>
    <cellStyle name="Vírgula 7 2 4 4 4" xfId="4916" xr:uid="{E500CE28-D746-4EB8-B0A8-34828928BA67}"/>
    <cellStyle name="Vírgula 7 2 4 4 4 2" xfId="4917" xr:uid="{41D0BDC5-745B-464D-96EE-9A27725ACDCD}"/>
    <cellStyle name="Vírgula 7 2 4 4 4 3" xfId="8669" xr:uid="{ECAFCC45-C565-4523-9FED-92E07CCCF4F3}"/>
    <cellStyle name="Vírgula 7 2 4 4 5" xfId="4918" xr:uid="{7F291B21-5E70-4D4C-B36A-60A8BFD65376}"/>
    <cellStyle name="Vírgula 7 2 4 4 6" xfId="8664" xr:uid="{1230F475-0498-4E5C-ABC5-0D9EF2BF58E9}"/>
    <cellStyle name="Vírgula 7 2 4 5" xfId="4919" xr:uid="{7FE9ECBF-5CFA-4B97-BB14-E98285CB9E20}"/>
    <cellStyle name="Vírgula 7 2 4 5 2" xfId="4920" xr:uid="{3DDF62AD-24BD-4DC6-A017-447719821CFE}"/>
    <cellStyle name="Vírgula 7 2 4 5 2 2" xfId="4921" xr:uid="{97CDF267-02A9-4D7E-9A48-1B0D31359F06}"/>
    <cellStyle name="Vírgula 7 2 4 5 2 3" xfId="8671" xr:uid="{766E27A8-FF44-4E86-8655-90735C329C19}"/>
    <cellStyle name="Vírgula 7 2 4 5 3" xfId="4922" xr:uid="{1A1D7A87-C678-4A30-A82A-6F2C77A200B7}"/>
    <cellStyle name="Vírgula 7 2 4 5 4" xfId="8670" xr:uid="{E6560753-DECE-4B32-BCB5-8033BBE2C8F6}"/>
    <cellStyle name="Vírgula 7 2 4 6" xfId="4923" xr:uid="{F6ACD309-9955-46EA-BE20-4080A4B1C14B}"/>
    <cellStyle name="Vírgula 7 2 4 6 2" xfId="4924" xr:uid="{4EF0EF12-31FB-4E89-B1BE-A6DC9B5009DE}"/>
    <cellStyle name="Vírgula 7 2 4 6 2 2" xfId="4925" xr:uid="{4C03CCEA-85B7-4D5B-82CC-B6D946B48365}"/>
    <cellStyle name="Vírgula 7 2 4 6 2 3" xfId="8673" xr:uid="{F0A8A17B-8B6D-44E4-94D8-D845B372EF50}"/>
    <cellStyle name="Vírgula 7 2 4 6 3" xfId="4926" xr:uid="{9CF036D5-3C3F-403C-93FF-C3C2D2F5020C}"/>
    <cellStyle name="Vírgula 7 2 4 6 4" xfId="8672" xr:uid="{0095DDFD-341A-4CCC-9C6F-5028BFADDE3E}"/>
    <cellStyle name="Vírgula 7 2 4 7" xfId="4927" xr:uid="{99CE8B95-EE7E-4347-8A9A-A7665FD416E7}"/>
    <cellStyle name="Vírgula 7 2 4 7 2" xfId="4928" xr:uid="{5FA0BED7-9380-42A5-A358-120BD937C521}"/>
    <cellStyle name="Vírgula 7 2 4 7 3" xfId="8674" xr:uid="{CAD4F1F2-955A-4382-8683-7A59599D85EC}"/>
    <cellStyle name="Vírgula 7 2 4 8" xfId="4929" xr:uid="{00BCE7F7-3815-44F5-B4A5-CA23A899B12D}"/>
    <cellStyle name="Vírgula 7 2 4 9" xfId="8639" xr:uid="{CB4DA0D1-2CFF-4A78-A4C1-D586CF27E3AC}"/>
    <cellStyle name="Vírgula 7 2 5" xfId="4930" xr:uid="{569A7939-99DB-428C-8E3F-869ED0B248CE}"/>
    <cellStyle name="Vírgula 7 2 5 2" xfId="4931" xr:uid="{1A3BF8C5-BF09-4E02-9A76-A248F72DDA84}"/>
    <cellStyle name="Vírgula 7 2 5 2 2" xfId="4932" xr:uid="{BF8D9367-83B6-4A7A-BB36-D6D404794471}"/>
    <cellStyle name="Vírgula 7 2 5 2 2 2" xfId="4933" xr:uid="{616A865C-E893-4922-ACE7-4A04F26E0CB4}"/>
    <cellStyle name="Vírgula 7 2 5 2 2 2 2" xfId="4934" xr:uid="{5DB26752-A3AF-487E-869D-90370B996EF0}"/>
    <cellStyle name="Vírgula 7 2 5 2 2 2 2 2" xfId="4935" xr:uid="{6024A13D-A714-45AE-BD79-B47579B589AB}"/>
    <cellStyle name="Vírgula 7 2 5 2 2 2 2 3" xfId="8679" xr:uid="{0FB0BD08-D3E3-4D63-AE7E-AE1E066C9424}"/>
    <cellStyle name="Vírgula 7 2 5 2 2 2 3" xfId="4936" xr:uid="{AD50F692-3964-41D0-82B9-D1471EE83F21}"/>
    <cellStyle name="Vírgula 7 2 5 2 2 2 4" xfId="8678" xr:uid="{7FF64611-5E08-44A7-83F2-395DF1B89FD1}"/>
    <cellStyle name="Vírgula 7 2 5 2 2 3" xfId="4937" xr:uid="{80C7239A-1507-4955-B12F-6B61BD8FB636}"/>
    <cellStyle name="Vírgula 7 2 5 2 2 3 2" xfId="4938" xr:uid="{A3D4707B-7FF2-4190-AAE2-11EF2774687A}"/>
    <cellStyle name="Vírgula 7 2 5 2 2 3 2 2" xfId="4939" xr:uid="{13A0D9C5-E9DB-4309-99EB-08B73A433CEC}"/>
    <cellStyle name="Vírgula 7 2 5 2 2 3 2 3" xfId="8681" xr:uid="{AE56EE32-A9AB-4529-B6A8-45C3645C66C0}"/>
    <cellStyle name="Vírgula 7 2 5 2 2 3 3" xfId="4940" xr:uid="{9BACEAA8-F618-4CC2-B6A5-272A5748D530}"/>
    <cellStyle name="Vírgula 7 2 5 2 2 3 4" xfId="8680" xr:uid="{B7FAB3E6-ED8D-4088-9287-9E7F8AF01EEB}"/>
    <cellStyle name="Vírgula 7 2 5 2 2 4" xfId="4941" xr:uid="{4F599867-717E-42C2-9780-91963FAC9B00}"/>
    <cellStyle name="Vírgula 7 2 5 2 2 4 2" xfId="4942" xr:uid="{F75E7F88-B742-458B-B63B-DAC148F11D2E}"/>
    <cellStyle name="Vírgula 7 2 5 2 2 4 3" xfId="8682" xr:uid="{3A4A2A2E-716B-4F4A-8146-EE784E7A849A}"/>
    <cellStyle name="Vírgula 7 2 5 2 2 5" xfId="4943" xr:uid="{0EAC02AB-58D8-4023-AE0A-32424944DEA4}"/>
    <cellStyle name="Vírgula 7 2 5 2 2 6" xfId="8677" xr:uid="{2F90D211-AAC7-4164-91D9-B6415ACEDAFA}"/>
    <cellStyle name="Vírgula 7 2 5 2 3" xfId="4944" xr:uid="{4257A4E4-CC82-4B79-9142-1F95B83A20D5}"/>
    <cellStyle name="Vírgula 7 2 5 2 3 2" xfId="4945" xr:uid="{7BFADB54-5AFD-41CD-8500-EEDBCB5E3EA9}"/>
    <cellStyle name="Vírgula 7 2 5 2 3 2 2" xfId="4946" xr:uid="{08FB4EA3-D283-4FAF-BF20-4822A4F81517}"/>
    <cellStyle name="Vírgula 7 2 5 2 3 2 3" xfId="8684" xr:uid="{CD869D8D-B658-43B1-AC78-FE72DD4A3947}"/>
    <cellStyle name="Vírgula 7 2 5 2 3 3" xfId="4947" xr:uid="{B1057464-EEA7-46FD-A4D1-3F62BA37493D}"/>
    <cellStyle name="Vírgula 7 2 5 2 3 4" xfId="8683" xr:uid="{25C4021C-BEF0-48F9-BCD4-9BA652EDFDA5}"/>
    <cellStyle name="Vírgula 7 2 5 2 4" xfId="4948" xr:uid="{6364D936-A1E2-40A5-ACF9-6AEBEF25CEEA}"/>
    <cellStyle name="Vírgula 7 2 5 2 4 2" xfId="4949" xr:uid="{679FCCB0-04E7-4C98-9F0D-DF282AA69B30}"/>
    <cellStyle name="Vírgula 7 2 5 2 4 2 2" xfId="4950" xr:uid="{D65E0820-D452-488F-9AE0-48E85E0E0F70}"/>
    <cellStyle name="Vírgula 7 2 5 2 4 2 3" xfId="8686" xr:uid="{097665CE-B442-4EB6-AD17-3C83E123A05F}"/>
    <cellStyle name="Vírgula 7 2 5 2 4 3" xfId="4951" xr:uid="{02BEFF7E-8359-418B-8AC3-16BB74867FD6}"/>
    <cellStyle name="Vírgula 7 2 5 2 4 4" xfId="8685" xr:uid="{CE5FDED6-F206-47CA-B111-700A4D3A5781}"/>
    <cellStyle name="Vírgula 7 2 5 2 5" xfId="4952" xr:uid="{8C2C81F1-D6E7-4269-B834-1F229DAEE13D}"/>
    <cellStyle name="Vírgula 7 2 5 2 5 2" xfId="4953" xr:uid="{BBC6DD96-79C5-4BB2-99DA-249A078B355A}"/>
    <cellStyle name="Vírgula 7 2 5 2 5 3" xfId="8687" xr:uid="{BFF655C5-219E-4FE2-A744-EA1AF6194CAB}"/>
    <cellStyle name="Vírgula 7 2 5 2 6" xfId="4954" xr:uid="{814AAF82-3F90-468A-A642-531B37A398B9}"/>
    <cellStyle name="Vírgula 7 2 5 2 7" xfId="8676" xr:uid="{E9F5FE24-0844-4701-BB15-84021986890D}"/>
    <cellStyle name="Vírgula 7 2 5 3" xfId="4955" xr:uid="{002F3AA7-441B-4870-8279-060F6940CE2E}"/>
    <cellStyle name="Vírgula 7 2 5 3 2" xfId="4956" xr:uid="{FFD7529A-BA50-48F5-A9CD-1151A38AF131}"/>
    <cellStyle name="Vírgula 7 2 5 3 2 2" xfId="4957" xr:uid="{F9866A79-4AB8-458D-8A35-EDF328150718}"/>
    <cellStyle name="Vírgula 7 2 5 3 2 2 2" xfId="4958" xr:uid="{9276B7D1-AB50-41E7-A95E-14D9814EBC91}"/>
    <cellStyle name="Vírgula 7 2 5 3 2 2 2 2" xfId="4959" xr:uid="{08ACFABB-B5B1-4D5C-85A3-99A3A167330C}"/>
    <cellStyle name="Vírgula 7 2 5 3 2 2 2 3" xfId="8691" xr:uid="{F2C2BDAB-9122-4097-9CB0-1D97D554D80B}"/>
    <cellStyle name="Vírgula 7 2 5 3 2 2 3" xfId="4960" xr:uid="{4AB8C14C-C927-4B34-AAE8-AE9F45AA174C}"/>
    <cellStyle name="Vírgula 7 2 5 3 2 2 4" xfId="8690" xr:uid="{D56CD988-DC34-4757-9386-9510B4F77EC2}"/>
    <cellStyle name="Vírgula 7 2 5 3 2 3" xfId="4961" xr:uid="{2EEE95DB-686C-48ED-80DF-437042F840D9}"/>
    <cellStyle name="Vírgula 7 2 5 3 2 3 2" xfId="4962" xr:uid="{E85D9319-E22F-4DDF-B073-F4DF6B0793A7}"/>
    <cellStyle name="Vírgula 7 2 5 3 2 3 2 2" xfId="4963" xr:uid="{358256B2-56C8-43C7-A371-51555F22A9FD}"/>
    <cellStyle name="Vírgula 7 2 5 3 2 3 2 3" xfId="8693" xr:uid="{19D87CB6-115C-4247-AC0E-3BE1C075048B}"/>
    <cellStyle name="Vírgula 7 2 5 3 2 3 3" xfId="4964" xr:uid="{09CD4628-80E6-4C9B-971D-57FBAA106D18}"/>
    <cellStyle name="Vírgula 7 2 5 3 2 3 4" xfId="8692" xr:uid="{975FFFD4-5733-43AE-B497-9A3C3C3E75BD}"/>
    <cellStyle name="Vírgula 7 2 5 3 2 4" xfId="4965" xr:uid="{B1AF2A2E-2921-4705-B2E4-05E2D76F2B32}"/>
    <cellStyle name="Vírgula 7 2 5 3 2 4 2" xfId="4966" xr:uid="{7D26EB50-0BF0-41CE-9A0D-B0A58892B413}"/>
    <cellStyle name="Vírgula 7 2 5 3 2 4 3" xfId="8694" xr:uid="{215EDD11-59B5-478E-89C6-75DA94F189A2}"/>
    <cellStyle name="Vírgula 7 2 5 3 2 5" xfId="4967" xr:uid="{8CE91312-D54A-4AAF-8A28-DA8022A34AF1}"/>
    <cellStyle name="Vírgula 7 2 5 3 2 6" xfId="8689" xr:uid="{CE4A649F-603C-4321-B201-432EB38E08F8}"/>
    <cellStyle name="Vírgula 7 2 5 3 3" xfId="4968" xr:uid="{7C4912E5-D33D-4F07-A077-681A7EA6CD86}"/>
    <cellStyle name="Vírgula 7 2 5 3 3 2" xfId="4969" xr:uid="{91492F7E-36C5-41F4-B790-5FD040C1A405}"/>
    <cellStyle name="Vírgula 7 2 5 3 3 2 2" xfId="4970" xr:uid="{8131CE95-31A5-4075-B985-3BCF72E0E2E5}"/>
    <cellStyle name="Vírgula 7 2 5 3 3 2 3" xfId="8696" xr:uid="{207F0FFD-9568-4DBE-A4F0-5C81C784B9AF}"/>
    <cellStyle name="Vírgula 7 2 5 3 3 3" xfId="4971" xr:uid="{3FAD2431-E1A9-442C-85F7-6E33990D5340}"/>
    <cellStyle name="Vírgula 7 2 5 3 3 4" xfId="8695" xr:uid="{96111E88-ED22-4C27-A7A8-E6B09A589E86}"/>
    <cellStyle name="Vírgula 7 2 5 3 4" xfId="4972" xr:uid="{E15E8967-21F2-42C3-9D09-B7DDFAE89E64}"/>
    <cellStyle name="Vírgula 7 2 5 3 4 2" xfId="4973" xr:uid="{C9FD2DED-8EEE-41FB-B20B-46E893DDC50E}"/>
    <cellStyle name="Vírgula 7 2 5 3 4 2 2" xfId="4974" xr:uid="{0161EA9D-CB07-43C4-92ED-64B025D0DC02}"/>
    <cellStyle name="Vírgula 7 2 5 3 4 2 3" xfId="8698" xr:uid="{6F157D0B-3BEF-4CF5-8787-692A7A6941A1}"/>
    <cellStyle name="Vírgula 7 2 5 3 4 3" xfId="4975" xr:uid="{A99EE888-A7D8-4F8E-9657-96C7AE2F675C}"/>
    <cellStyle name="Vírgula 7 2 5 3 4 4" xfId="8697" xr:uid="{03988C0E-C8BA-4149-8955-E41230D0C01B}"/>
    <cellStyle name="Vírgula 7 2 5 3 5" xfId="4976" xr:uid="{2F7EE1F5-8C5A-4842-8B4E-81FE8218EEBA}"/>
    <cellStyle name="Vírgula 7 2 5 3 5 2" xfId="4977" xr:uid="{8553A4EE-846B-48D6-91B5-4D4CBBF8CB1E}"/>
    <cellStyle name="Vírgula 7 2 5 3 5 3" xfId="8699" xr:uid="{640D55D2-7D45-4DB3-B11B-052B96FF9490}"/>
    <cellStyle name="Vírgula 7 2 5 3 6" xfId="4978" xr:uid="{66CB99C1-7505-45C4-9421-9E17BAF5D261}"/>
    <cellStyle name="Vírgula 7 2 5 3 7" xfId="8688" xr:uid="{5FD67E3A-3AC0-44B0-8943-99941529BDB0}"/>
    <cellStyle name="Vírgula 7 2 5 4" xfId="4979" xr:uid="{353EBC19-C60C-4F47-98B1-397099688FBB}"/>
    <cellStyle name="Vírgula 7 2 5 4 2" xfId="4980" xr:uid="{309A9731-D2B7-46B9-8758-DB9FDC335CD9}"/>
    <cellStyle name="Vírgula 7 2 5 4 2 2" xfId="4981" xr:uid="{889F5BD8-FD07-421D-A1D4-5577EBF38EBA}"/>
    <cellStyle name="Vírgula 7 2 5 4 2 2 2" xfId="4982" xr:uid="{4BDCB138-C174-4BD9-9E74-59AA476D01CA}"/>
    <cellStyle name="Vírgula 7 2 5 4 2 2 3" xfId="8702" xr:uid="{739C2488-0DB1-4F4F-8F18-589A76CE2DED}"/>
    <cellStyle name="Vírgula 7 2 5 4 2 3" xfId="4983" xr:uid="{B563581D-5CDE-4E95-935E-2087F741028F}"/>
    <cellStyle name="Vírgula 7 2 5 4 2 4" xfId="8701" xr:uid="{E7B724D9-4CBD-40B7-84D9-14EDB46152AA}"/>
    <cellStyle name="Vírgula 7 2 5 4 3" xfId="4984" xr:uid="{50231802-B1FC-468B-8855-5E0BF9400BA1}"/>
    <cellStyle name="Vírgula 7 2 5 4 3 2" xfId="4985" xr:uid="{FCC7C11F-2666-4461-8F21-BA0133B55BC4}"/>
    <cellStyle name="Vírgula 7 2 5 4 3 2 2" xfId="4986" xr:uid="{499A82E5-4FB1-4125-B853-8A644FCC358C}"/>
    <cellStyle name="Vírgula 7 2 5 4 3 2 3" xfId="8704" xr:uid="{0CC1F312-9A94-452A-92FB-365C47B29AA7}"/>
    <cellStyle name="Vírgula 7 2 5 4 3 3" xfId="4987" xr:uid="{0C60C598-9FEB-4B72-813C-DFAB9A91D007}"/>
    <cellStyle name="Vírgula 7 2 5 4 3 4" xfId="8703" xr:uid="{22279D51-F33F-455B-B7ED-B5DFDDCBBDEF}"/>
    <cellStyle name="Vírgula 7 2 5 4 4" xfId="4988" xr:uid="{11712BA4-4D94-49FB-8C67-579B963AB8C6}"/>
    <cellStyle name="Vírgula 7 2 5 4 4 2" xfId="4989" xr:uid="{0348EC28-F802-4FFB-AD59-44B6253B0372}"/>
    <cellStyle name="Vírgula 7 2 5 4 4 3" xfId="8705" xr:uid="{AC536681-B1D4-4007-9A81-04E5D1B94591}"/>
    <cellStyle name="Vírgula 7 2 5 4 5" xfId="4990" xr:uid="{6E5F4619-67F5-4BE2-8396-A9581277DD64}"/>
    <cellStyle name="Vírgula 7 2 5 4 6" xfId="8700" xr:uid="{8FECBC4E-4832-4C64-956E-5A2AA8FE1BF4}"/>
    <cellStyle name="Vírgula 7 2 5 5" xfId="4991" xr:uid="{FC35889F-9D74-4AC2-8FD8-2BDC181A9593}"/>
    <cellStyle name="Vírgula 7 2 5 5 2" xfId="4992" xr:uid="{0CE016A2-98CD-4605-B273-25F07541E256}"/>
    <cellStyle name="Vírgula 7 2 5 5 2 2" xfId="4993" xr:uid="{7989DBCD-8225-4523-BD98-0102559A7D22}"/>
    <cellStyle name="Vírgula 7 2 5 5 2 3" xfId="8707" xr:uid="{0189A531-0DCD-417B-A92F-EEF7BEAEA7BB}"/>
    <cellStyle name="Vírgula 7 2 5 5 3" xfId="4994" xr:uid="{BD6BC09C-E6B3-45F7-8017-371A2DC8F568}"/>
    <cellStyle name="Vírgula 7 2 5 5 4" xfId="8706" xr:uid="{1BB34AF8-0E95-4E96-908B-335F9070F660}"/>
    <cellStyle name="Vírgula 7 2 5 6" xfId="4995" xr:uid="{91B962E5-5E11-460B-9881-1261BA4C8E32}"/>
    <cellStyle name="Vírgula 7 2 5 6 2" xfId="4996" xr:uid="{EF31EE79-580E-4667-A4B0-0630C0DB805A}"/>
    <cellStyle name="Vírgula 7 2 5 6 2 2" xfId="4997" xr:uid="{191FFB9C-1582-43BC-93C1-3483DA1123B3}"/>
    <cellStyle name="Vírgula 7 2 5 6 2 3" xfId="8709" xr:uid="{CF57FD34-1D91-486E-AE2B-21E319E98320}"/>
    <cellStyle name="Vírgula 7 2 5 6 3" xfId="4998" xr:uid="{AAF414CB-EEFE-4F79-B129-F2A7BFA3B3CB}"/>
    <cellStyle name="Vírgula 7 2 5 6 4" xfId="8708" xr:uid="{43C73B56-68A2-44E1-AD8E-1ACB94FE82C1}"/>
    <cellStyle name="Vírgula 7 2 5 7" xfId="4999" xr:uid="{A32C39C0-3CAD-4F8B-A552-A7C08E725E05}"/>
    <cellStyle name="Vírgula 7 2 5 7 2" xfId="5000" xr:uid="{B561F07E-845B-4A16-9223-70013DAAC89F}"/>
    <cellStyle name="Vírgula 7 2 5 7 3" xfId="8710" xr:uid="{E5793860-B85B-4FFE-9BFA-47B734158693}"/>
    <cellStyle name="Vírgula 7 2 5 8" xfId="5001" xr:uid="{1D88D7C7-C37F-4529-BCE9-528CE4C022DE}"/>
    <cellStyle name="Vírgula 7 2 5 9" xfId="8675" xr:uid="{5D84F7D5-CFF0-446C-9CE9-AE0F2BADF301}"/>
    <cellStyle name="Vírgula 7 2 6" xfId="5002" xr:uid="{228EB4C5-3B83-447C-83E7-0BB654322148}"/>
    <cellStyle name="Vírgula 7 2 6 2" xfId="5003" xr:uid="{C9F1F4EB-63B2-49EE-AB09-49265849462D}"/>
    <cellStyle name="Vírgula 7 2 6 2 2" xfId="5004" xr:uid="{E8AC379D-10B5-43D9-A838-470EDD1F6CC4}"/>
    <cellStyle name="Vírgula 7 2 6 2 2 2" xfId="5005" xr:uid="{F951BF5F-79A7-41C6-A7DB-E944B54EE860}"/>
    <cellStyle name="Vírgula 7 2 6 2 2 2 2" xfId="5006" xr:uid="{AC524401-6F79-48E5-8CB3-DA783E5A4073}"/>
    <cellStyle name="Vírgula 7 2 6 2 2 2 3" xfId="8714" xr:uid="{2B56D959-19CB-44FC-81C1-4BBD2037568B}"/>
    <cellStyle name="Vírgula 7 2 6 2 2 3" xfId="5007" xr:uid="{FE9B5E9A-8FFD-4B31-924D-CA3AB48E4DF9}"/>
    <cellStyle name="Vírgula 7 2 6 2 2 4" xfId="8713" xr:uid="{5B012605-0A81-458A-AFD5-D37459EFB302}"/>
    <cellStyle name="Vírgula 7 2 6 2 3" xfId="5008" xr:uid="{01507DD8-5B02-4F33-A6B7-0344CE3A9EA2}"/>
    <cellStyle name="Vírgula 7 2 6 2 3 2" xfId="5009" xr:uid="{4494420C-570F-4F60-9E38-E180976B218E}"/>
    <cellStyle name="Vírgula 7 2 6 2 3 2 2" xfId="5010" xr:uid="{AE53804A-C7D4-486D-BBAE-6113610914DA}"/>
    <cellStyle name="Vírgula 7 2 6 2 3 2 3" xfId="8716" xr:uid="{CBA8B728-FF71-4B1D-A82A-32B22DE02B83}"/>
    <cellStyle name="Vírgula 7 2 6 2 3 3" xfId="5011" xr:uid="{01E67917-51F9-4FA5-9FCB-8B53DCE2D391}"/>
    <cellStyle name="Vírgula 7 2 6 2 3 4" xfId="8715" xr:uid="{A536243A-5800-476E-A4D0-C37F2B39364A}"/>
    <cellStyle name="Vírgula 7 2 6 2 4" xfId="5012" xr:uid="{C3ECEE41-1937-43D9-B73B-267192FFCE17}"/>
    <cellStyle name="Vírgula 7 2 6 2 4 2" xfId="5013" xr:uid="{168E29EA-5E5E-4CC8-B3FB-5001D67B0761}"/>
    <cellStyle name="Vírgula 7 2 6 2 4 3" xfId="8717" xr:uid="{73D5328E-CE77-40F6-B4FB-C84548EE1FC7}"/>
    <cellStyle name="Vírgula 7 2 6 2 5" xfId="5014" xr:uid="{3CACE436-D190-4527-ACD7-CC335270C70C}"/>
    <cellStyle name="Vírgula 7 2 6 2 6" xfId="8712" xr:uid="{04FD8DB3-75E4-422A-9271-6EEC79175DF1}"/>
    <cellStyle name="Vírgula 7 2 6 3" xfId="5015" xr:uid="{69B0DBF2-FC00-4308-8357-36B638A6EBB0}"/>
    <cellStyle name="Vírgula 7 2 6 3 2" xfId="5016" xr:uid="{45A0CB6F-6271-4208-AAB9-D94656696E3F}"/>
    <cellStyle name="Vírgula 7 2 6 3 2 2" xfId="5017" xr:uid="{7E1F7144-214A-4676-A044-77A744E9390F}"/>
    <cellStyle name="Vírgula 7 2 6 3 2 3" xfId="8719" xr:uid="{F38BDA19-AB6B-4865-BD75-1576A61EF2FE}"/>
    <cellStyle name="Vírgula 7 2 6 3 3" xfId="5018" xr:uid="{3961AFE4-46B8-47F4-A517-65FC18D3DC32}"/>
    <cellStyle name="Vírgula 7 2 6 3 4" xfId="8718" xr:uid="{84FAAC96-7C9B-4F86-9990-979986B5B340}"/>
    <cellStyle name="Vírgula 7 2 6 4" xfId="5019" xr:uid="{80BC5C36-FE65-4FFD-B04A-407CA0A35AF5}"/>
    <cellStyle name="Vírgula 7 2 6 4 2" xfId="5020" xr:uid="{84F409C7-D72F-4816-8D67-56DEB815EF58}"/>
    <cellStyle name="Vírgula 7 2 6 4 2 2" xfId="5021" xr:uid="{9797B5D3-A195-400A-9574-EBC6D0D95813}"/>
    <cellStyle name="Vírgula 7 2 6 4 2 3" xfId="8721" xr:uid="{877A07CB-1A0A-450F-B8DF-96575D4418B4}"/>
    <cellStyle name="Vírgula 7 2 6 4 3" xfId="5022" xr:uid="{AB2C0DA4-E215-40E9-9B97-0B7E7288BE87}"/>
    <cellStyle name="Vírgula 7 2 6 4 4" xfId="8720" xr:uid="{281AC407-E233-4FF1-8B53-49DF37FC5B6B}"/>
    <cellStyle name="Vírgula 7 2 6 5" xfId="5023" xr:uid="{11310BDE-0BB1-4653-980A-627E5B86843F}"/>
    <cellStyle name="Vírgula 7 2 6 5 2" xfId="5024" xr:uid="{CA42F855-47D5-4A28-A3BD-9050692AD32F}"/>
    <cellStyle name="Vírgula 7 2 6 5 3" xfId="8722" xr:uid="{F0207F5B-FE14-493B-B79D-C4191EBBCE34}"/>
    <cellStyle name="Vírgula 7 2 6 6" xfId="5025" xr:uid="{0E4D3199-A493-4FBB-A071-439FB5976046}"/>
    <cellStyle name="Vírgula 7 2 6 7" xfId="8711" xr:uid="{B4F39A80-0E75-4782-B558-6A6572D62BC7}"/>
    <cellStyle name="Vírgula 7 2 7" xfId="5026" xr:uid="{CF19E7A3-AC23-46CE-BFFC-D7FCC7079EAD}"/>
    <cellStyle name="Vírgula 7 2 7 2" xfId="5027" xr:uid="{73BE43EC-B3B2-472C-9F94-D6E9A0FCA9B7}"/>
    <cellStyle name="Vírgula 7 2 7 2 2" xfId="5028" xr:uid="{D038D6BD-F29B-44EA-A95D-F52A2982DF2E}"/>
    <cellStyle name="Vírgula 7 2 7 2 2 2" xfId="5029" xr:uid="{11EB872C-F75A-432F-B20C-76B12CE18F61}"/>
    <cellStyle name="Vírgula 7 2 7 2 2 2 2" xfId="5030" xr:uid="{33446E57-54F5-4462-895E-C96EC416B3BA}"/>
    <cellStyle name="Vírgula 7 2 7 2 2 2 3" xfId="8726" xr:uid="{20A26DCD-14BF-41AF-8C5B-425296838D7A}"/>
    <cellStyle name="Vírgula 7 2 7 2 2 3" xfId="5031" xr:uid="{96A4A9A8-0DAA-4D06-8CFF-B3C93438A864}"/>
    <cellStyle name="Vírgula 7 2 7 2 2 4" xfId="8725" xr:uid="{4AC62F36-9AE1-41A5-84F6-77EB153A8FBD}"/>
    <cellStyle name="Vírgula 7 2 7 2 3" xfId="5032" xr:uid="{EEEEE237-966F-4F53-8647-9A2CA8700D16}"/>
    <cellStyle name="Vírgula 7 2 7 2 3 2" xfId="5033" xr:uid="{6F21A41F-6FEF-4ED0-8BF5-40690DC231CA}"/>
    <cellStyle name="Vírgula 7 2 7 2 3 2 2" xfId="5034" xr:uid="{4FFF50B5-996A-4FA9-BA2A-7A1ADE230A67}"/>
    <cellStyle name="Vírgula 7 2 7 2 3 2 3" xfId="8728" xr:uid="{592024AC-CFCB-43C1-9B27-730E9E5E5E33}"/>
    <cellStyle name="Vírgula 7 2 7 2 3 3" xfId="5035" xr:uid="{0ED9B5A9-47E7-4D1C-8D5C-569E2A486D94}"/>
    <cellStyle name="Vírgula 7 2 7 2 3 4" xfId="8727" xr:uid="{54FB3F10-88CD-4583-891A-3765CBA1B46C}"/>
    <cellStyle name="Vírgula 7 2 7 2 4" xfId="5036" xr:uid="{987248F3-FEE4-485F-82C1-E4B6FA28AABC}"/>
    <cellStyle name="Vírgula 7 2 7 2 4 2" xfId="5037" xr:uid="{BFF3B21F-4F64-4F68-82C1-28E42628361A}"/>
    <cellStyle name="Vírgula 7 2 7 2 4 3" xfId="8729" xr:uid="{985AA6B2-6179-47FA-9C8A-595A5E46564C}"/>
    <cellStyle name="Vírgula 7 2 7 2 5" xfId="5038" xr:uid="{CFBDDA2F-5EDF-4666-BFCC-9E1D5EBE8DDC}"/>
    <cellStyle name="Vírgula 7 2 7 2 6" xfId="8724" xr:uid="{4A288864-5115-40FA-8AF5-EC3EA33A3E10}"/>
    <cellStyle name="Vírgula 7 2 7 3" xfId="5039" xr:uid="{D693CC5A-18F5-4F0A-A208-702DD32574E6}"/>
    <cellStyle name="Vírgula 7 2 7 3 2" xfId="5040" xr:uid="{2DD52837-6DDA-48AE-9AD1-9D24608ACFA6}"/>
    <cellStyle name="Vírgula 7 2 7 3 2 2" xfId="5041" xr:uid="{D8344863-A338-4560-8883-91EA5B860F17}"/>
    <cellStyle name="Vírgula 7 2 7 3 2 3" xfId="8731" xr:uid="{694D8A16-8CC6-4F81-8B4F-9E6A2194350F}"/>
    <cellStyle name="Vírgula 7 2 7 3 3" xfId="5042" xr:uid="{CE9BF320-E346-4D1B-AB31-EB1695051815}"/>
    <cellStyle name="Vírgula 7 2 7 3 4" xfId="8730" xr:uid="{7812D813-A1A0-4BB1-8BD1-A24369075DDF}"/>
    <cellStyle name="Vírgula 7 2 7 4" xfId="5043" xr:uid="{2FFC7D3C-BA9E-4E47-B647-3ABEEDA627FB}"/>
    <cellStyle name="Vírgula 7 2 7 4 2" xfId="5044" xr:uid="{D47E79D3-630D-4323-9987-EF5E39B9D36C}"/>
    <cellStyle name="Vírgula 7 2 7 4 2 2" xfId="5045" xr:uid="{544CFE52-63C8-4E77-8685-FD84A0524ABB}"/>
    <cellStyle name="Vírgula 7 2 7 4 2 3" xfId="8733" xr:uid="{DBB29919-715D-40E1-A261-064E573C6BCA}"/>
    <cellStyle name="Vírgula 7 2 7 4 3" xfId="5046" xr:uid="{9F7D141E-F525-4132-B811-52D86F2ACF65}"/>
    <cellStyle name="Vírgula 7 2 7 4 4" xfId="8732" xr:uid="{00A2FCAB-638F-4A71-AE93-E0935BEE966D}"/>
    <cellStyle name="Vírgula 7 2 7 5" xfId="5047" xr:uid="{46E0CFD3-FC19-46F0-98CE-DBA3421F514F}"/>
    <cellStyle name="Vírgula 7 2 7 5 2" xfId="5048" xr:uid="{80F7F87C-0E8E-46D4-BCD3-AEBF29556610}"/>
    <cellStyle name="Vírgula 7 2 7 5 3" xfId="8734" xr:uid="{483B4DEA-F776-4FEF-93BC-60AC1BBA3E17}"/>
    <cellStyle name="Vírgula 7 2 7 6" xfId="5049" xr:uid="{4A70C81D-E139-49AF-AF85-C344743D3299}"/>
    <cellStyle name="Vírgula 7 2 7 7" xfId="8723" xr:uid="{656FF7B5-5286-4C02-88B6-982B39D3BD93}"/>
    <cellStyle name="Vírgula 7 2 8" xfId="5050" xr:uid="{C9990BA8-2950-4D36-A3B0-B6261AA19F9B}"/>
    <cellStyle name="Vírgula 7 2 8 2" xfId="5051" xr:uid="{C472F67C-AD03-4D15-B6FF-4ADD1893FD8D}"/>
    <cellStyle name="Vírgula 7 2 8 2 2" xfId="5052" xr:uid="{DE1C7D05-65D9-498F-80A4-609B1C8D2D1B}"/>
    <cellStyle name="Vírgula 7 2 8 2 2 2" xfId="5053" xr:uid="{AA3E5B7D-EAB8-4134-B756-8668D1FD6D15}"/>
    <cellStyle name="Vírgula 7 2 8 2 2 3" xfId="8737" xr:uid="{692B3B65-A877-4C53-B1C7-46EDCAC95310}"/>
    <cellStyle name="Vírgula 7 2 8 2 3" xfId="5054" xr:uid="{6AB71C35-90B0-43BC-A647-60F5902C64D0}"/>
    <cellStyle name="Vírgula 7 2 8 2 4" xfId="8736" xr:uid="{888B1EFE-2B7C-46CD-AFF7-9DC42BF7147E}"/>
    <cellStyle name="Vírgula 7 2 8 3" xfId="5055" xr:uid="{C82BFC7E-2F0B-447C-BE7B-1579001CE581}"/>
    <cellStyle name="Vírgula 7 2 8 3 2" xfId="5056" xr:uid="{C16F932F-CDD0-4591-A0DC-8EAEC7060376}"/>
    <cellStyle name="Vírgula 7 2 8 3 2 2" xfId="5057" xr:uid="{E3B63E47-4B1B-4425-8E04-B2070DBA81C9}"/>
    <cellStyle name="Vírgula 7 2 8 3 2 3" xfId="8739" xr:uid="{F546F7C9-AA19-4888-BC89-36A2472578D4}"/>
    <cellStyle name="Vírgula 7 2 8 3 3" xfId="5058" xr:uid="{001FF217-5A2C-4715-A226-EFF18FED594C}"/>
    <cellStyle name="Vírgula 7 2 8 3 4" xfId="8738" xr:uid="{A4401220-C7ED-48E1-A097-78AC172258F7}"/>
    <cellStyle name="Vírgula 7 2 8 4" xfId="5059" xr:uid="{9444E312-1281-4035-ACF4-67427665F6E9}"/>
    <cellStyle name="Vírgula 7 2 8 4 2" xfId="5060" xr:uid="{4F31C5B3-D50D-47FD-9DB3-8F9AF97AA3C7}"/>
    <cellStyle name="Vírgula 7 2 8 4 3" xfId="8740" xr:uid="{E699BDEB-3D76-4BFD-B489-E6E08D02D3B2}"/>
    <cellStyle name="Vírgula 7 2 8 5" xfId="5061" xr:uid="{23A6A269-8A01-4EDB-9F04-3129ED7A7B5D}"/>
    <cellStyle name="Vírgula 7 2 8 6" xfId="8735" xr:uid="{32ECF28A-BDDA-4A12-8545-8043492C40DA}"/>
    <cellStyle name="Vírgula 7 2 9" xfId="5062" xr:uid="{BE7BD839-5057-4C99-A1A8-BE016A70965C}"/>
    <cellStyle name="Vírgula 7 2 9 2" xfId="5063" xr:uid="{863BFFDC-3B97-46D3-A5D7-0CDA9C254A3B}"/>
    <cellStyle name="Vírgula 7 2 9 2 2" xfId="5064" xr:uid="{90F40FF8-9A42-467F-877F-87C053A70C76}"/>
    <cellStyle name="Vírgula 7 2 9 2 3" xfId="8742" xr:uid="{5DC6C66B-CA88-47F9-A7D4-6263EF21C811}"/>
    <cellStyle name="Vírgula 7 2 9 3" xfId="5065" xr:uid="{55D0A58C-765E-463B-8D08-1CCD6324D6ED}"/>
    <cellStyle name="Vírgula 7 2 9 4" xfId="8741" xr:uid="{5D22DD96-24CA-4C59-AE73-B06C26A495B4}"/>
    <cellStyle name="Vírgula 7 3" xfId="8454" xr:uid="{2D8D2242-647C-473B-9448-99C37B02E83B}"/>
    <cellStyle name="Vírgula 8" xfId="5066" xr:uid="{F5119847-755D-432B-9002-90BB4569C017}"/>
    <cellStyle name="Vírgula 8 2" xfId="5067" xr:uid="{425DDE37-0657-4D27-ACB5-AC07DF6E455B}"/>
    <cellStyle name="Vírgula 8 2 10" xfId="5068" xr:uid="{61BF1D21-BAEF-4AFD-93FD-1EBA3D218FB2}"/>
    <cellStyle name="Vírgula 8 2 10 2" xfId="5069" xr:uid="{05436A66-E51F-4FFE-B73C-8E0619A6B5FB}"/>
    <cellStyle name="Vírgula 8 2 10 2 2" xfId="5070" xr:uid="{5CD88A4F-1932-427C-86C0-48F72C20689B}"/>
    <cellStyle name="Vírgula 8 2 10 2 3" xfId="8746" xr:uid="{FD66D5BA-C83F-4B73-B871-A8D1C43F9113}"/>
    <cellStyle name="Vírgula 8 2 10 3" xfId="5071" xr:uid="{1AF7A0D7-F2FF-4AF0-AC63-D242184F1686}"/>
    <cellStyle name="Vírgula 8 2 10 4" xfId="8745" xr:uid="{09F53121-3259-4D71-A5C9-2A4C5C0EB346}"/>
    <cellStyle name="Vírgula 8 2 11" xfId="5072" xr:uid="{EABC9005-D25F-417A-8D7A-036B5871ECCB}"/>
    <cellStyle name="Vírgula 8 2 11 2" xfId="5073" xr:uid="{47D87033-96F7-4921-B447-04DA484BCAC3}"/>
    <cellStyle name="Vírgula 8 2 11 3" xfId="8747" xr:uid="{433F0869-294D-40BE-9081-50E248033BE4}"/>
    <cellStyle name="Vírgula 8 2 12" xfId="5074" xr:uid="{CAFEF387-2DE9-4B00-825D-9BC1C895DA39}"/>
    <cellStyle name="Vírgula 8 2 13" xfId="8744" xr:uid="{88A187FB-B36C-4D09-B905-4B9BE2CD96DB}"/>
    <cellStyle name="Vírgula 8 2 2" xfId="5075" xr:uid="{5E502C1A-9D85-4D63-ACD9-95E2F925A197}"/>
    <cellStyle name="Vírgula 8 2 2 10" xfId="5076" xr:uid="{3CDAD6D6-16F3-442A-9DA8-BD6FEEE8B27F}"/>
    <cellStyle name="Vírgula 8 2 2 10 2" xfId="5077" xr:uid="{1061B441-D13D-4CA6-AFF8-1A9E037D99B6}"/>
    <cellStyle name="Vírgula 8 2 2 10 3" xfId="8749" xr:uid="{F5EE1CB7-7E54-467E-8D0F-FE66CAF0C2EB}"/>
    <cellStyle name="Vírgula 8 2 2 11" xfId="5078" xr:uid="{AC0D6307-E8CF-417E-868F-B79CCBF8DFC4}"/>
    <cellStyle name="Vírgula 8 2 2 12" xfId="8748" xr:uid="{DD31352B-34CD-4980-A530-727D6462882F}"/>
    <cellStyle name="Vírgula 8 2 2 2" xfId="5079" xr:uid="{5F335998-34D6-4321-AB4D-5507C9A87756}"/>
    <cellStyle name="Vírgula 8 2 2 2 2" xfId="5080" xr:uid="{8CAF2615-A3CE-44C6-BAD7-9A4D6DD3F516}"/>
    <cellStyle name="Vírgula 8 2 2 2 2 2" xfId="5081" xr:uid="{9C944957-FF6A-4FCA-8539-6AA4689C1D7D}"/>
    <cellStyle name="Vírgula 8 2 2 2 2 2 2" xfId="5082" xr:uid="{568122DD-BB95-4DAA-B26A-43A2F0C42A80}"/>
    <cellStyle name="Vírgula 8 2 2 2 2 2 2 2" xfId="5083" xr:uid="{9AE28725-99DA-4E9C-B4C1-E2487FA7B00C}"/>
    <cellStyle name="Vírgula 8 2 2 2 2 2 2 2 2" xfId="5084" xr:uid="{A97113BE-764D-4923-BDE8-A269EB71B09B}"/>
    <cellStyle name="Vírgula 8 2 2 2 2 2 2 2 3" xfId="8754" xr:uid="{CA65E47F-5CCE-4402-8C96-61EBECD6805A}"/>
    <cellStyle name="Vírgula 8 2 2 2 2 2 2 3" xfId="5085" xr:uid="{3273FE56-4B5E-4DE6-9FA2-C313E7559905}"/>
    <cellStyle name="Vírgula 8 2 2 2 2 2 2 4" xfId="8753" xr:uid="{8D36ECDD-7962-4C25-BA9D-F78EC3F3CCEE}"/>
    <cellStyle name="Vírgula 8 2 2 2 2 2 3" xfId="5086" xr:uid="{D4500A3A-CE1A-46BB-B636-C7B208E488E6}"/>
    <cellStyle name="Vírgula 8 2 2 2 2 2 3 2" xfId="5087" xr:uid="{9A9DD3E6-E1A9-486F-99B5-9FC2197F9B4C}"/>
    <cellStyle name="Vírgula 8 2 2 2 2 2 3 2 2" xfId="5088" xr:uid="{A89A67B0-7FCD-4A78-BD8F-C06725410A2F}"/>
    <cellStyle name="Vírgula 8 2 2 2 2 2 3 2 3" xfId="8756" xr:uid="{DE5D0AC6-D92E-4EDC-A997-657CD7358E2E}"/>
    <cellStyle name="Vírgula 8 2 2 2 2 2 3 3" xfId="5089" xr:uid="{A00053B3-9315-4AFF-8277-BA80243FB2CF}"/>
    <cellStyle name="Vírgula 8 2 2 2 2 2 3 4" xfId="8755" xr:uid="{2EBFC59B-C0F5-4171-9E0F-3214CC125241}"/>
    <cellStyle name="Vírgula 8 2 2 2 2 2 4" xfId="5090" xr:uid="{A7B08992-C8BF-483B-9342-C83991185620}"/>
    <cellStyle name="Vírgula 8 2 2 2 2 2 4 2" xfId="5091" xr:uid="{72381ABF-26C8-48FB-9E9E-76B21902968E}"/>
    <cellStyle name="Vírgula 8 2 2 2 2 2 4 3" xfId="8757" xr:uid="{00DCE211-DBCF-4BB6-8E65-38CF68C92BD0}"/>
    <cellStyle name="Vírgula 8 2 2 2 2 2 5" xfId="5092" xr:uid="{3513BEAE-C913-4B99-A44E-8442B3C7D147}"/>
    <cellStyle name="Vírgula 8 2 2 2 2 2 6" xfId="8752" xr:uid="{801FBF6E-4619-4541-94FA-DF1606D76754}"/>
    <cellStyle name="Vírgula 8 2 2 2 2 3" xfId="5093" xr:uid="{128C26B3-F3D4-4D6E-927F-C42C819EABB0}"/>
    <cellStyle name="Vírgula 8 2 2 2 2 3 2" xfId="5094" xr:uid="{0EC7F0B1-B77B-4A2E-A355-5F9709B68432}"/>
    <cellStyle name="Vírgula 8 2 2 2 2 3 2 2" xfId="5095" xr:uid="{2A2EF350-1CBB-48D9-895C-7365E4406937}"/>
    <cellStyle name="Vírgula 8 2 2 2 2 3 2 3" xfId="8759" xr:uid="{3BB7CBF7-A2AC-4BA2-9ACB-FD34DDFB3AE1}"/>
    <cellStyle name="Vírgula 8 2 2 2 2 3 3" xfId="5096" xr:uid="{A36792C3-B06A-41C1-90B9-94558B25AD0A}"/>
    <cellStyle name="Vírgula 8 2 2 2 2 3 4" xfId="8758" xr:uid="{2BD5C04A-FF52-44C8-AB18-722F4316DE68}"/>
    <cellStyle name="Vírgula 8 2 2 2 2 4" xfId="5097" xr:uid="{3C1D7D1F-030F-428B-9CFE-AAF9BB7D48CC}"/>
    <cellStyle name="Vírgula 8 2 2 2 2 4 2" xfId="5098" xr:uid="{D6D8ED0B-4E9B-4835-B097-DFEBE3828D13}"/>
    <cellStyle name="Vírgula 8 2 2 2 2 4 2 2" xfId="5099" xr:uid="{76F1BCCB-47DC-4723-95EC-64488CADDD45}"/>
    <cellStyle name="Vírgula 8 2 2 2 2 4 2 3" xfId="8761" xr:uid="{ABF592F1-D115-427D-BAC8-241FCD7BC59A}"/>
    <cellStyle name="Vírgula 8 2 2 2 2 4 3" xfId="5100" xr:uid="{8A873255-8AC7-4CB0-8BC0-A610B797BFA2}"/>
    <cellStyle name="Vírgula 8 2 2 2 2 4 4" xfId="8760" xr:uid="{5C8F65DA-A20D-420C-948F-2CDC65C50699}"/>
    <cellStyle name="Vírgula 8 2 2 2 2 5" xfId="5101" xr:uid="{4D213481-8F9A-4F0F-9261-219F1C473A99}"/>
    <cellStyle name="Vírgula 8 2 2 2 2 5 2" xfId="5102" xr:uid="{66179E68-7014-46AD-866D-C10F543A3DED}"/>
    <cellStyle name="Vírgula 8 2 2 2 2 5 3" xfId="8762" xr:uid="{467C2559-4D70-4016-BECD-D53ABE5C07B3}"/>
    <cellStyle name="Vírgula 8 2 2 2 2 6" xfId="5103" xr:uid="{7C1A1D8A-3159-4E83-83C2-B0071ECF94FA}"/>
    <cellStyle name="Vírgula 8 2 2 2 2 7" xfId="8751" xr:uid="{B064ACA8-0BB4-4AC9-B8B3-1F5DF0A35308}"/>
    <cellStyle name="Vírgula 8 2 2 2 3" xfId="5104" xr:uid="{B9F39D3B-CAD3-4CAC-BCF7-80A9D880DB0E}"/>
    <cellStyle name="Vírgula 8 2 2 2 3 2" xfId="5105" xr:uid="{87E133B7-E03A-41B4-ABAF-52A21BF5B487}"/>
    <cellStyle name="Vírgula 8 2 2 2 3 2 2" xfId="5106" xr:uid="{63AB6214-BB0D-44BA-8B10-321BF5490A77}"/>
    <cellStyle name="Vírgula 8 2 2 2 3 2 2 2" xfId="5107" xr:uid="{AFE41335-7E55-478C-BA01-D9C85AD97F13}"/>
    <cellStyle name="Vírgula 8 2 2 2 3 2 2 2 2" xfId="5108" xr:uid="{489210DF-241A-4CEA-9DD9-82A583E3C9D2}"/>
    <cellStyle name="Vírgula 8 2 2 2 3 2 2 2 3" xfId="8766" xr:uid="{338FD973-E218-4C0D-AA56-6C5187C96F69}"/>
    <cellStyle name="Vírgula 8 2 2 2 3 2 2 3" xfId="5109" xr:uid="{E63070BD-6D3C-4979-8B87-5B437D9CD811}"/>
    <cellStyle name="Vírgula 8 2 2 2 3 2 2 4" xfId="8765" xr:uid="{D5079495-25DC-462C-8AFE-F0AE9753A6E9}"/>
    <cellStyle name="Vírgula 8 2 2 2 3 2 3" xfId="5110" xr:uid="{CA30EECA-A2DF-4AF3-B555-8B8227E52384}"/>
    <cellStyle name="Vírgula 8 2 2 2 3 2 3 2" xfId="5111" xr:uid="{02C5FDD0-E94D-483E-91A1-D067576A96FB}"/>
    <cellStyle name="Vírgula 8 2 2 2 3 2 3 2 2" xfId="5112" xr:uid="{116839A4-9239-4A5F-A8FB-F098A2B788D8}"/>
    <cellStyle name="Vírgula 8 2 2 2 3 2 3 2 3" xfId="8768" xr:uid="{57C63CAE-58A8-4594-8B8A-592DC74AD52D}"/>
    <cellStyle name="Vírgula 8 2 2 2 3 2 3 3" xfId="5113" xr:uid="{ECCD912D-DF87-4391-9085-F49EC779D257}"/>
    <cellStyle name="Vírgula 8 2 2 2 3 2 3 4" xfId="8767" xr:uid="{AAEC44CB-BF48-4593-8675-25E96B21785D}"/>
    <cellStyle name="Vírgula 8 2 2 2 3 2 4" xfId="5114" xr:uid="{0EEAAAEC-E810-4D80-9EC4-03799F7BBB17}"/>
    <cellStyle name="Vírgula 8 2 2 2 3 2 4 2" xfId="5115" xr:uid="{CB088FCB-524B-479C-BB04-73E911E98C27}"/>
    <cellStyle name="Vírgula 8 2 2 2 3 2 4 3" xfId="8769" xr:uid="{626911BD-21F2-4A90-9965-59FF0E0595D4}"/>
    <cellStyle name="Vírgula 8 2 2 2 3 2 5" xfId="5116" xr:uid="{0E24573D-C87C-4EDD-931A-AD5FCAB6096A}"/>
    <cellStyle name="Vírgula 8 2 2 2 3 2 6" xfId="8764" xr:uid="{1804B506-F3A7-48D8-B6AA-88A8EA8199E8}"/>
    <cellStyle name="Vírgula 8 2 2 2 3 3" xfId="5117" xr:uid="{9C6982EE-323E-4308-97B8-E019F87D67A8}"/>
    <cellStyle name="Vírgula 8 2 2 2 3 3 2" xfId="5118" xr:uid="{439FFF70-BCE9-4881-A176-4B52A3CA1468}"/>
    <cellStyle name="Vírgula 8 2 2 2 3 3 2 2" xfId="5119" xr:uid="{E58DC8CC-DBB1-44B0-A520-FB2284EBC121}"/>
    <cellStyle name="Vírgula 8 2 2 2 3 3 2 3" xfId="8771" xr:uid="{080C623C-65A8-4045-8643-7926C27620B7}"/>
    <cellStyle name="Vírgula 8 2 2 2 3 3 3" xfId="5120" xr:uid="{5E06E18A-BA73-4A21-BC9B-815BF5983E98}"/>
    <cellStyle name="Vírgula 8 2 2 2 3 3 4" xfId="8770" xr:uid="{D0A782CB-4A24-43DA-BF46-BCFE1D95CC48}"/>
    <cellStyle name="Vírgula 8 2 2 2 3 4" xfId="5121" xr:uid="{5490CEA3-4EC6-4524-BDEC-8864F7802E5D}"/>
    <cellStyle name="Vírgula 8 2 2 2 3 4 2" xfId="5122" xr:uid="{CC5496BE-5E21-495A-9FA4-9826A759978E}"/>
    <cellStyle name="Vírgula 8 2 2 2 3 4 2 2" xfId="5123" xr:uid="{AC02FC43-A8C5-4D4E-8B28-3CEB519DF0B0}"/>
    <cellStyle name="Vírgula 8 2 2 2 3 4 2 3" xfId="8773" xr:uid="{B70B9D80-F709-4704-82A7-A8055461E823}"/>
    <cellStyle name="Vírgula 8 2 2 2 3 4 3" xfId="5124" xr:uid="{13CEA457-1D70-4ADB-A965-222C206FEED0}"/>
    <cellStyle name="Vírgula 8 2 2 2 3 4 4" xfId="8772" xr:uid="{50FCBA09-66C5-46AA-90C3-5CA23784E475}"/>
    <cellStyle name="Vírgula 8 2 2 2 3 5" xfId="5125" xr:uid="{DE98B532-8DCB-452F-99EF-066D89411AC9}"/>
    <cellStyle name="Vírgula 8 2 2 2 3 5 2" xfId="5126" xr:uid="{3F6796EF-455C-4659-9702-37020EDF743D}"/>
    <cellStyle name="Vírgula 8 2 2 2 3 5 3" xfId="8774" xr:uid="{0637358B-C4FD-43BE-8DC5-91C61B3D992E}"/>
    <cellStyle name="Vírgula 8 2 2 2 3 6" xfId="5127" xr:uid="{42FC756B-C477-4538-A79D-540113768BFE}"/>
    <cellStyle name="Vírgula 8 2 2 2 3 7" xfId="8763" xr:uid="{36389770-5E9E-4C49-8E70-CB9637A58216}"/>
    <cellStyle name="Vírgula 8 2 2 2 4" xfId="5128" xr:uid="{88C9765B-1C11-48D0-8E97-EFBBF77380BB}"/>
    <cellStyle name="Vírgula 8 2 2 2 4 2" xfId="5129" xr:uid="{81921CF4-B03E-4697-A4FA-54F6C7B1D2A6}"/>
    <cellStyle name="Vírgula 8 2 2 2 4 2 2" xfId="5130" xr:uid="{BB4AECD7-223B-4FE0-8AE0-4FE4540F3D31}"/>
    <cellStyle name="Vírgula 8 2 2 2 4 2 2 2" xfId="5131" xr:uid="{C1CE1568-F063-45EC-9D6C-2CACBD87579A}"/>
    <cellStyle name="Vírgula 8 2 2 2 4 2 2 3" xfId="8777" xr:uid="{ACF357E6-3622-4B8E-86FB-0CFEAA15E537}"/>
    <cellStyle name="Vírgula 8 2 2 2 4 2 3" xfId="5132" xr:uid="{3AD670EA-00EB-49F0-A071-C88A2BF17255}"/>
    <cellStyle name="Vírgula 8 2 2 2 4 2 4" xfId="8776" xr:uid="{AF0141F0-AB84-444A-A408-47EE278B9987}"/>
    <cellStyle name="Vírgula 8 2 2 2 4 3" xfId="5133" xr:uid="{47C7F930-6220-4B2C-9FB5-17AD85571D6C}"/>
    <cellStyle name="Vírgula 8 2 2 2 4 3 2" xfId="5134" xr:uid="{57A731CE-8159-4090-94F5-5A4EACC50D09}"/>
    <cellStyle name="Vírgula 8 2 2 2 4 3 2 2" xfId="5135" xr:uid="{4A127558-A823-413C-AD89-DDC4B94607BA}"/>
    <cellStyle name="Vírgula 8 2 2 2 4 3 2 3" xfId="8779" xr:uid="{AB20C71D-DE74-4C6C-ACE4-4C69FBDD08DD}"/>
    <cellStyle name="Vírgula 8 2 2 2 4 3 3" xfId="5136" xr:uid="{A7236758-BD73-4802-83AF-ECEE170F0B69}"/>
    <cellStyle name="Vírgula 8 2 2 2 4 3 4" xfId="8778" xr:uid="{8AC36FF4-87FD-4B67-83F7-F4A76CA3F54A}"/>
    <cellStyle name="Vírgula 8 2 2 2 4 4" xfId="5137" xr:uid="{3C307F46-0E3D-4B96-92F2-B45340590F0B}"/>
    <cellStyle name="Vírgula 8 2 2 2 4 4 2" xfId="5138" xr:uid="{2AC0B45B-2279-417A-96EB-826644191160}"/>
    <cellStyle name="Vírgula 8 2 2 2 4 4 3" xfId="8780" xr:uid="{4C493963-D7CB-4A1E-B3EC-F0D94CE88064}"/>
    <cellStyle name="Vírgula 8 2 2 2 4 5" xfId="5139" xr:uid="{C84AE70A-AD3A-4E48-8EE0-A7FCF274D5D5}"/>
    <cellStyle name="Vírgula 8 2 2 2 4 6" xfId="8775" xr:uid="{F1A568C0-E39B-4329-858F-D7F452D220D5}"/>
    <cellStyle name="Vírgula 8 2 2 2 5" xfId="5140" xr:uid="{10F37127-AFAC-436F-A907-702F4350C091}"/>
    <cellStyle name="Vírgula 8 2 2 2 5 2" xfId="5141" xr:uid="{A43EB6D0-87D3-46D1-8695-7079A8842FEC}"/>
    <cellStyle name="Vírgula 8 2 2 2 5 2 2" xfId="5142" xr:uid="{2130F5B6-9A7A-4A38-AF48-BA1F507A89DD}"/>
    <cellStyle name="Vírgula 8 2 2 2 5 2 3" xfId="8782" xr:uid="{AD2C3704-8CBF-4031-BAD6-FBFEB335DC49}"/>
    <cellStyle name="Vírgula 8 2 2 2 5 3" xfId="5143" xr:uid="{58EF0AD4-F93E-41EC-B041-87A8F42F03AF}"/>
    <cellStyle name="Vírgula 8 2 2 2 5 4" xfId="8781" xr:uid="{3A12755E-49B3-4C6F-8D02-0E5EA9A555EE}"/>
    <cellStyle name="Vírgula 8 2 2 2 6" xfId="5144" xr:uid="{91FC4B50-1CBC-477A-A529-D1E843B40E0C}"/>
    <cellStyle name="Vírgula 8 2 2 2 6 2" xfId="5145" xr:uid="{805AAF91-98E6-4B3D-B6C3-6D75354F1F55}"/>
    <cellStyle name="Vírgula 8 2 2 2 6 2 2" xfId="5146" xr:uid="{DF4E26A8-B041-4F30-A803-DF58FFABEE1B}"/>
    <cellStyle name="Vírgula 8 2 2 2 6 2 3" xfId="8784" xr:uid="{9DCF1956-B2E4-4CCC-B91E-7A1B2E8FC0F2}"/>
    <cellStyle name="Vírgula 8 2 2 2 6 3" xfId="5147" xr:uid="{2C0C1CD5-A9BF-4E6B-9171-B657972D599C}"/>
    <cellStyle name="Vírgula 8 2 2 2 6 4" xfId="8783" xr:uid="{4431D49E-65D5-4E19-A4DF-79D5392002CC}"/>
    <cellStyle name="Vírgula 8 2 2 2 7" xfId="5148" xr:uid="{EBDC644F-9B29-4C1D-B216-0AD5E0110D52}"/>
    <cellStyle name="Vírgula 8 2 2 2 7 2" xfId="5149" xr:uid="{637B8B46-19EA-468B-99EB-38C2DCF227D6}"/>
    <cellStyle name="Vírgula 8 2 2 2 7 3" xfId="8785" xr:uid="{ED6B24EF-F895-4AE8-B315-16DCDFDD1C94}"/>
    <cellStyle name="Vírgula 8 2 2 2 8" xfId="5150" xr:uid="{AA25CBD1-9253-433D-9DD2-426C0E699F0E}"/>
    <cellStyle name="Vírgula 8 2 2 2 9" xfId="8750" xr:uid="{F0EDB659-5AFB-466B-9D6D-5B8B91997578}"/>
    <cellStyle name="Vírgula 8 2 2 3" xfId="5151" xr:uid="{D453BF27-A73B-4B9C-96A4-3E5D7704533F}"/>
    <cellStyle name="Vírgula 8 2 2 3 2" xfId="5152" xr:uid="{FE6F703E-7889-4979-9A32-D29F5D0EC4E5}"/>
    <cellStyle name="Vírgula 8 2 2 3 2 2" xfId="5153" xr:uid="{D8462D39-448B-4BEE-A171-AB3E988D1E26}"/>
    <cellStyle name="Vírgula 8 2 2 3 2 2 2" xfId="5154" xr:uid="{B8690EAB-4913-4A30-BB7D-18CB5E81E1F4}"/>
    <cellStyle name="Vírgula 8 2 2 3 2 2 2 2" xfId="5155" xr:uid="{B29A4C89-A1D8-4C3C-B99E-5CCB7815BFEB}"/>
    <cellStyle name="Vírgula 8 2 2 3 2 2 2 2 2" xfId="5156" xr:uid="{03899DBD-BA84-4F26-ABA3-F97D8AB72965}"/>
    <cellStyle name="Vírgula 8 2 2 3 2 2 2 2 3" xfId="8790" xr:uid="{22698431-4F81-48E8-8133-F4679B2BCE77}"/>
    <cellStyle name="Vírgula 8 2 2 3 2 2 2 3" xfId="5157" xr:uid="{D3883D6C-56ED-4B12-8ECC-9FB0930A877D}"/>
    <cellStyle name="Vírgula 8 2 2 3 2 2 2 4" xfId="8789" xr:uid="{057A0230-1828-4CC1-BB49-CDDE80A55CBA}"/>
    <cellStyle name="Vírgula 8 2 2 3 2 2 3" xfId="5158" xr:uid="{919D7C11-652C-4AA4-A154-6D87B9B1A125}"/>
    <cellStyle name="Vírgula 8 2 2 3 2 2 3 2" xfId="5159" xr:uid="{5672E06D-EBC4-4E97-AA8E-91668E45B8FF}"/>
    <cellStyle name="Vírgula 8 2 2 3 2 2 3 2 2" xfId="5160" xr:uid="{1C840E24-02BD-4485-A3C8-2A971D600626}"/>
    <cellStyle name="Vírgula 8 2 2 3 2 2 3 2 3" xfId="8792" xr:uid="{E54E7169-B88E-4B61-AE1F-2D697C1CADB3}"/>
    <cellStyle name="Vírgula 8 2 2 3 2 2 3 3" xfId="5161" xr:uid="{9197766E-CAAB-4070-A711-C3679FA1899C}"/>
    <cellStyle name="Vírgula 8 2 2 3 2 2 3 4" xfId="8791" xr:uid="{5D00AA9C-8688-4F86-8FB4-702F86AF2800}"/>
    <cellStyle name="Vírgula 8 2 2 3 2 2 4" xfId="5162" xr:uid="{C0ED49CB-A897-4580-9E2E-C1F92C2D6FA1}"/>
    <cellStyle name="Vírgula 8 2 2 3 2 2 4 2" xfId="5163" xr:uid="{A46C0DC2-8654-4013-A229-E6D19071D747}"/>
    <cellStyle name="Vírgula 8 2 2 3 2 2 4 3" xfId="8793" xr:uid="{E995AA2E-9EC3-434E-9F5F-1A9AEED883F3}"/>
    <cellStyle name="Vírgula 8 2 2 3 2 2 5" xfId="5164" xr:uid="{91FDDFA7-C161-4AC8-891F-5646DCC8D817}"/>
    <cellStyle name="Vírgula 8 2 2 3 2 2 6" xfId="8788" xr:uid="{CE1FF7B5-960E-4976-A72C-0E3642F390A9}"/>
    <cellStyle name="Vírgula 8 2 2 3 2 3" xfId="5165" xr:uid="{97F655DE-072B-4F71-8E8A-C4506766197B}"/>
    <cellStyle name="Vírgula 8 2 2 3 2 3 2" xfId="5166" xr:uid="{924D01B5-C86C-426E-8A45-5D16E79E7BFA}"/>
    <cellStyle name="Vírgula 8 2 2 3 2 3 2 2" xfId="5167" xr:uid="{F68F5FC5-360D-4D34-B48B-243C183B4DFC}"/>
    <cellStyle name="Vírgula 8 2 2 3 2 3 2 3" xfId="8795" xr:uid="{E46D1A3B-8469-407C-82DA-D8FDD40F042C}"/>
    <cellStyle name="Vírgula 8 2 2 3 2 3 3" xfId="5168" xr:uid="{69395B37-DA83-4894-90BE-AB179014C096}"/>
    <cellStyle name="Vírgula 8 2 2 3 2 3 4" xfId="8794" xr:uid="{153FC218-2653-4C32-8305-F7B2647C9DFF}"/>
    <cellStyle name="Vírgula 8 2 2 3 2 4" xfId="5169" xr:uid="{53853609-8135-48EF-BAA8-BF42CAAB8150}"/>
    <cellStyle name="Vírgula 8 2 2 3 2 4 2" xfId="5170" xr:uid="{2DB0B64E-E894-46A2-97EC-7141F841EA71}"/>
    <cellStyle name="Vírgula 8 2 2 3 2 4 2 2" xfId="5171" xr:uid="{6C167583-B325-481D-B7DF-8BB5D32C8D96}"/>
    <cellStyle name="Vírgula 8 2 2 3 2 4 2 3" xfId="8797" xr:uid="{58A90AD9-B45A-40E7-B996-15AA09877627}"/>
    <cellStyle name="Vírgula 8 2 2 3 2 4 3" xfId="5172" xr:uid="{596088B7-EBE8-41CA-B585-5703389B498B}"/>
    <cellStyle name="Vírgula 8 2 2 3 2 4 4" xfId="8796" xr:uid="{834B5931-C93A-4847-90DF-6F53385BA136}"/>
    <cellStyle name="Vírgula 8 2 2 3 2 5" xfId="5173" xr:uid="{3C8F8DFF-8A97-4766-9024-B4672DE59943}"/>
    <cellStyle name="Vírgula 8 2 2 3 2 5 2" xfId="5174" xr:uid="{4AC9F2EE-5BDC-4FB2-88B7-4893598F11BC}"/>
    <cellStyle name="Vírgula 8 2 2 3 2 5 3" xfId="8798" xr:uid="{CAF253C3-4A5C-4990-984E-CF8792D395F5}"/>
    <cellStyle name="Vírgula 8 2 2 3 2 6" xfId="5175" xr:uid="{8E36838A-CAEC-4A0F-820A-E06E9470C018}"/>
    <cellStyle name="Vírgula 8 2 2 3 2 7" xfId="8787" xr:uid="{22B2A678-03CE-4DC6-8EBC-24119646F34E}"/>
    <cellStyle name="Vírgula 8 2 2 3 3" xfId="5176" xr:uid="{A650A57E-042F-478F-8A43-C146B991E2CA}"/>
    <cellStyle name="Vírgula 8 2 2 3 3 2" xfId="5177" xr:uid="{D113E02B-FFEE-4287-AA31-FDCDC8CB6ADA}"/>
    <cellStyle name="Vírgula 8 2 2 3 3 2 2" xfId="5178" xr:uid="{B673667A-8A30-4D6F-9511-B0ED1B582A82}"/>
    <cellStyle name="Vírgula 8 2 2 3 3 2 2 2" xfId="5179" xr:uid="{E40E9909-5A3F-4969-A051-62A192439176}"/>
    <cellStyle name="Vírgula 8 2 2 3 3 2 2 2 2" xfId="5180" xr:uid="{BA3BA263-9DC9-4956-B71F-98D4E26C57D9}"/>
    <cellStyle name="Vírgula 8 2 2 3 3 2 2 2 3" xfId="8802" xr:uid="{80A7415A-88D6-490D-9706-D4E0DEDCAAE0}"/>
    <cellStyle name="Vírgula 8 2 2 3 3 2 2 3" xfId="5181" xr:uid="{CCDBC109-DEDF-4931-A334-72803F97C906}"/>
    <cellStyle name="Vírgula 8 2 2 3 3 2 2 4" xfId="8801" xr:uid="{20CC1BC9-CE3D-4D1A-B2D3-D965D7396B99}"/>
    <cellStyle name="Vírgula 8 2 2 3 3 2 3" xfId="5182" xr:uid="{67244BB5-5EB0-4B94-A1C2-B3347F515B56}"/>
    <cellStyle name="Vírgula 8 2 2 3 3 2 3 2" xfId="5183" xr:uid="{8D62E33B-BD37-422D-A5FC-471C2E80A6BE}"/>
    <cellStyle name="Vírgula 8 2 2 3 3 2 3 2 2" xfId="5184" xr:uid="{1EFB345C-5E56-49B8-800E-C18CB424AAFC}"/>
    <cellStyle name="Vírgula 8 2 2 3 3 2 3 2 3" xfId="8804" xr:uid="{64554AC9-46B1-4544-977D-4322835E3654}"/>
    <cellStyle name="Vírgula 8 2 2 3 3 2 3 3" xfId="5185" xr:uid="{27C58D78-69E7-4732-B973-7AD7576046A5}"/>
    <cellStyle name="Vírgula 8 2 2 3 3 2 3 4" xfId="8803" xr:uid="{F8CD6BDF-31DB-4AE2-A7C3-0865A1705023}"/>
    <cellStyle name="Vírgula 8 2 2 3 3 2 4" xfId="5186" xr:uid="{F0F15D75-E31D-452A-A2E1-1E0EF45483F9}"/>
    <cellStyle name="Vírgula 8 2 2 3 3 2 4 2" xfId="5187" xr:uid="{6CDEFD84-FC49-496A-8582-8D94A4FAC1A9}"/>
    <cellStyle name="Vírgula 8 2 2 3 3 2 4 3" xfId="8805" xr:uid="{A4F583D5-4B1C-491C-93A8-FE9D30EAC13C}"/>
    <cellStyle name="Vírgula 8 2 2 3 3 2 5" xfId="5188" xr:uid="{87279B84-1E9A-4DD2-AC7B-7F860F76B9AA}"/>
    <cellStyle name="Vírgula 8 2 2 3 3 2 6" xfId="8800" xr:uid="{85BFC5D3-28BB-46B0-BE2B-1B790561518D}"/>
    <cellStyle name="Vírgula 8 2 2 3 3 3" xfId="5189" xr:uid="{A8E749E4-FA7A-439A-980E-AB878C566429}"/>
    <cellStyle name="Vírgula 8 2 2 3 3 3 2" xfId="5190" xr:uid="{DA3747BF-CAB3-48B2-9F71-DC3EA8F3FF79}"/>
    <cellStyle name="Vírgula 8 2 2 3 3 3 2 2" xfId="5191" xr:uid="{EB915EB7-0330-465E-B636-8DF400AEC758}"/>
    <cellStyle name="Vírgula 8 2 2 3 3 3 2 3" xfId="8807" xr:uid="{1CD130C6-9034-46D3-B0B2-D814ECBEDE3D}"/>
    <cellStyle name="Vírgula 8 2 2 3 3 3 3" xfId="5192" xr:uid="{A6119E58-09C0-4165-8FA6-F9F0BC8F725E}"/>
    <cellStyle name="Vírgula 8 2 2 3 3 3 4" xfId="8806" xr:uid="{DA9952F9-C0E6-4A2A-AF01-FBD4E6626881}"/>
    <cellStyle name="Vírgula 8 2 2 3 3 4" xfId="5193" xr:uid="{857D5B0C-13C0-458A-A56D-A756D986EF95}"/>
    <cellStyle name="Vírgula 8 2 2 3 3 4 2" xfId="5194" xr:uid="{2BF83BD3-CA31-4829-8E43-BFA511F2237C}"/>
    <cellStyle name="Vírgula 8 2 2 3 3 4 2 2" xfId="5195" xr:uid="{42AA63AF-128C-48B7-AE9D-2F9FEC13EE67}"/>
    <cellStyle name="Vírgula 8 2 2 3 3 4 2 3" xfId="8809" xr:uid="{1C206030-4AC0-43B5-8D6F-AE083C0DAFEC}"/>
    <cellStyle name="Vírgula 8 2 2 3 3 4 3" xfId="5196" xr:uid="{CC687E63-4435-466D-A7EF-F9FBE4034178}"/>
    <cellStyle name="Vírgula 8 2 2 3 3 4 4" xfId="8808" xr:uid="{5B560992-54C1-485D-BF84-F3CA5F5434EC}"/>
    <cellStyle name="Vírgula 8 2 2 3 3 5" xfId="5197" xr:uid="{FCBF0CDB-36F6-4C70-BECF-0D2550B01E5D}"/>
    <cellStyle name="Vírgula 8 2 2 3 3 5 2" xfId="5198" xr:uid="{74A43BF0-FC06-4659-AE9B-D33245623028}"/>
    <cellStyle name="Vírgula 8 2 2 3 3 5 3" xfId="8810" xr:uid="{18547F2B-D187-4ADF-86E2-8654C60EE0FC}"/>
    <cellStyle name="Vírgula 8 2 2 3 3 6" xfId="5199" xr:uid="{70C0E84A-20C1-4CA4-A523-8B36133A2E75}"/>
    <cellStyle name="Vírgula 8 2 2 3 3 7" xfId="8799" xr:uid="{F7100DB7-54B8-4D32-9FD3-93C3F0F546D7}"/>
    <cellStyle name="Vírgula 8 2 2 3 4" xfId="5200" xr:uid="{A5C8D094-BC46-4C0F-9753-C2F82227C80F}"/>
    <cellStyle name="Vírgula 8 2 2 3 4 2" xfId="5201" xr:uid="{785A9F12-23C0-48F4-BFDB-3C39D7EACB6A}"/>
    <cellStyle name="Vírgula 8 2 2 3 4 2 2" xfId="5202" xr:uid="{CF83BAD5-ADC3-476D-9C94-66FF019FC285}"/>
    <cellStyle name="Vírgula 8 2 2 3 4 2 2 2" xfId="5203" xr:uid="{CC19EA04-ACCE-499D-81C0-A3060887160E}"/>
    <cellStyle name="Vírgula 8 2 2 3 4 2 2 3" xfId="8813" xr:uid="{0FF82EAC-E321-48F7-A66F-B63B1D091096}"/>
    <cellStyle name="Vírgula 8 2 2 3 4 2 3" xfId="5204" xr:uid="{571A6A7F-26BB-40FD-8496-03E6B4041808}"/>
    <cellStyle name="Vírgula 8 2 2 3 4 2 4" xfId="8812" xr:uid="{1ACBD6CE-E027-4970-8E02-AE7F87180A27}"/>
    <cellStyle name="Vírgula 8 2 2 3 4 3" xfId="5205" xr:uid="{BB819FB9-2CDC-48C8-8CE3-B55D06980935}"/>
    <cellStyle name="Vírgula 8 2 2 3 4 3 2" xfId="5206" xr:uid="{8E31BD4E-0E79-4BC6-8A2D-E36F6028F2C7}"/>
    <cellStyle name="Vírgula 8 2 2 3 4 3 2 2" xfId="5207" xr:uid="{0B02F583-0F39-40C5-AD02-50CC475D065F}"/>
    <cellStyle name="Vírgula 8 2 2 3 4 3 2 3" xfId="8815" xr:uid="{F56F59CF-865B-46BE-825F-7DC7486539E9}"/>
    <cellStyle name="Vírgula 8 2 2 3 4 3 3" xfId="5208" xr:uid="{C82B9D6C-FC45-4967-AA0F-9C1A1FFA7CE6}"/>
    <cellStyle name="Vírgula 8 2 2 3 4 3 4" xfId="8814" xr:uid="{01B3001C-27F8-4A5A-BD8C-F7E5C0F9AF8A}"/>
    <cellStyle name="Vírgula 8 2 2 3 4 4" xfId="5209" xr:uid="{5F3DBDB3-2BF8-40B6-A3C4-39735F8E0BA7}"/>
    <cellStyle name="Vírgula 8 2 2 3 4 4 2" xfId="5210" xr:uid="{8A9FC4D9-3297-4871-A734-B9C353D5F815}"/>
    <cellStyle name="Vírgula 8 2 2 3 4 4 3" xfId="8816" xr:uid="{A8036B26-365B-444D-B674-C807B6AE87A9}"/>
    <cellStyle name="Vírgula 8 2 2 3 4 5" xfId="5211" xr:uid="{FDB0FAD1-A69C-46B1-B6AB-2F1FAD5080B4}"/>
    <cellStyle name="Vírgula 8 2 2 3 4 6" xfId="8811" xr:uid="{63C34EDE-4A09-4A92-9474-0B09AA1078E3}"/>
    <cellStyle name="Vírgula 8 2 2 3 5" xfId="5212" xr:uid="{4621B5E2-F7DE-47D3-B296-44450CD8F753}"/>
    <cellStyle name="Vírgula 8 2 2 3 5 2" xfId="5213" xr:uid="{74C1A5E6-1201-4E73-BC88-2D8CFFED984C}"/>
    <cellStyle name="Vírgula 8 2 2 3 5 2 2" xfId="5214" xr:uid="{80F680F9-BE87-411E-9CE8-BB7B6080964D}"/>
    <cellStyle name="Vírgula 8 2 2 3 5 2 3" xfId="8818" xr:uid="{E741F1A3-4ACE-4509-A272-09CF27EB78BB}"/>
    <cellStyle name="Vírgula 8 2 2 3 5 3" xfId="5215" xr:uid="{7B88CD58-B9FA-48AF-B29D-96D142E38B99}"/>
    <cellStyle name="Vírgula 8 2 2 3 5 4" xfId="8817" xr:uid="{2A74BF9E-46AB-4831-9052-191BBA05588F}"/>
    <cellStyle name="Vírgula 8 2 2 3 6" xfId="5216" xr:uid="{E83BC99C-9F5A-49DB-AED4-968901614AA4}"/>
    <cellStyle name="Vírgula 8 2 2 3 6 2" xfId="5217" xr:uid="{7B33841C-1021-4964-B651-817E15175FF5}"/>
    <cellStyle name="Vírgula 8 2 2 3 6 2 2" xfId="5218" xr:uid="{557821E6-2B9C-422B-81E8-FAD1C42590F2}"/>
    <cellStyle name="Vírgula 8 2 2 3 6 2 3" xfId="8820" xr:uid="{030C770C-DAB6-4F26-80E7-4C872421C42D}"/>
    <cellStyle name="Vírgula 8 2 2 3 6 3" xfId="5219" xr:uid="{1C79F5FE-F6ED-4326-9F20-4259419E52E7}"/>
    <cellStyle name="Vírgula 8 2 2 3 6 4" xfId="8819" xr:uid="{C6641C13-8273-4AD9-A6E0-738E587170FA}"/>
    <cellStyle name="Vírgula 8 2 2 3 7" xfId="5220" xr:uid="{1779F59C-DD33-4635-A487-DD38B6EEC06A}"/>
    <cellStyle name="Vírgula 8 2 2 3 7 2" xfId="5221" xr:uid="{2EA5D64D-2B6F-4938-8A71-01FB65185738}"/>
    <cellStyle name="Vírgula 8 2 2 3 7 3" xfId="8821" xr:uid="{B6851C05-956A-4D02-AEDC-6D3A4C3736DB}"/>
    <cellStyle name="Vírgula 8 2 2 3 8" xfId="5222" xr:uid="{A21ADAF7-B66B-4D55-AEEB-69BEF338E6C7}"/>
    <cellStyle name="Vírgula 8 2 2 3 9" xfId="8786" xr:uid="{C769CBF4-A283-46E8-AC8D-E8B998C51AF4}"/>
    <cellStyle name="Vírgula 8 2 2 4" xfId="5223" xr:uid="{5E22B067-88F5-4EFF-BDFB-BC034490F340}"/>
    <cellStyle name="Vírgula 8 2 2 4 2" xfId="5224" xr:uid="{1E4CDC6E-808A-4A0E-9A56-0D7DB506F1B2}"/>
    <cellStyle name="Vírgula 8 2 2 4 2 2" xfId="5225" xr:uid="{D96D3676-E6D4-4CB3-A1B7-93D6484CC1D8}"/>
    <cellStyle name="Vírgula 8 2 2 4 2 2 2" xfId="5226" xr:uid="{274365D3-DF0A-40F3-ADB8-D658F1F972D5}"/>
    <cellStyle name="Vírgula 8 2 2 4 2 2 2 2" xfId="5227" xr:uid="{A7761CF2-8A1A-4E2E-A40B-7536A9B4A1A3}"/>
    <cellStyle name="Vírgula 8 2 2 4 2 2 2 2 2" xfId="5228" xr:uid="{ADE6D924-E864-45A6-ABF1-5D4BE2402884}"/>
    <cellStyle name="Vírgula 8 2 2 4 2 2 2 2 3" xfId="8826" xr:uid="{944F6DF8-EC7C-4D07-96EE-6D7F6D206557}"/>
    <cellStyle name="Vírgula 8 2 2 4 2 2 2 3" xfId="5229" xr:uid="{5481F372-6C32-42A3-82C7-137A6308F306}"/>
    <cellStyle name="Vírgula 8 2 2 4 2 2 2 4" xfId="8825" xr:uid="{BE712059-CB7D-42FF-9E1C-67A197C0B20B}"/>
    <cellStyle name="Vírgula 8 2 2 4 2 2 3" xfId="5230" xr:uid="{97BB618C-D2C6-4B1A-AFB3-42ED7BF2A6B1}"/>
    <cellStyle name="Vírgula 8 2 2 4 2 2 3 2" xfId="5231" xr:uid="{29AA1ED7-1619-4342-A227-4855C9FEA3EB}"/>
    <cellStyle name="Vírgula 8 2 2 4 2 2 3 2 2" xfId="5232" xr:uid="{47A13AA5-6AE7-4DB0-91A1-E3CFD3FE9F40}"/>
    <cellStyle name="Vírgula 8 2 2 4 2 2 3 2 3" xfId="8828" xr:uid="{CED122DF-7CC4-4E30-9650-58EE5AFC0C35}"/>
    <cellStyle name="Vírgula 8 2 2 4 2 2 3 3" xfId="5233" xr:uid="{9EB968EF-799B-48D7-88D1-9582046F447B}"/>
    <cellStyle name="Vírgula 8 2 2 4 2 2 3 4" xfId="8827" xr:uid="{5EA85B92-5C52-45EF-83E6-546E340EE7D2}"/>
    <cellStyle name="Vírgula 8 2 2 4 2 2 4" xfId="5234" xr:uid="{D1792FF9-CB67-4AB4-AD33-A490E747B052}"/>
    <cellStyle name="Vírgula 8 2 2 4 2 2 4 2" xfId="5235" xr:uid="{790080A5-3E13-4F74-B1E2-61975F933B90}"/>
    <cellStyle name="Vírgula 8 2 2 4 2 2 4 3" xfId="8829" xr:uid="{0BA1110C-4C86-422D-9346-382E1A436408}"/>
    <cellStyle name="Vírgula 8 2 2 4 2 2 5" xfId="5236" xr:uid="{F6A7C54F-A056-4885-A5FA-D2C8D6CD042F}"/>
    <cellStyle name="Vírgula 8 2 2 4 2 2 6" xfId="8824" xr:uid="{F340BB2C-CA13-4D9F-B9B4-32F5D7B26E03}"/>
    <cellStyle name="Vírgula 8 2 2 4 2 3" xfId="5237" xr:uid="{45D304C2-07BA-47D7-B237-972095EDE71A}"/>
    <cellStyle name="Vírgula 8 2 2 4 2 3 2" xfId="5238" xr:uid="{58BA3FE9-D10D-4ECF-ABD5-22AF32037FDA}"/>
    <cellStyle name="Vírgula 8 2 2 4 2 3 2 2" xfId="5239" xr:uid="{100B49CD-3663-4CA7-A2DD-62868969D1B4}"/>
    <cellStyle name="Vírgula 8 2 2 4 2 3 2 3" xfId="8831" xr:uid="{D96EA0ED-8405-4FA4-9B4B-784E19837886}"/>
    <cellStyle name="Vírgula 8 2 2 4 2 3 3" xfId="5240" xr:uid="{7A6B83B1-44EF-4C3A-9FAF-F34BAF1004DC}"/>
    <cellStyle name="Vírgula 8 2 2 4 2 3 4" xfId="8830" xr:uid="{494B5058-F1F9-4A71-9681-CDF13EA6911E}"/>
    <cellStyle name="Vírgula 8 2 2 4 2 4" xfId="5241" xr:uid="{1FDABA18-92EB-4D6C-A30B-EE6A1A96BCFB}"/>
    <cellStyle name="Vírgula 8 2 2 4 2 4 2" xfId="5242" xr:uid="{83766076-1D85-43ED-8B62-4E511FC10332}"/>
    <cellStyle name="Vírgula 8 2 2 4 2 4 2 2" xfId="5243" xr:uid="{59E9C0C0-A074-43BE-9EE7-AF076FBA173C}"/>
    <cellStyle name="Vírgula 8 2 2 4 2 4 2 3" xfId="8833" xr:uid="{1829B101-26C9-4A0A-B7F6-5151956E2D38}"/>
    <cellStyle name="Vírgula 8 2 2 4 2 4 3" xfId="5244" xr:uid="{65691241-F9CB-4903-8B10-D0DFD70D0755}"/>
    <cellStyle name="Vírgula 8 2 2 4 2 4 4" xfId="8832" xr:uid="{2E685263-55E6-4FFA-B595-DCAC2DFE956C}"/>
    <cellStyle name="Vírgula 8 2 2 4 2 5" xfId="5245" xr:uid="{7065B164-7D60-4C46-91E8-5A8CF0F21DC9}"/>
    <cellStyle name="Vírgula 8 2 2 4 2 5 2" xfId="5246" xr:uid="{F6459675-9DB5-48D1-B84B-F6282867C9BA}"/>
    <cellStyle name="Vírgula 8 2 2 4 2 5 3" xfId="8834" xr:uid="{D61012C1-5C58-4AED-B104-644AEEFC875B}"/>
    <cellStyle name="Vírgula 8 2 2 4 2 6" xfId="5247" xr:uid="{2D7DB5A4-0CF8-4F53-B9BC-376EBFB70C2C}"/>
    <cellStyle name="Vírgula 8 2 2 4 2 7" xfId="8823" xr:uid="{BE22EB5A-1928-4F1D-AF20-75B80DCE3C66}"/>
    <cellStyle name="Vírgula 8 2 2 4 3" xfId="5248" xr:uid="{62B5CDC0-75E6-4CD3-A158-BF1972295BE3}"/>
    <cellStyle name="Vírgula 8 2 2 4 3 2" xfId="5249" xr:uid="{A2DBF0FE-995E-40CA-8279-51298A74BEC7}"/>
    <cellStyle name="Vírgula 8 2 2 4 3 2 2" xfId="5250" xr:uid="{6897A6B4-27CC-4ADC-85E4-3F0F2A0BAB79}"/>
    <cellStyle name="Vírgula 8 2 2 4 3 2 2 2" xfId="5251" xr:uid="{76E0063D-87CA-4D48-A4E2-19F317D284AA}"/>
    <cellStyle name="Vírgula 8 2 2 4 3 2 2 2 2" xfId="5252" xr:uid="{40ADA23B-2BF3-4081-9651-5BDC8A7DDB5D}"/>
    <cellStyle name="Vírgula 8 2 2 4 3 2 2 2 3" xfId="8838" xr:uid="{80EFAF8B-9B4A-4F21-B2BD-E7508B3BF95E}"/>
    <cellStyle name="Vírgula 8 2 2 4 3 2 2 3" xfId="5253" xr:uid="{23B787C4-CBEF-40B2-9709-CDF0C0C03195}"/>
    <cellStyle name="Vírgula 8 2 2 4 3 2 2 4" xfId="8837" xr:uid="{36900C04-8797-4CD2-8F3D-142C93617381}"/>
    <cellStyle name="Vírgula 8 2 2 4 3 2 3" xfId="5254" xr:uid="{7AB0752E-42CA-4E83-B6C3-A3EA710BC6CE}"/>
    <cellStyle name="Vírgula 8 2 2 4 3 2 3 2" xfId="5255" xr:uid="{2FE3BA8F-4328-4638-B796-FB8854177FAF}"/>
    <cellStyle name="Vírgula 8 2 2 4 3 2 3 2 2" xfId="5256" xr:uid="{C7F594D8-B4D2-40B6-AD89-A75353350971}"/>
    <cellStyle name="Vírgula 8 2 2 4 3 2 3 2 3" xfId="8840" xr:uid="{57D4144E-1106-4C37-9AEB-1B120E863D30}"/>
    <cellStyle name="Vírgula 8 2 2 4 3 2 3 3" xfId="5257" xr:uid="{72FBF3B3-A94B-4148-BBE1-616D9F92A9F5}"/>
    <cellStyle name="Vírgula 8 2 2 4 3 2 3 4" xfId="8839" xr:uid="{AF78CE24-E551-44B1-8241-E6541E5D012A}"/>
    <cellStyle name="Vírgula 8 2 2 4 3 2 4" xfId="5258" xr:uid="{F2EB3A4A-EE24-4DB3-B107-4200750B3B00}"/>
    <cellStyle name="Vírgula 8 2 2 4 3 2 4 2" xfId="5259" xr:uid="{B975AAB9-7B8D-44EF-BDFB-8D82226F564B}"/>
    <cellStyle name="Vírgula 8 2 2 4 3 2 4 3" xfId="8841" xr:uid="{748D7821-01A6-4317-B2C6-BC99E1EE91C5}"/>
    <cellStyle name="Vírgula 8 2 2 4 3 2 5" xfId="5260" xr:uid="{C0665A61-A0A6-464B-970D-CE29AF72ED7B}"/>
    <cellStyle name="Vírgula 8 2 2 4 3 2 6" xfId="8836" xr:uid="{E1EC317D-9AD7-4F84-8B90-798ADD7E001E}"/>
    <cellStyle name="Vírgula 8 2 2 4 3 3" xfId="5261" xr:uid="{C2558A57-B928-4A43-A33F-CDB37CCA5531}"/>
    <cellStyle name="Vírgula 8 2 2 4 3 3 2" xfId="5262" xr:uid="{1C7E6ED8-6B43-47EF-A952-4B73906BCCB1}"/>
    <cellStyle name="Vírgula 8 2 2 4 3 3 2 2" xfId="5263" xr:uid="{47098357-5647-406E-BBE3-DF9D00F29FC9}"/>
    <cellStyle name="Vírgula 8 2 2 4 3 3 2 3" xfId="8843" xr:uid="{B19168E3-D561-4FE4-BB70-59F257685D81}"/>
    <cellStyle name="Vírgula 8 2 2 4 3 3 3" xfId="5264" xr:uid="{0228A62F-CD9D-4196-9C07-2D2D430A67D2}"/>
    <cellStyle name="Vírgula 8 2 2 4 3 3 4" xfId="8842" xr:uid="{EE7E7079-5F27-46DA-9299-4FD82924F060}"/>
    <cellStyle name="Vírgula 8 2 2 4 3 4" xfId="5265" xr:uid="{F68D864A-198C-4ED8-B519-8CA24F40DBC5}"/>
    <cellStyle name="Vírgula 8 2 2 4 3 4 2" xfId="5266" xr:uid="{C6BFC8B9-63B4-467B-803D-774965F3E47D}"/>
    <cellStyle name="Vírgula 8 2 2 4 3 4 2 2" xfId="5267" xr:uid="{CC4B82D7-8345-4916-8BA7-9757961A939B}"/>
    <cellStyle name="Vírgula 8 2 2 4 3 4 2 3" xfId="8845" xr:uid="{C843BAEC-7522-42E2-9F4B-57CAD57B3AD0}"/>
    <cellStyle name="Vírgula 8 2 2 4 3 4 3" xfId="5268" xr:uid="{CF51BAE0-F5B3-4236-9085-84D2D69F1CC6}"/>
    <cellStyle name="Vírgula 8 2 2 4 3 4 4" xfId="8844" xr:uid="{48F2DB4D-C6B4-443B-B057-DC118D8251BF}"/>
    <cellStyle name="Vírgula 8 2 2 4 3 5" xfId="5269" xr:uid="{80C75106-D4FA-4870-8B3D-103254FE7D2E}"/>
    <cellStyle name="Vírgula 8 2 2 4 3 5 2" xfId="5270" xr:uid="{F145DB2D-31BA-4E6E-99E5-6D47A1408E1A}"/>
    <cellStyle name="Vírgula 8 2 2 4 3 5 3" xfId="8846" xr:uid="{26B4BF2B-4ADD-4B82-9BC3-7E917CB483AA}"/>
    <cellStyle name="Vírgula 8 2 2 4 3 6" xfId="5271" xr:uid="{262CC63E-0E26-4CCE-998F-097940777214}"/>
    <cellStyle name="Vírgula 8 2 2 4 3 7" xfId="8835" xr:uid="{D1ABAC63-85DC-4E29-96B4-706E11E86122}"/>
    <cellStyle name="Vírgula 8 2 2 4 4" xfId="5272" xr:uid="{147436C1-B2D1-4381-8EE2-709143A01463}"/>
    <cellStyle name="Vírgula 8 2 2 4 4 2" xfId="5273" xr:uid="{9EDCCDC9-2E34-46F9-B80D-BD7701CE2FF6}"/>
    <cellStyle name="Vírgula 8 2 2 4 4 2 2" xfId="5274" xr:uid="{3FC7A3E7-53DF-4BBA-89AD-D05F4B509A39}"/>
    <cellStyle name="Vírgula 8 2 2 4 4 2 2 2" xfId="5275" xr:uid="{617B0711-4DA6-478C-84B0-F505C7CF08F4}"/>
    <cellStyle name="Vírgula 8 2 2 4 4 2 2 3" xfId="8849" xr:uid="{E3454F0F-4774-4413-BFED-6BE938D5A7EF}"/>
    <cellStyle name="Vírgula 8 2 2 4 4 2 3" xfId="5276" xr:uid="{B05EA397-AC48-41C6-8C7A-D68006B2F5AB}"/>
    <cellStyle name="Vírgula 8 2 2 4 4 2 4" xfId="8848" xr:uid="{0DD3A7C0-F020-4C72-BB13-9C12641B6848}"/>
    <cellStyle name="Vírgula 8 2 2 4 4 3" xfId="5277" xr:uid="{6F4562FF-E275-4E23-9E77-9EF0896E5C8E}"/>
    <cellStyle name="Vírgula 8 2 2 4 4 3 2" xfId="5278" xr:uid="{0E14C241-329D-4B3A-83BA-F3704BB4B454}"/>
    <cellStyle name="Vírgula 8 2 2 4 4 3 2 2" xfId="5279" xr:uid="{3F518062-CB92-4D5A-8E93-EF8AD045867A}"/>
    <cellStyle name="Vírgula 8 2 2 4 4 3 2 3" xfId="8851" xr:uid="{717CDD25-84F6-4F8D-BB3B-22E5D3C6EB7D}"/>
    <cellStyle name="Vírgula 8 2 2 4 4 3 3" xfId="5280" xr:uid="{D0A4C7E7-8397-42F2-AD49-206F8D930744}"/>
    <cellStyle name="Vírgula 8 2 2 4 4 3 4" xfId="8850" xr:uid="{22534EE3-2A8A-4E74-98E1-4426A794F2E7}"/>
    <cellStyle name="Vírgula 8 2 2 4 4 4" xfId="5281" xr:uid="{D79B2829-0557-4871-B59A-2AE960322DF8}"/>
    <cellStyle name="Vírgula 8 2 2 4 4 4 2" xfId="5282" xr:uid="{3C05F481-7EC4-4D1C-81D7-249E3C26532E}"/>
    <cellStyle name="Vírgula 8 2 2 4 4 4 3" xfId="8852" xr:uid="{17404C57-C7FD-4164-B09D-3EE21C1D1D2F}"/>
    <cellStyle name="Vírgula 8 2 2 4 4 5" xfId="5283" xr:uid="{3FF55756-395B-4721-B934-AF3E4AC85992}"/>
    <cellStyle name="Vírgula 8 2 2 4 4 6" xfId="8847" xr:uid="{63FD052D-CE2C-4529-AA91-5025BE00D2A3}"/>
    <cellStyle name="Vírgula 8 2 2 4 5" xfId="5284" xr:uid="{51322EB4-14B3-4944-B915-A805EED63DC2}"/>
    <cellStyle name="Vírgula 8 2 2 4 5 2" xfId="5285" xr:uid="{E1150775-3FED-40B5-915C-A7BCC79DB70F}"/>
    <cellStyle name="Vírgula 8 2 2 4 5 2 2" xfId="5286" xr:uid="{C5A9AE1E-6E33-434E-928C-6C7C50DEA629}"/>
    <cellStyle name="Vírgula 8 2 2 4 5 2 3" xfId="8854" xr:uid="{D48B4213-775F-42D0-86A6-677B07BFAC44}"/>
    <cellStyle name="Vírgula 8 2 2 4 5 3" xfId="5287" xr:uid="{26B0A5F1-31BF-442A-AA66-2F36D4701BB7}"/>
    <cellStyle name="Vírgula 8 2 2 4 5 4" xfId="8853" xr:uid="{B86D7DC2-3943-40D3-927A-30D04E5F0756}"/>
    <cellStyle name="Vírgula 8 2 2 4 6" xfId="5288" xr:uid="{1B9D6938-0602-4706-97EE-9399F5DA38ED}"/>
    <cellStyle name="Vírgula 8 2 2 4 6 2" xfId="5289" xr:uid="{51C85A26-1722-41C5-86D9-EBD93D9A6375}"/>
    <cellStyle name="Vírgula 8 2 2 4 6 2 2" xfId="5290" xr:uid="{0C330F14-76C7-4301-958A-3432DF73AF77}"/>
    <cellStyle name="Vírgula 8 2 2 4 6 2 3" xfId="8856" xr:uid="{89569ED5-471B-40B9-80F9-D1B3D0E30692}"/>
    <cellStyle name="Vírgula 8 2 2 4 6 3" xfId="5291" xr:uid="{C507F70E-37D5-4675-9D1E-773DD46C7C8F}"/>
    <cellStyle name="Vírgula 8 2 2 4 6 4" xfId="8855" xr:uid="{2D618888-325D-4E2D-B94F-AF46A7607CAD}"/>
    <cellStyle name="Vírgula 8 2 2 4 7" xfId="5292" xr:uid="{220DD857-7BDF-42B3-8851-F4FAC7B1243B}"/>
    <cellStyle name="Vírgula 8 2 2 4 7 2" xfId="5293" xr:uid="{98308D58-D9CA-47CA-93D4-A795198A2EDB}"/>
    <cellStyle name="Vírgula 8 2 2 4 7 3" xfId="8857" xr:uid="{3FC94464-764A-422D-90DE-5EA092902EED}"/>
    <cellStyle name="Vírgula 8 2 2 4 8" xfId="5294" xr:uid="{160BC220-1EEC-430D-9AE1-1FE6FEFE2784}"/>
    <cellStyle name="Vírgula 8 2 2 4 9" xfId="8822" xr:uid="{1F5AA9FD-73EA-4941-B654-37411C6B404C}"/>
    <cellStyle name="Vírgula 8 2 2 5" xfId="5295" xr:uid="{F078AE0E-A050-4935-875D-7DA8DC9A0CC4}"/>
    <cellStyle name="Vírgula 8 2 2 5 2" xfId="5296" xr:uid="{D47C51F8-D2C4-484D-803D-1A595EA4A03E}"/>
    <cellStyle name="Vírgula 8 2 2 5 2 2" xfId="5297" xr:uid="{AEC4B778-6D58-45A0-A9B8-119CDA7241D0}"/>
    <cellStyle name="Vírgula 8 2 2 5 2 2 2" xfId="5298" xr:uid="{A18566A4-85E1-4076-B2DD-6242D870B051}"/>
    <cellStyle name="Vírgula 8 2 2 5 2 2 2 2" xfId="5299" xr:uid="{F5EC0C03-EB0C-4033-BD3A-11889AB71818}"/>
    <cellStyle name="Vírgula 8 2 2 5 2 2 2 3" xfId="8861" xr:uid="{E5B19571-5E95-47AF-AEE9-332A6FAC003A}"/>
    <cellStyle name="Vírgula 8 2 2 5 2 2 3" xfId="5300" xr:uid="{80AD2C7C-DE75-42EF-B9FF-CFB3693E955B}"/>
    <cellStyle name="Vírgula 8 2 2 5 2 2 4" xfId="8860" xr:uid="{C6777B85-970B-40E9-BE85-1A61AE217694}"/>
    <cellStyle name="Vírgula 8 2 2 5 2 3" xfId="5301" xr:uid="{69495C37-B730-41B6-9FC2-4F0F83E2211F}"/>
    <cellStyle name="Vírgula 8 2 2 5 2 3 2" xfId="5302" xr:uid="{9BC4DBCA-470D-463B-90B4-EEA2581A2BA8}"/>
    <cellStyle name="Vírgula 8 2 2 5 2 3 2 2" xfId="5303" xr:uid="{AF101DE9-CB16-4322-A04F-1D58DAB121BF}"/>
    <cellStyle name="Vírgula 8 2 2 5 2 3 2 3" xfId="8863" xr:uid="{4356FC9F-72C6-4F32-8733-DCE040B4A8CE}"/>
    <cellStyle name="Vírgula 8 2 2 5 2 3 3" xfId="5304" xr:uid="{B22FCDEB-2E7F-4DC5-B491-7114A4542B34}"/>
    <cellStyle name="Vírgula 8 2 2 5 2 3 4" xfId="8862" xr:uid="{236EEB79-E9D9-4712-8F9F-9BEC4AC30DE7}"/>
    <cellStyle name="Vírgula 8 2 2 5 2 4" xfId="5305" xr:uid="{B1EF9BA9-0212-48DF-85B2-AD4D67D6FAFE}"/>
    <cellStyle name="Vírgula 8 2 2 5 2 4 2" xfId="5306" xr:uid="{207C290F-F4F4-48AC-BDA2-2300F20D80AC}"/>
    <cellStyle name="Vírgula 8 2 2 5 2 4 3" xfId="8864" xr:uid="{82644481-E1CB-4C27-87A9-644E3300B985}"/>
    <cellStyle name="Vírgula 8 2 2 5 2 5" xfId="5307" xr:uid="{C56D5560-2718-434B-9303-0EFC28E63445}"/>
    <cellStyle name="Vírgula 8 2 2 5 2 6" xfId="8859" xr:uid="{8F56AF96-E737-4D0E-85F3-9B365C820777}"/>
    <cellStyle name="Vírgula 8 2 2 5 3" xfId="5308" xr:uid="{FD5C24CB-0689-44F9-A091-AE065698DB5C}"/>
    <cellStyle name="Vírgula 8 2 2 5 3 2" xfId="5309" xr:uid="{92372DB9-B49E-44D9-BE20-2B779B7CA567}"/>
    <cellStyle name="Vírgula 8 2 2 5 3 2 2" xfId="5310" xr:uid="{0735380F-9880-4C8D-BD6C-9F173CA7E150}"/>
    <cellStyle name="Vírgula 8 2 2 5 3 2 3" xfId="8866" xr:uid="{01A126FD-B645-4DBA-813E-9949E88F789D}"/>
    <cellStyle name="Vírgula 8 2 2 5 3 3" xfId="5311" xr:uid="{64072596-A52E-4547-94AF-DB06052EB51E}"/>
    <cellStyle name="Vírgula 8 2 2 5 3 4" xfId="8865" xr:uid="{EC24E76D-F556-4DD7-ABC3-FBCCD09E5244}"/>
    <cellStyle name="Vírgula 8 2 2 5 4" xfId="5312" xr:uid="{A9D7AD93-8DA7-4E0B-BED8-3857B2531EE0}"/>
    <cellStyle name="Vírgula 8 2 2 5 4 2" xfId="5313" xr:uid="{1ADF9603-A5A6-42D0-AB42-E0B49ECD9266}"/>
    <cellStyle name="Vírgula 8 2 2 5 4 2 2" xfId="5314" xr:uid="{77EB4693-4B1C-45B8-97D2-8FADDD8317C4}"/>
    <cellStyle name="Vírgula 8 2 2 5 4 2 3" xfId="8868" xr:uid="{B55379CE-F884-4C34-9CE2-9BC37E9D80D5}"/>
    <cellStyle name="Vírgula 8 2 2 5 4 3" xfId="5315" xr:uid="{403733C5-2B23-4B3F-9E52-D056B5CDD97A}"/>
    <cellStyle name="Vírgula 8 2 2 5 4 4" xfId="8867" xr:uid="{BA0850E9-EA17-4D3D-8B70-56A07F532110}"/>
    <cellStyle name="Vírgula 8 2 2 5 5" xfId="5316" xr:uid="{5F0D6AA9-6126-41DA-9F09-E9A1F35DAE2B}"/>
    <cellStyle name="Vírgula 8 2 2 5 5 2" xfId="5317" xr:uid="{1DF227FF-2147-427C-BBCE-FE6CE122F562}"/>
    <cellStyle name="Vírgula 8 2 2 5 5 3" xfId="8869" xr:uid="{B17EA279-8F68-41D8-8928-EC4A9E2C8CFC}"/>
    <cellStyle name="Vírgula 8 2 2 5 6" xfId="5318" xr:uid="{BD3D3A37-E931-41AC-A2DA-52C6652D223D}"/>
    <cellStyle name="Vírgula 8 2 2 5 7" xfId="8858" xr:uid="{BE9B7675-A5BE-490D-BF2A-7802041F36AE}"/>
    <cellStyle name="Vírgula 8 2 2 6" xfId="5319" xr:uid="{28E2DCF6-A046-40B2-860F-D28ED81905D6}"/>
    <cellStyle name="Vírgula 8 2 2 6 2" xfId="5320" xr:uid="{ECC1427A-3FD7-4989-9A02-912AC8129F2C}"/>
    <cellStyle name="Vírgula 8 2 2 6 2 2" xfId="5321" xr:uid="{981DB3D5-EE02-49ED-B924-D7A3D1C1037C}"/>
    <cellStyle name="Vírgula 8 2 2 6 2 2 2" xfId="5322" xr:uid="{411A63AE-4D7A-476A-A0B3-5DC2FBAEE8F9}"/>
    <cellStyle name="Vírgula 8 2 2 6 2 2 2 2" xfId="5323" xr:uid="{58F302DE-FD51-42E7-AE71-FA31A7922C54}"/>
    <cellStyle name="Vírgula 8 2 2 6 2 2 2 3" xfId="8873" xr:uid="{A3FDB890-987E-4CB1-BAD8-9992C227AD1C}"/>
    <cellStyle name="Vírgula 8 2 2 6 2 2 3" xfId="5324" xr:uid="{1BE7964C-314A-42BB-BF4C-72E061763920}"/>
    <cellStyle name="Vírgula 8 2 2 6 2 2 4" xfId="8872" xr:uid="{B132D83D-01BD-49A3-B784-51D78BA51CB7}"/>
    <cellStyle name="Vírgula 8 2 2 6 2 3" xfId="5325" xr:uid="{AE902C87-7A8F-43EB-A5B3-DCDBED528D1F}"/>
    <cellStyle name="Vírgula 8 2 2 6 2 3 2" xfId="5326" xr:uid="{4E0DA8B7-3194-4BB4-9AFE-F87E42676C52}"/>
    <cellStyle name="Vírgula 8 2 2 6 2 3 2 2" xfId="5327" xr:uid="{3ED953D5-21A1-47CA-882A-A2B2FB9C0643}"/>
    <cellStyle name="Vírgula 8 2 2 6 2 3 2 3" xfId="8875" xr:uid="{B38ED54F-998A-48D4-BAFA-C47ED781F99E}"/>
    <cellStyle name="Vírgula 8 2 2 6 2 3 3" xfId="5328" xr:uid="{8159305F-750B-49EE-8356-EEBFD31A4F7C}"/>
    <cellStyle name="Vírgula 8 2 2 6 2 3 4" xfId="8874" xr:uid="{F2203170-A19E-4DF9-A018-474318BEBD20}"/>
    <cellStyle name="Vírgula 8 2 2 6 2 4" xfId="5329" xr:uid="{481FB0D9-2D2E-4DEE-8D07-CC13664040A6}"/>
    <cellStyle name="Vírgula 8 2 2 6 2 4 2" xfId="5330" xr:uid="{C07FDD0E-5A34-4EAB-8684-8C77158B3A1E}"/>
    <cellStyle name="Vírgula 8 2 2 6 2 4 3" xfId="8876" xr:uid="{62104E8D-D4CD-46EE-AC81-1F0A9B57B143}"/>
    <cellStyle name="Vírgula 8 2 2 6 2 5" xfId="5331" xr:uid="{D0E19BF6-9624-4A4C-892B-05201B566CA5}"/>
    <cellStyle name="Vírgula 8 2 2 6 2 6" xfId="8871" xr:uid="{990B5D82-0A0F-4DA1-B31D-426B487D84C2}"/>
    <cellStyle name="Vírgula 8 2 2 6 3" xfId="5332" xr:uid="{D1C41984-E758-49C8-9018-05FD59229317}"/>
    <cellStyle name="Vírgula 8 2 2 6 3 2" xfId="5333" xr:uid="{C60DED90-B42F-4D9F-9564-166C1530165C}"/>
    <cellStyle name="Vírgula 8 2 2 6 3 2 2" xfId="5334" xr:uid="{900755EA-ED8D-4245-8248-90F9461FEDAA}"/>
    <cellStyle name="Vírgula 8 2 2 6 3 2 3" xfId="8878" xr:uid="{2F06A4EC-2397-4CC9-A755-98C9F6184BBF}"/>
    <cellStyle name="Vírgula 8 2 2 6 3 3" xfId="5335" xr:uid="{06812B7A-CBF9-4EB2-B459-DDD2978ACAB8}"/>
    <cellStyle name="Vírgula 8 2 2 6 3 4" xfId="8877" xr:uid="{EDED4F5D-7F79-4849-BD60-D67EAF353497}"/>
    <cellStyle name="Vírgula 8 2 2 6 4" xfId="5336" xr:uid="{7123343D-1E72-4BA1-A4D2-0114BC4988AA}"/>
    <cellStyle name="Vírgula 8 2 2 6 4 2" xfId="5337" xr:uid="{B9195D20-FE6E-4EAD-A8A1-BAA5B74C9143}"/>
    <cellStyle name="Vírgula 8 2 2 6 4 2 2" xfId="5338" xr:uid="{3EFBE4C3-32B6-4029-AD9C-45B3ADD64B0D}"/>
    <cellStyle name="Vírgula 8 2 2 6 4 2 3" xfId="8880" xr:uid="{30645277-D436-42A0-B920-65F2278441E9}"/>
    <cellStyle name="Vírgula 8 2 2 6 4 3" xfId="5339" xr:uid="{D5722EDE-6313-4360-95FC-D448BFAAF38B}"/>
    <cellStyle name="Vírgula 8 2 2 6 4 4" xfId="8879" xr:uid="{B2BA20CF-278A-4EF0-A6D0-F2E87E09B295}"/>
    <cellStyle name="Vírgula 8 2 2 6 5" xfId="5340" xr:uid="{D9364272-6ABB-49C5-BC35-4FC25F91787C}"/>
    <cellStyle name="Vírgula 8 2 2 6 5 2" xfId="5341" xr:uid="{D27E4163-ECC7-47EC-BB40-9F6DA12FEA25}"/>
    <cellStyle name="Vírgula 8 2 2 6 5 3" xfId="8881" xr:uid="{826F313C-C864-4C66-B2A8-9463410B63E0}"/>
    <cellStyle name="Vírgula 8 2 2 6 6" xfId="5342" xr:uid="{F6801688-90E2-4B76-8746-F97D491EB166}"/>
    <cellStyle name="Vírgula 8 2 2 6 7" xfId="8870" xr:uid="{126255EF-D8D2-4EA7-BE75-1D1BAB479986}"/>
    <cellStyle name="Vírgula 8 2 2 7" xfId="5343" xr:uid="{AB66F590-A8CB-4ED9-9B9D-51AB227D5289}"/>
    <cellStyle name="Vírgula 8 2 2 7 2" xfId="5344" xr:uid="{5A71C78A-2737-4A20-A93C-914725B22DB4}"/>
    <cellStyle name="Vírgula 8 2 2 7 2 2" xfId="5345" xr:uid="{4AF1220E-5155-4C57-B2E4-32087DDA29B9}"/>
    <cellStyle name="Vírgula 8 2 2 7 2 2 2" xfId="5346" xr:uid="{4F746638-CC3F-4F11-9C8F-53C3CA2E84DA}"/>
    <cellStyle name="Vírgula 8 2 2 7 2 2 3" xfId="8884" xr:uid="{6F77D32F-420C-4B1A-B12F-225070167309}"/>
    <cellStyle name="Vírgula 8 2 2 7 2 3" xfId="5347" xr:uid="{DF613399-577E-45BB-B4D2-9DDA291B8A0A}"/>
    <cellStyle name="Vírgula 8 2 2 7 2 4" xfId="8883" xr:uid="{5974D12D-41E8-419F-B138-DE7DEEF2BB62}"/>
    <cellStyle name="Vírgula 8 2 2 7 3" xfId="5348" xr:uid="{950C179A-2008-46AF-AFFE-DBC365D2DB0E}"/>
    <cellStyle name="Vírgula 8 2 2 7 3 2" xfId="5349" xr:uid="{3D1DD049-EFC7-473D-B99C-C39905D0F331}"/>
    <cellStyle name="Vírgula 8 2 2 7 3 2 2" xfId="5350" xr:uid="{91180223-1A6D-4C0D-A1D8-E867272081B7}"/>
    <cellStyle name="Vírgula 8 2 2 7 3 2 3" xfId="8886" xr:uid="{6804389D-14C2-47A2-969B-5C77FFB83C49}"/>
    <cellStyle name="Vírgula 8 2 2 7 3 3" xfId="5351" xr:uid="{A4D0C781-FC58-4AA4-88BC-D591DAC688BE}"/>
    <cellStyle name="Vírgula 8 2 2 7 3 4" xfId="8885" xr:uid="{22E11D0E-C227-4722-ABEB-5B7428112381}"/>
    <cellStyle name="Vírgula 8 2 2 7 4" xfId="5352" xr:uid="{640FB63C-AF3F-4E7A-8F3F-F7252731F4F1}"/>
    <cellStyle name="Vírgula 8 2 2 7 4 2" xfId="5353" xr:uid="{461CF405-54D0-4D68-B5AB-0B4F9F3C4C25}"/>
    <cellStyle name="Vírgula 8 2 2 7 4 3" xfId="8887" xr:uid="{BC842B58-5F0B-497F-90B2-624C8CA78752}"/>
    <cellStyle name="Vírgula 8 2 2 7 5" xfId="5354" xr:uid="{D591D5EB-EC81-47B0-ABF0-2967D73A58F2}"/>
    <cellStyle name="Vírgula 8 2 2 7 6" xfId="8882" xr:uid="{79F064FB-8967-4BEF-A5E9-CBF9F15D20D0}"/>
    <cellStyle name="Vírgula 8 2 2 8" xfId="5355" xr:uid="{FED32D95-F3B3-4E9D-A29D-DA972F577924}"/>
    <cellStyle name="Vírgula 8 2 2 8 2" xfId="5356" xr:uid="{E702690A-C59F-4B24-ABD4-1696791E4E9E}"/>
    <cellStyle name="Vírgula 8 2 2 8 2 2" xfId="5357" xr:uid="{E5BF1486-527F-4D73-99FD-2FDB90108FD0}"/>
    <cellStyle name="Vírgula 8 2 2 8 2 3" xfId="8889" xr:uid="{5233B0B4-1855-4A9D-88A8-B8FAE687C13E}"/>
    <cellStyle name="Vírgula 8 2 2 8 3" xfId="5358" xr:uid="{F52048BA-F9AD-4E70-A971-5B77F307D469}"/>
    <cellStyle name="Vírgula 8 2 2 8 4" xfId="8888" xr:uid="{1ED93C1A-2B09-42AE-94D8-37DD91879448}"/>
    <cellStyle name="Vírgula 8 2 2 9" xfId="5359" xr:uid="{46025DA1-0FA5-4F67-BC11-D16F53A636BC}"/>
    <cellStyle name="Vírgula 8 2 2 9 2" xfId="5360" xr:uid="{658D581F-B3BC-436C-8DD9-7E57064039A6}"/>
    <cellStyle name="Vírgula 8 2 2 9 2 2" xfId="5361" xr:uid="{F1614184-43F3-4033-A9BC-4C7B9361B146}"/>
    <cellStyle name="Vírgula 8 2 2 9 2 3" xfId="8891" xr:uid="{6BE9B206-CB26-4D02-A2E3-78688A1FFEC0}"/>
    <cellStyle name="Vírgula 8 2 2 9 3" xfId="5362" xr:uid="{00458BE7-1F6B-4724-8D6D-304099019E88}"/>
    <cellStyle name="Vírgula 8 2 2 9 4" xfId="8890" xr:uid="{06B046D6-9B81-4052-8918-127405D30EB1}"/>
    <cellStyle name="Vírgula 8 2 3" xfId="5363" xr:uid="{FA0816C7-1E7A-47D7-BD19-07AF73A51AF0}"/>
    <cellStyle name="Vírgula 8 2 3 2" xfId="5364" xr:uid="{2CD22206-80B7-40F7-B03C-75375972A220}"/>
    <cellStyle name="Vírgula 8 2 3 2 2" xfId="5365" xr:uid="{59689579-0E10-40F1-A1E4-8AE9CACCC3BF}"/>
    <cellStyle name="Vírgula 8 2 3 2 2 2" xfId="5366" xr:uid="{AE8BA3BA-C137-486F-95E0-56DF4EA95498}"/>
    <cellStyle name="Vírgula 8 2 3 2 2 2 2" xfId="5367" xr:uid="{CCD7DB47-8ED2-4D56-AAC3-F72A6C1838D8}"/>
    <cellStyle name="Vírgula 8 2 3 2 2 2 2 2" xfId="5368" xr:uid="{B3B3A170-D260-4B17-844A-90A962F74014}"/>
    <cellStyle name="Vírgula 8 2 3 2 2 2 2 3" xfId="8896" xr:uid="{0DEC319F-E5E1-4EE1-A9C4-FC95CD0ACCB2}"/>
    <cellStyle name="Vírgula 8 2 3 2 2 2 3" xfId="5369" xr:uid="{72B89A91-02FF-4D63-810B-6244A5623340}"/>
    <cellStyle name="Vírgula 8 2 3 2 2 2 4" xfId="8895" xr:uid="{251119AC-B68B-4639-99ED-E621C0DC4B58}"/>
    <cellStyle name="Vírgula 8 2 3 2 2 3" xfId="5370" xr:uid="{6D4A99BC-75B3-483C-A87A-951F77B36E3B}"/>
    <cellStyle name="Vírgula 8 2 3 2 2 3 2" xfId="5371" xr:uid="{725C07E9-6914-4895-8A33-417200019C55}"/>
    <cellStyle name="Vírgula 8 2 3 2 2 3 2 2" xfId="5372" xr:uid="{5F5E167B-3E96-4761-8B92-3801D2F3C46C}"/>
    <cellStyle name="Vírgula 8 2 3 2 2 3 2 3" xfId="8898" xr:uid="{98D2C7FC-D3A9-47B0-9B4B-F8AA8E572B3A}"/>
    <cellStyle name="Vírgula 8 2 3 2 2 3 3" xfId="5373" xr:uid="{1E4AB677-5244-4898-BB6D-6CC9989E02B7}"/>
    <cellStyle name="Vírgula 8 2 3 2 2 3 4" xfId="8897" xr:uid="{9C2BF4C7-4F1A-412B-89D2-D7C925DA1BB4}"/>
    <cellStyle name="Vírgula 8 2 3 2 2 4" xfId="5374" xr:uid="{80C02313-FAE7-4B97-938A-990501562034}"/>
    <cellStyle name="Vírgula 8 2 3 2 2 4 2" xfId="5375" xr:uid="{5084D82B-B052-47D2-A706-FCA9F8FBD678}"/>
    <cellStyle name="Vírgula 8 2 3 2 2 4 3" xfId="8899" xr:uid="{8D1174D9-7597-4CAC-B1A7-2197D72F0BFE}"/>
    <cellStyle name="Vírgula 8 2 3 2 2 5" xfId="5376" xr:uid="{1E771433-3E66-41B6-8E06-136D7900ACF1}"/>
    <cellStyle name="Vírgula 8 2 3 2 2 6" xfId="8894" xr:uid="{FB40793D-9484-4743-8CC6-E0818526F45F}"/>
    <cellStyle name="Vírgula 8 2 3 2 3" xfId="5377" xr:uid="{539DA83A-5576-4606-A762-502CB32A79CD}"/>
    <cellStyle name="Vírgula 8 2 3 2 3 2" xfId="5378" xr:uid="{5FEA85AF-8DFC-479F-B70C-FE1D7C78230C}"/>
    <cellStyle name="Vírgula 8 2 3 2 3 2 2" xfId="5379" xr:uid="{358493BF-2B9B-4813-BB74-CBB29A2260BA}"/>
    <cellStyle name="Vírgula 8 2 3 2 3 2 3" xfId="8901" xr:uid="{3BD83612-639D-40C7-AA40-B8228E198684}"/>
    <cellStyle name="Vírgula 8 2 3 2 3 3" xfId="5380" xr:uid="{F111C274-8922-4C84-9AC5-20C95D9080BC}"/>
    <cellStyle name="Vírgula 8 2 3 2 3 4" xfId="8900" xr:uid="{D8B3EA81-209F-4049-BE2E-3A1AA078B6A0}"/>
    <cellStyle name="Vírgula 8 2 3 2 4" xfId="5381" xr:uid="{E1CD8B11-B261-4F9C-8EDF-0322AC8AEA4A}"/>
    <cellStyle name="Vírgula 8 2 3 2 4 2" xfId="5382" xr:uid="{A5D9A01C-3237-4784-9E74-AF152E31DB11}"/>
    <cellStyle name="Vírgula 8 2 3 2 4 2 2" xfId="5383" xr:uid="{AA497CBD-A335-49C4-A14E-88384239244E}"/>
    <cellStyle name="Vírgula 8 2 3 2 4 2 3" xfId="8903" xr:uid="{73BAB7EC-0CCE-4594-8914-2589F828A923}"/>
    <cellStyle name="Vírgula 8 2 3 2 4 3" xfId="5384" xr:uid="{9AE580F5-AF9E-43E2-9C36-92183FA4F508}"/>
    <cellStyle name="Vírgula 8 2 3 2 4 4" xfId="8902" xr:uid="{D2D14C01-5F62-4724-AABD-5AD8CD6B78FF}"/>
    <cellStyle name="Vírgula 8 2 3 2 5" xfId="5385" xr:uid="{3D8AB99B-7DD0-4B35-8715-9BF071F6DEAB}"/>
    <cellStyle name="Vírgula 8 2 3 2 5 2" xfId="5386" xr:uid="{95D55FE3-D8EF-40AC-B770-8DCFE24C8BCF}"/>
    <cellStyle name="Vírgula 8 2 3 2 5 3" xfId="8904" xr:uid="{CE4F1A14-364F-4211-BAC9-C4135D3C947E}"/>
    <cellStyle name="Vírgula 8 2 3 2 6" xfId="5387" xr:uid="{EEA67883-CF41-41CE-9115-6B3007C5A1D2}"/>
    <cellStyle name="Vírgula 8 2 3 2 7" xfId="8893" xr:uid="{B0BC10D3-541E-4548-B1B9-C9DBB1A95CA7}"/>
    <cellStyle name="Vírgula 8 2 3 3" xfId="5388" xr:uid="{CE4F56BE-4B2E-4D43-B15A-FC05FAE627FD}"/>
    <cellStyle name="Vírgula 8 2 3 3 2" xfId="5389" xr:uid="{09E52ECE-6FAE-489B-8C5C-4F8A602FCE89}"/>
    <cellStyle name="Vírgula 8 2 3 3 2 2" xfId="5390" xr:uid="{2F801103-15E4-4A9A-9F6C-6432CC20F107}"/>
    <cellStyle name="Vírgula 8 2 3 3 2 2 2" xfId="5391" xr:uid="{391EE61F-CA2A-48D1-B8EE-0155D292DB18}"/>
    <cellStyle name="Vírgula 8 2 3 3 2 2 2 2" xfId="5392" xr:uid="{E21FF548-E8B1-4F33-9ACE-A87C5654FEC9}"/>
    <cellStyle name="Vírgula 8 2 3 3 2 2 2 3" xfId="8908" xr:uid="{ED83ABCA-51E8-40F5-9B61-F21BD17C6A0B}"/>
    <cellStyle name="Vírgula 8 2 3 3 2 2 3" xfId="5393" xr:uid="{FDD594C5-84D8-4A06-B6D2-63DCF05E0D99}"/>
    <cellStyle name="Vírgula 8 2 3 3 2 2 4" xfId="8907" xr:uid="{607CEB2B-1808-4BB2-9F49-0D85DAFCC3C3}"/>
    <cellStyle name="Vírgula 8 2 3 3 2 3" xfId="5394" xr:uid="{3AFF77C9-8198-4CF7-A006-1F366D45FD4F}"/>
    <cellStyle name="Vírgula 8 2 3 3 2 3 2" xfId="5395" xr:uid="{2EE34912-738A-4057-8405-BF7957C1AF7F}"/>
    <cellStyle name="Vírgula 8 2 3 3 2 3 2 2" xfId="5396" xr:uid="{60F4D8EF-9A76-4926-B4EB-0AD2FE494279}"/>
    <cellStyle name="Vírgula 8 2 3 3 2 3 2 3" xfId="8910" xr:uid="{495723CD-56EE-4708-B6AB-F062C52B9913}"/>
    <cellStyle name="Vírgula 8 2 3 3 2 3 3" xfId="5397" xr:uid="{C4988BFA-520E-458D-AC38-991D15018A26}"/>
    <cellStyle name="Vírgula 8 2 3 3 2 3 4" xfId="8909" xr:uid="{241EA7FE-4E10-4A1D-A8DF-A0DC32124439}"/>
    <cellStyle name="Vírgula 8 2 3 3 2 4" xfId="5398" xr:uid="{77879946-A8CE-498F-820F-9AEB2D73452D}"/>
    <cellStyle name="Vírgula 8 2 3 3 2 4 2" xfId="5399" xr:uid="{D0EA9AA8-6F16-4A63-8C48-169F22799EB5}"/>
    <cellStyle name="Vírgula 8 2 3 3 2 4 3" xfId="8911" xr:uid="{4A663F04-15B9-49A2-98E2-D5A014605FA4}"/>
    <cellStyle name="Vírgula 8 2 3 3 2 5" xfId="5400" xr:uid="{0EC1E5A1-617B-4943-BD3C-E526E16B115A}"/>
    <cellStyle name="Vírgula 8 2 3 3 2 6" xfId="8906" xr:uid="{498A5D60-DE36-4164-A4B9-83738EA16AFB}"/>
    <cellStyle name="Vírgula 8 2 3 3 3" xfId="5401" xr:uid="{8EE27697-3406-4592-93BE-3DDA1E264370}"/>
    <cellStyle name="Vírgula 8 2 3 3 3 2" xfId="5402" xr:uid="{89061C21-84E0-44E2-A08D-AF6797359E08}"/>
    <cellStyle name="Vírgula 8 2 3 3 3 2 2" xfId="5403" xr:uid="{CBE0788B-AC5C-44C6-B417-E8462CD85E5F}"/>
    <cellStyle name="Vírgula 8 2 3 3 3 2 3" xfId="8913" xr:uid="{9386C393-0FBE-4CF5-B1DC-67815C07A223}"/>
    <cellStyle name="Vírgula 8 2 3 3 3 3" xfId="5404" xr:uid="{467265C7-CFE4-4535-8C86-6E03392E0D98}"/>
    <cellStyle name="Vírgula 8 2 3 3 3 4" xfId="8912" xr:uid="{76A1601C-3448-4510-821D-681E58D97B71}"/>
    <cellStyle name="Vírgula 8 2 3 3 4" xfId="5405" xr:uid="{E247F171-D90B-4B05-9538-27266AE5B48D}"/>
    <cellStyle name="Vírgula 8 2 3 3 4 2" xfId="5406" xr:uid="{1E379C3A-7669-45E6-BC45-EE2CE2F241B3}"/>
    <cellStyle name="Vírgula 8 2 3 3 4 2 2" xfId="5407" xr:uid="{71AE9830-E949-4C8E-B5DF-EA528BDAAF60}"/>
    <cellStyle name="Vírgula 8 2 3 3 4 2 3" xfId="8915" xr:uid="{F8FA3B6A-9377-48A3-A137-87410864AB5B}"/>
    <cellStyle name="Vírgula 8 2 3 3 4 3" xfId="5408" xr:uid="{25EE34FD-79F6-47CA-BB7B-9B5B75D3BEC6}"/>
    <cellStyle name="Vírgula 8 2 3 3 4 4" xfId="8914" xr:uid="{BB9B712A-6F87-41C0-80B6-09329517E96D}"/>
    <cellStyle name="Vírgula 8 2 3 3 5" xfId="5409" xr:uid="{74D91BA0-02A3-4565-B184-291BD704EECA}"/>
    <cellStyle name="Vírgula 8 2 3 3 5 2" xfId="5410" xr:uid="{6F7DF361-C778-446E-8DD3-7B5180EF4AB3}"/>
    <cellStyle name="Vírgula 8 2 3 3 5 3" xfId="8916" xr:uid="{8A94F329-5E86-4F23-AED0-86FAE529A6CA}"/>
    <cellStyle name="Vírgula 8 2 3 3 6" xfId="5411" xr:uid="{3F51DD9F-5753-4C01-8783-792F89C3200E}"/>
    <cellStyle name="Vírgula 8 2 3 3 7" xfId="8905" xr:uid="{90973FF9-4CAA-4727-9336-4533950EDFEC}"/>
    <cellStyle name="Vírgula 8 2 3 4" xfId="5412" xr:uid="{9C8DDD8E-3ABA-4502-9147-7E5B1F5F5061}"/>
    <cellStyle name="Vírgula 8 2 3 4 2" xfId="5413" xr:uid="{CC368121-AD74-4EC9-A237-D5549489897B}"/>
    <cellStyle name="Vírgula 8 2 3 4 2 2" xfId="5414" xr:uid="{0CAF2256-C96E-43D2-A4FA-EB0BAF2F97B9}"/>
    <cellStyle name="Vírgula 8 2 3 4 2 2 2" xfId="5415" xr:uid="{D5287534-9368-46F8-BE75-48A3773AD76D}"/>
    <cellStyle name="Vírgula 8 2 3 4 2 2 3" xfId="8919" xr:uid="{F0DE5817-0C64-4F16-BC03-67C154EA56CF}"/>
    <cellStyle name="Vírgula 8 2 3 4 2 3" xfId="5416" xr:uid="{1AD7A41C-7999-45EC-8B5A-C35BFB6AF9E1}"/>
    <cellStyle name="Vírgula 8 2 3 4 2 4" xfId="8918" xr:uid="{D2B8FA68-9E83-4917-87AA-71433A10B158}"/>
    <cellStyle name="Vírgula 8 2 3 4 3" xfId="5417" xr:uid="{9837099D-5A05-41F9-B091-8E4E0A9CDF5C}"/>
    <cellStyle name="Vírgula 8 2 3 4 3 2" xfId="5418" xr:uid="{6ECCAD87-3713-4196-B8B4-C66F2AF2A905}"/>
    <cellStyle name="Vírgula 8 2 3 4 3 2 2" xfId="5419" xr:uid="{32AD8D19-143A-4D6E-B76D-A43441B48E67}"/>
    <cellStyle name="Vírgula 8 2 3 4 3 2 3" xfId="8921" xr:uid="{F7A46BB9-1556-43D0-91FC-DE2427DB26CD}"/>
    <cellStyle name="Vírgula 8 2 3 4 3 3" xfId="5420" xr:uid="{B07E2B73-151C-4998-B74D-40C6594A2C7A}"/>
    <cellStyle name="Vírgula 8 2 3 4 3 4" xfId="8920" xr:uid="{871118FF-F0C4-44B8-8E22-5138400F4EAF}"/>
    <cellStyle name="Vírgula 8 2 3 4 4" xfId="5421" xr:uid="{95C7519C-2E99-48FC-9D94-1B70AAABF57A}"/>
    <cellStyle name="Vírgula 8 2 3 4 4 2" xfId="5422" xr:uid="{48CDA130-9A93-4A2D-910C-45F245C6F71C}"/>
    <cellStyle name="Vírgula 8 2 3 4 4 3" xfId="8922" xr:uid="{B3DF9771-8587-4B03-8358-A1E4F127E583}"/>
    <cellStyle name="Vírgula 8 2 3 4 5" xfId="5423" xr:uid="{E31B7366-9F82-413B-AF44-81B20F5F12A3}"/>
    <cellStyle name="Vírgula 8 2 3 4 6" xfId="8917" xr:uid="{603AE918-2B16-410A-B679-2D3CD2B1BAA9}"/>
    <cellStyle name="Vírgula 8 2 3 5" xfId="5424" xr:uid="{3A00AE78-C88F-4D49-A975-6AEA3DB77944}"/>
    <cellStyle name="Vírgula 8 2 3 5 2" xfId="5425" xr:uid="{F05AA279-CAE8-471F-92B8-13A515F7788B}"/>
    <cellStyle name="Vírgula 8 2 3 5 2 2" xfId="5426" xr:uid="{B4E6E997-8E4E-4318-8A63-8538736C3975}"/>
    <cellStyle name="Vírgula 8 2 3 5 2 3" xfId="8924" xr:uid="{1DB06C30-7403-414E-8EAF-1E1015D1327D}"/>
    <cellStyle name="Vírgula 8 2 3 5 3" xfId="5427" xr:uid="{CF4F0689-5815-4621-B9F3-AAF904BF343D}"/>
    <cellStyle name="Vírgula 8 2 3 5 4" xfId="8923" xr:uid="{A5D61DAF-DEA8-45B7-997F-4BFE0653B350}"/>
    <cellStyle name="Vírgula 8 2 3 6" xfId="5428" xr:uid="{FE8ADF0D-9BC7-49F7-B549-377447416179}"/>
    <cellStyle name="Vírgula 8 2 3 6 2" xfId="5429" xr:uid="{8D421CD2-7984-49E8-AEA3-F67073055CF7}"/>
    <cellStyle name="Vírgula 8 2 3 6 2 2" xfId="5430" xr:uid="{F88AC30D-904C-4FB0-A21A-1214E2172698}"/>
    <cellStyle name="Vírgula 8 2 3 6 2 3" xfId="8926" xr:uid="{6EBA5774-ADE8-40E3-8DC4-F99034B7E116}"/>
    <cellStyle name="Vírgula 8 2 3 6 3" xfId="5431" xr:uid="{71A8A5FB-9028-40BF-B3FD-D610EB76FF00}"/>
    <cellStyle name="Vírgula 8 2 3 6 4" xfId="8925" xr:uid="{9D187806-AF5F-4DFA-9363-6454FCAC9277}"/>
    <cellStyle name="Vírgula 8 2 3 7" xfId="5432" xr:uid="{FD97D9E5-C68D-42BC-87A6-706863C7D11D}"/>
    <cellStyle name="Vírgula 8 2 3 7 2" xfId="5433" xr:uid="{A5FDFA97-CC3B-44B8-AA9D-07A09BE1A8AF}"/>
    <cellStyle name="Vírgula 8 2 3 7 3" xfId="8927" xr:uid="{62241704-6FF1-461B-9790-71E3338AD3EB}"/>
    <cellStyle name="Vírgula 8 2 3 8" xfId="5434" xr:uid="{0F8A4719-07C5-4B39-A3DC-609D4B045394}"/>
    <cellStyle name="Vírgula 8 2 3 9" xfId="8892" xr:uid="{97A40F18-991B-47CF-ADDC-2AAEA4A40DF2}"/>
    <cellStyle name="Vírgula 8 2 4" xfId="5435" xr:uid="{4D825D39-3D6B-4475-B428-E162ED539428}"/>
    <cellStyle name="Vírgula 8 2 4 2" xfId="5436" xr:uid="{EFDC8C21-0980-4900-8DBE-C942DF486EBA}"/>
    <cellStyle name="Vírgula 8 2 4 2 2" xfId="5437" xr:uid="{74CBBDE4-1509-4468-88E8-FEEA5D21BB50}"/>
    <cellStyle name="Vírgula 8 2 4 2 2 2" xfId="5438" xr:uid="{570CE9EB-7FFA-41FC-AD6B-7839D56E8546}"/>
    <cellStyle name="Vírgula 8 2 4 2 2 2 2" xfId="5439" xr:uid="{70BB62A6-FD39-4EE3-B88E-4541A148B26A}"/>
    <cellStyle name="Vírgula 8 2 4 2 2 2 2 2" xfId="5440" xr:uid="{1F9FEE07-141F-4E6E-BCA6-024F6BAAF800}"/>
    <cellStyle name="Vírgula 8 2 4 2 2 2 2 3" xfId="8932" xr:uid="{271656D3-692C-446C-A102-31FA84AD29CF}"/>
    <cellStyle name="Vírgula 8 2 4 2 2 2 3" xfId="5441" xr:uid="{7276B294-7F2B-4434-A45A-B3B7BF066078}"/>
    <cellStyle name="Vírgula 8 2 4 2 2 2 4" xfId="8931" xr:uid="{BD018E30-6B45-4B30-966E-AD282B85BAB8}"/>
    <cellStyle name="Vírgula 8 2 4 2 2 3" xfId="5442" xr:uid="{F304FBE5-D02E-4117-8537-27EB1B6B6789}"/>
    <cellStyle name="Vírgula 8 2 4 2 2 3 2" xfId="5443" xr:uid="{D3741A59-0647-4581-9876-AAE7E2F0AC62}"/>
    <cellStyle name="Vírgula 8 2 4 2 2 3 2 2" xfId="5444" xr:uid="{DB2C800C-9E59-492C-B249-2305747C26F3}"/>
    <cellStyle name="Vírgula 8 2 4 2 2 3 2 3" xfId="8934" xr:uid="{3A154FA6-FD80-4BA7-9FD0-F978B3D62F6F}"/>
    <cellStyle name="Vírgula 8 2 4 2 2 3 3" xfId="5445" xr:uid="{CD697B82-BCCE-4257-9103-BFB961E82ECC}"/>
    <cellStyle name="Vírgula 8 2 4 2 2 3 4" xfId="8933" xr:uid="{7F603F1D-8E41-4AB8-A22D-3A28A580C80E}"/>
    <cellStyle name="Vírgula 8 2 4 2 2 4" xfId="5446" xr:uid="{8E28DC5F-1FCA-4D2E-B785-720D9FDC881C}"/>
    <cellStyle name="Vírgula 8 2 4 2 2 4 2" xfId="5447" xr:uid="{CDD1EE9F-E475-47C6-9F36-E9CE8F7E7AFB}"/>
    <cellStyle name="Vírgula 8 2 4 2 2 4 3" xfId="8935" xr:uid="{907D5608-66AD-469C-AB84-4906094578FC}"/>
    <cellStyle name="Vírgula 8 2 4 2 2 5" xfId="5448" xr:uid="{86062071-DFA7-4FA3-A451-410592AA0B40}"/>
    <cellStyle name="Vírgula 8 2 4 2 2 6" xfId="8930" xr:uid="{3DB385C8-EAAD-4D24-8FA7-11F252361A23}"/>
    <cellStyle name="Vírgula 8 2 4 2 3" xfId="5449" xr:uid="{1B8DD7C7-A4BD-4B90-93E4-4DBCE470F0C7}"/>
    <cellStyle name="Vírgula 8 2 4 2 3 2" xfId="5450" xr:uid="{4EEECCA3-B593-4981-98DE-35ED98D63DFD}"/>
    <cellStyle name="Vírgula 8 2 4 2 3 2 2" xfId="5451" xr:uid="{F1D0DB3E-8C5F-49D2-9F8B-70E020BDDD03}"/>
    <cellStyle name="Vírgula 8 2 4 2 3 2 3" xfId="8937" xr:uid="{0AAA80F1-95E0-4206-93EC-F79899F221E0}"/>
    <cellStyle name="Vírgula 8 2 4 2 3 3" xfId="5452" xr:uid="{F0CA9531-DB2A-4614-8181-4F1B52F7FC3D}"/>
    <cellStyle name="Vírgula 8 2 4 2 3 4" xfId="8936" xr:uid="{CA1D6048-2188-48C8-A1C5-79435A4C111A}"/>
    <cellStyle name="Vírgula 8 2 4 2 4" xfId="5453" xr:uid="{F2C4156A-4B17-470F-BC5D-2D178F403597}"/>
    <cellStyle name="Vírgula 8 2 4 2 4 2" xfId="5454" xr:uid="{06DF1284-24DD-4EAE-AAEB-5D8A1CF02CD7}"/>
    <cellStyle name="Vírgula 8 2 4 2 4 2 2" xfId="5455" xr:uid="{186A7F21-66A4-41E9-B725-0E74181DFDB0}"/>
    <cellStyle name="Vírgula 8 2 4 2 4 2 3" xfId="8939" xr:uid="{ABE8DE8B-C171-4DA8-B88B-0DBC8F1BA5E1}"/>
    <cellStyle name="Vírgula 8 2 4 2 4 3" xfId="5456" xr:uid="{0A75B785-A8D6-4018-BA6A-6F7692294A28}"/>
    <cellStyle name="Vírgula 8 2 4 2 4 4" xfId="8938" xr:uid="{D155E745-1724-4CEA-8757-CE84CEB6A764}"/>
    <cellStyle name="Vírgula 8 2 4 2 5" xfId="5457" xr:uid="{1E8878F1-5C61-4E54-83E8-1D687D358858}"/>
    <cellStyle name="Vírgula 8 2 4 2 5 2" xfId="5458" xr:uid="{E03C4F70-86A1-4D1F-B9AE-73BAE5585E4F}"/>
    <cellStyle name="Vírgula 8 2 4 2 5 3" xfId="8940" xr:uid="{BCF29086-77EB-4AEB-BA32-48A864B9038D}"/>
    <cellStyle name="Vírgula 8 2 4 2 6" xfId="5459" xr:uid="{97E5CB3E-9883-49C6-8FA9-03CD5917DABA}"/>
    <cellStyle name="Vírgula 8 2 4 2 7" xfId="8929" xr:uid="{7414868A-C253-42AE-BBD5-25CD6D0704CB}"/>
    <cellStyle name="Vírgula 8 2 4 3" xfId="5460" xr:uid="{91E276C7-41D0-48BF-A2FE-FF75D8FA14A5}"/>
    <cellStyle name="Vírgula 8 2 4 3 2" xfId="5461" xr:uid="{AAE708A6-4F6C-4F66-8883-2DE1BB9A3EC0}"/>
    <cellStyle name="Vírgula 8 2 4 3 2 2" xfId="5462" xr:uid="{CB140A70-323A-4F98-A45F-6068E398BB36}"/>
    <cellStyle name="Vírgula 8 2 4 3 2 2 2" xfId="5463" xr:uid="{8DE3249A-9612-461D-BC01-39DDA0FA2969}"/>
    <cellStyle name="Vírgula 8 2 4 3 2 2 2 2" xfId="5464" xr:uid="{3D3B008B-C7EA-4422-8970-B9F5A026C2DC}"/>
    <cellStyle name="Vírgula 8 2 4 3 2 2 2 3" xfId="8944" xr:uid="{0E94D3CE-4BB5-41D6-995E-DDB9ABF00D86}"/>
    <cellStyle name="Vírgula 8 2 4 3 2 2 3" xfId="5465" xr:uid="{606D966B-1B95-4DD8-B572-A28B1867C350}"/>
    <cellStyle name="Vírgula 8 2 4 3 2 2 4" xfId="8943" xr:uid="{CDAD3D34-8323-4B18-B992-2859645CE342}"/>
    <cellStyle name="Vírgula 8 2 4 3 2 3" xfId="5466" xr:uid="{462019C6-0163-408D-84F6-5C0DBE313A8C}"/>
    <cellStyle name="Vírgula 8 2 4 3 2 3 2" xfId="5467" xr:uid="{CAC88802-83BA-4812-BE61-E6A7C1214456}"/>
    <cellStyle name="Vírgula 8 2 4 3 2 3 2 2" xfId="5468" xr:uid="{7BA4B4D2-DAAE-45A1-947E-0A447C9F1375}"/>
    <cellStyle name="Vírgula 8 2 4 3 2 3 2 3" xfId="8946" xr:uid="{F48FE32D-7393-45F3-B7B5-4795CB225125}"/>
    <cellStyle name="Vírgula 8 2 4 3 2 3 3" xfId="5469" xr:uid="{580796C9-F5A5-49E4-AC32-B2EF630FFBFB}"/>
    <cellStyle name="Vírgula 8 2 4 3 2 3 4" xfId="8945" xr:uid="{E0EB916D-AFC0-413C-921A-AD7C34FA71FA}"/>
    <cellStyle name="Vírgula 8 2 4 3 2 4" xfId="5470" xr:uid="{300D12BB-F05B-48C0-8C75-309682A3221F}"/>
    <cellStyle name="Vírgula 8 2 4 3 2 4 2" xfId="5471" xr:uid="{4DB6E940-0A1D-4FBE-968E-DE445F4E3E09}"/>
    <cellStyle name="Vírgula 8 2 4 3 2 4 3" xfId="8947" xr:uid="{95400690-B27B-4077-8811-4008548A53A8}"/>
    <cellStyle name="Vírgula 8 2 4 3 2 5" xfId="5472" xr:uid="{CFF7AA10-F746-4098-BA14-2CAC1953D110}"/>
    <cellStyle name="Vírgula 8 2 4 3 2 6" xfId="8942" xr:uid="{0048A575-E634-4166-BECF-0D05988F9865}"/>
    <cellStyle name="Vírgula 8 2 4 3 3" xfId="5473" xr:uid="{2045800C-9A7A-418D-9F81-2DD5712AAAA4}"/>
    <cellStyle name="Vírgula 8 2 4 3 3 2" xfId="5474" xr:uid="{9CDB2B8E-29B4-4DDA-9DED-6936492CE652}"/>
    <cellStyle name="Vírgula 8 2 4 3 3 2 2" xfId="5475" xr:uid="{33691163-944C-4131-B2C5-AFF2F78957CE}"/>
    <cellStyle name="Vírgula 8 2 4 3 3 2 3" xfId="8949" xr:uid="{050CE6DF-5BA6-4A43-85FA-4B6E6DBCFBCB}"/>
    <cellStyle name="Vírgula 8 2 4 3 3 3" xfId="5476" xr:uid="{9EC2771D-32E3-4A9A-84D5-1AC8611880BB}"/>
    <cellStyle name="Vírgula 8 2 4 3 3 4" xfId="8948" xr:uid="{A5C31E3E-B75F-43CD-8DC3-310753273175}"/>
    <cellStyle name="Vírgula 8 2 4 3 4" xfId="5477" xr:uid="{1129E1CD-B855-4087-98E2-E5CD4EFAA182}"/>
    <cellStyle name="Vírgula 8 2 4 3 4 2" xfId="5478" xr:uid="{E711E692-E4ED-4C12-A59E-9823CECC8763}"/>
    <cellStyle name="Vírgula 8 2 4 3 4 2 2" xfId="5479" xr:uid="{496A8AD4-DDFB-476A-98ED-EA4271902354}"/>
    <cellStyle name="Vírgula 8 2 4 3 4 2 3" xfId="8951" xr:uid="{FB9F5D45-2276-4656-8473-B35CC263DFB3}"/>
    <cellStyle name="Vírgula 8 2 4 3 4 3" xfId="5480" xr:uid="{DE36E097-4845-4A7B-9DF4-A122D61C6883}"/>
    <cellStyle name="Vírgula 8 2 4 3 4 4" xfId="8950" xr:uid="{AF292097-DCC5-41F7-8606-7951C6EDB22B}"/>
    <cellStyle name="Vírgula 8 2 4 3 5" xfId="5481" xr:uid="{DAA88865-363E-492D-AC36-55792FAE3675}"/>
    <cellStyle name="Vírgula 8 2 4 3 5 2" xfId="5482" xr:uid="{22D9B390-24E3-43C3-9FF8-3C2617228B1D}"/>
    <cellStyle name="Vírgula 8 2 4 3 5 3" xfId="8952" xr:uid="{A3116978-9A44-4A8D-B099-273C90236E68}"/>
    <cellStyle name="Vírgula 8 2 4 3 6" xfId="5483" xr:uid="{A059EA7F-AA8F-4D8B-AC2A-E438E455DF55}"/>
    <cellStyle name="Vírgula 8 2 4 3 7" xfId="8941" xr:uid="{959D3D41-1AE0-4872-B382-74C19E3421E6}"/>
    <cellStyle name="Vírgula 8 2 4 4" xfId="5484" xr:uid="{2AE648A6-10E1-41E6-AABE-589E9ED71F75}"/>
    <cellStyle name="Vírgula 8 2 4 4 2" xfId="5485" xr:uid="{26CC5CF2-9620-43A8-9BEA-2CEDFA97175A}"/>
    <cellStyle name="Vírgula 8 2 4 4 2 2" xfId="5486" xr:uid="{AAC41E8A-FE8A-41E9-A48D-62DCC846BE5B}"/>
    <cellStyle name="Vírgula 8 2 4 4 2 2 2" xfId="5487" xr:uid="{03ADCBDC-4C91-44D5-8A18-3968686BB8C2}"/>
    <cellStyle name="Vírgula 8 2 4 4 2 2 3" xfId="8955" xr:uid="{D18B97E6-0DBB-4E83-80E7-D000AC5DBB82}"/>
    <cellStyle name="Vírgula 8 2 4 4 2 3" xfId="5488" xr:uid="{F0D2C8BC-C83A-42CE-A0F0-3BB36068C470}"/>
    <cellStyle name="Vírgula 8 2 4 4 2 4" xfId="8954" xr:uid="{A87B1D2E-F115-492F-AC1A-47362E6AB21B}"/>
    <cellStyle name="Vírgula 8 2 4 4 3" xfId="5489" xr:uid="{9931BE1A-346D-4755-97B5-D44C34A71ADB}"/>
    <cellStyle name="Vírgula 8 2 4 4 3 2" xfId="5490" xr:uid="{B3BED104-E5F0-4FD0-8F69-D13798DBB115}"/>
    <cellStyle name="Vírgula 8 2 4 4 3 2 2" xfId="5491" xr:uid="{F255A9F9-EDFE-481E-90EC-73AD3CA9DB23}"/>
    <cellStyle name="Vírgula 8 2 4 4 3 2 3" xfId="8957" xr:uid="{E3C0A447-7F09-4D73-80AF-F588B7725E72}"/>
    <cellStyle name="Vírgula 8 2 4 4 3 3" xfId="5492" xr:uid="{7AE8D4AF-58A1-4E27-8F80-FC782546BC79}"/>
    <cellStyle name="Vírgula 8 2 4 4 3 4" xfId="8956" xr:uid="{07DE2F6E-094F-4452-816E-DD9A63FEB86E}"/>
    <cellStyle name="Vírgula 8 2 4 4 4" xfId="5493" xr:uid="{05123C51-6C5E-42A3-8D7E-6B6728F12627}"/>
    <cellStyle name="Vírgula 8 2 4 4 4 2" xfId="5494" xr:uid="{CB50CF28-2FFE-4E76-B26B-536EC25478DC}"/>
    <cellStyle name="Vírgula 8 2 4 4 4 3" xfId="8958" xr:uid="{42C50A29-A8D1-4F91-B622-C8A67C487898}"/>
    <cellStyle name="Vírgula 8 2 4 4 5" xfId="5495" xr:uid="{A07D87AE-62F2-4141-A50B-E3DE3FB920B7}"/>
    <cellStyle name="Vírgula 8 2 4 4 6" xfId="8953" xr:uid="{856FC8E7-B61A-48B0-B1A3-4D98B0B05E6F}"/>
    <cellStyle name="Vírgula 8 2 4 5" xfId="5496" xr:uid="{CF74491D-0C95-4432-AF33-8AACDCCF489F}"/>
    <cellStyle name="Vírgula 8 2 4 5 2" xfId="5497" xr:uid="{3E62CF94-A9E3-4F68-AFAA-8BD9849F6762}"/>
    <cellStyle name="Vírgula 8 2 4 5 2 2" xfId="5498" xr:uid="{F3F0E8D1-3C50-41BE-8916-48709FBE897F}"/>
    <cellStyle name="Vírgula 8 2 4 5 2 3" xfId="8960" xr:uid="{518D79BD-1EC4-4A34-B259-428285A0B56E}"/>
    <cellStyle name="Vírgula 8 2 4 5 3" xfId="5499" xr:uid="{2F05475C-5475-4CB9-9D9A-2083E6CD36EF}"/>
    <cellStyle name="Vírgula 8 2 4 5 4" xfId="8959" xr:uid="{76941F53-6664-4228-BCAE-41B65F34E40E}"/>
    <cellStyle name="Vírgula 8 2 4 6" xfId="5500" xr:uid="{28D693D4-D574-456C-9501-54CB86C82282}"/>
    <cellStyle name="Vírgula 8 2 4 6 2" xfId="5501" xr:uid="{C7587D2B-D20E-4D9D-A20E-E5225CCA26AF}"/>
    <cellStyle name="Vírgula 8 2 4 6 2 2" xfId="5502" xr:uid="{9B245B81-B358-4E96-8220-F1058712B59D}"/>
    <cellStyle name="Vírgula 8 2 4 6 2 3" xfId="8962" xr:uid="{1DF844FA-0764-4863-B1C2-B988EE38C1D1}"/>
    <cellStyle name="Vírgula 8 2 4 6 3" xfId="5503" xr:uid="{6D2B8E96-426C-4032-B7C2-53ABC244F404}"/>
    <cellStyle name="Vírgula 8 2 4 6 4" xfId="8961" xr:uid="{86390AC7-DAAE-491C-A887-1B0454A78AEF}"/>
    <cellStyle name="Vírgula 8 2 4 7" xfId="5504" xr:uid="{52FB47C3-3FC3-44B2-866C-3AF067C3AD48}"/>
    <cellStyle name="Vírgula 8 2 4 7 2" xfId="5505" xr:uid="{AE97F7C3-9611-4D13-88F4-D120EDE93D90}"/>
    <cellStyle name="Vírgula 8 2 4 7 3" xfId="8963" xr:uid="{9AC63C41-506C-4493-8596-9FF9F097E824}"/>
    <cellStyle name="Vírgula 8 2 4 8" xfId="5506" xr:uid="{CDEEBED3-64CB-4DE6-A507-F246D5E33F3E}"/>
    <cellStyle name="Vírgula 8 2 4 9" xfId="8928" xr:uid="{653C1BB4-596F-4170-ACF0-742889C3937D}"/>
    <cellStyle name="Vírgula 8 2 5" xfId="5507" xr:uid="{B046F460-F964-455E-943E-E52D33BCD68B}"/>
    <cellStyle name="Vírgula 8 2 5 2" xfId="5508" xr:uid="{4EB6E423-0BB3-4DDB-8E26-0CB2224E4239}"/>
    <cellStyle name="Vírgula 8 2 5 2 2" xfId="5509" xr:uid="{2C60859C-3D1E-4C03-8FF7-D74B5C78C737}"/>
    <cellStyle name="Vírgula 8 2 5 2 2 2" xfId="5510" xr:uid="{6FAFE40B-CB91-42AB-8304-6D26B0DDB9B2}"/>
    <cellStyle name="Vírgula 8 2 5 2 2 2 2" xfId="5511" xr:uid="{B4DE7BE8-8817-44FD-B656-DABAA580225F}"/>
    <cellStyle name="Vírgula 8 2 5 2 2 2 2 2" xfId="5512" xr:uid="{9A05FD95-D592-45EA-B516-5D62444E9076}"/>
    <cellStyle name="Vírgula 8 2 5 2 2 2 2 3" xfId="8968" xr:uid="{B1BEA7F9-99B1-4A5D-A26D-9FC4EEBE4320}"/>
    <cellStyle name="Vírgula 8 2 5 2 2 2 3" xfId="5513" xr:uid="{5F600947-242B-4B35-87E7-93FA93374FB4}"/>
    <cellStyle name="Vírgula 8 2 5 2 2 2 4" xfId="8967" xr:uid="{82CD257A-97DE-4B13-AAD4-ABDEB920CEB9}"/>
    <cellStyle name="Vírgula 8 2 5 2 2 3" xfId="5514" xr:uid="{4FB4EBCE-4A62-42E9-97C7-79C67CDFEDD6}"/>
    <cellStyle name="Vírgula 8 2 5 2 2 3 2" xfId="5515" xr:uid="{09460ACB-F2B3-403E-A316-E44825199046}"/>
    <cellStyle name="Vírgula 8 2 5 2 2 3 2 2" xfId="5516" xr:uid="{03BE10D6-157F-472D-ACA7-6B40CE3BE8B7}"/>
    <cellStyle name="Vírgula 8 2 5 2 2 3 2 3" xfId="8970" xr:uid="{4FE4AE07-96BE-44EF-AE0C-9B8720574C5A}"/>
    <cellStyle name="Vírgula 8 2 5 2 2 3 3" xfId="5517" xr:uid="{48C56392-C6BF-4203-95F9-2EFDB7ED564B}"/>
    <cellStyle name="Vírgula 8 2 5 2 2 3 4" xfId="8969" xr:uid="{1AC0DF2A-99E7-47C3-B195-CFFD55954888}"/>
    <cellStyle name="Vírgula 8 2 5 2 2 4" xfId="5518" xr:uid="{1EEF7211-E432-4016-BF47-BF82A9D46816}"/>
    <cellStyle name="Vírgula 8 2 5 2 2 4 2" xfId="5519" xr:uid="{D2D2121B-0C8A-4EB5-992F-8065B15A7ED6}"/>
    <cellStyle name="Vírgula 8 2 5 2 2 4 3" xfId="8971" xr:uid="{865F4DA6-6EE3-4A2B-9ABB-CB0F8559077F}"/>
    <cellStyle name="Vírgula 8 2 5 2 2 5" xfId="5520" xr:uid="{727A1AEB-34B4-4109-ACC4-79FA133B6225}"/>
    <cellStyle name="Vírgula 8 2 5 2 2 6" xfId="8966" xr:uid="{59FCAEAD-64B0-489B-AE15-025697329AFD}"/>
    <cellStyle name="Vírgula 8 2 5 2 3" xfId="5521" xr:uid="{8A3E597B-B394-45D4-86D3-C65CE3953898}"/>
    <cellStyle name="Vírgula 8 2 5 2 3 2" xfId="5522" xr:uid="{32281992-2846-47A2-8D7F-50E7FA0CE243}"/>
    <cellStyle name="Vírgula 8 2 5 2 3 2 2" xfId="5523" xr:uid="{F822D47F-3790-4583-8413-56733AC5CA4D}"/>
    <cellStyle name="Vírgula 8 2 5 2 3 2 3" xfId="8973" xr:uid="{D8B0A684-2315-4A05-892F-9CA632F3AF3E}"/>
    <cellStyle name="Vírgula 8 2 5 2 3 3" xfId="5524" xr:uid="{23ED507F-45BF-4795-AA29-CE89C8D10722}"/>
    <cellStyle name="Vírgula 8 2 5 2 3 4" xfId="8972" xr:uid="{B4FCACF5-30C8-4765-BF16-5F041271C6C9}"/>
    <cellStyle name="Vírgula 8 2 5 2 4" xfId="5525" xr:uid="{92F87666-CDB9-45BC-A42A-588FC316207C}"/>
    <cellStyle name="Vírgula 8 2 5 2 4 2" xfId="5526" xr:uid="{AEC76607-5713-4859-B34D-BD5644A530ED}"/>
    <cellStyle name="Vírgula 8 2 5 2 4 2 2" xfId="5527" xr:uid="{D558DFDE-27A5-4245-AB78-AF6EDD3DA339}"/>
    <cellStyle name="Vírgula 8 2 5 2 4 2 3" xfId="8975" xr:uid="{1D1441E6-7B1D-4330-B6BA-54C524D37482}"/>
    <cellStyle name="Vírgula 8 2 5 2 4 3" xfId="5528" xr:uid="{2E25DD0B-CE8D-4A49-A5F2-4E43AA520E77}"/>
    <cellStyle name="Vírgula 8 2 5 2 4 4" xfId="8974" xr:uid="{6B5CF707-793C-4D8F-B30C-4B14FEA2994D}"/>
    <cellStyle name="Vírgula 8 2 5 2 5" xfId="5529" xr:uid="{33EA19D1-D101-4C5A-A20B-6CED64F437D7}"/>
    <cellStyle name="Vírgula 8 2 5 2 5 2" xfId="5530" xr:uid="{C2354865-0B36-4F69-AF69-0738C427BEF6}"/>
    <cellStyle name="Vírgula 8 2 5 2 5 3" xfId="8976" xr:uid="{C535DA9E-F484-408C-A88A-08FF9074E039}"/>
    <cellStyle name="Vírgula 8 2 5 2 6" xfId="5531" xr:uid="{153356F1-11D1-4423-BE91-324F741DD415}"/>
    <cellStyle name="Vírgula 8 2 5 2 7" xfId="8965" xr:uid="{1125D184-68BF-4A4D-B549-7BEACBD8BA6C}"/>
    <cellStyle name="Vírgula 8 2 5 3" xfId="5532" xr:uid="{6B48EA36-8A66-40EB-8ED8-140820261152}"/>
    <cellStyle name="Vírgula 8 2 5 3 2" xfId="5533" xr:uid="{7A6BA2E4-DE2B-498E-85C8-71F90881CF33}"/>
    <cellStyle name="Vírgula 8 2 5 3 2 2" xfId="5534" xr:uid="{D8902B7E-7AD3-4539-A11C-908CF429231F}"/>
    <cellStyle name="Vírgula 8 2 5 3 2 2 2" xfId="5535" xr:uid="{F8275F75-9FA1-4969-88E7-29FF7999E9D5}"/>
    <cellStyle name="Vírgula 8 2 5 3 2 2 2 2" xfId="5536" xr:uid="{6BE9733F-B9E7-4239-B611-0C88107D9937}"/>
    <cellStyle name="Vírgula 8 2 5 3 2 2 2 3" xfId="8980" xr:uid="{379187C5-231E-4A6B-A0C0-5DE417A9BAE7}"/>
    <cellStyle name="Vírgula 8 2 5 3 2 2 3" xfId="5537" xr:uid="{D4828FC5-D531-4F41-8E31-EF55E4E0BAD5}"/>
    <cellStyle name="Vírgula 8 2 5 3 2 2 4" xfId="8979" xr:uid="{8D1E0283-4D95-4509-80EF-B4058D49D165}"/>
    <cellStyle name="Vírgula 8 2 5 3 2 3" xfId="5538" xr:uid="{87E5D299-D67E-447A-BD8C-9A00E0256179}"/>
    <cellStyle name="Vírgula 8 2 5 3 2 3 2" xfId="5539" xr:uid="{41C02683-E42C-499E-9C3B-990F4AFA3C4D}"/>
    <cellStyle name="Vírgula 8 2 5 3 2 3 2 2" xfId="5540" xr:uid="{0DB36F0E-5ED2-4091-BE08-AB93F4B18C09}"/>
    <cellStyle name="Vírgula 8 2 5 3 2 3 2 3" xfId="8982" xr:uid="{B8AC2B50-F206-4D7D-A305-C9CB56E3BA45}"/>
    <cellStyle name="Vírgula 8 2 5 3 2 3 3" xfId="5541" xr:uid="{EBEBAF61-5C16-4EC7-B240-DB6D5AD342D2}"/>
    <cellStyle name="Vírgula 8 2 5 3 2 3 4" xfId="8981" xr:uid="{727C2B3D-5B24-4068-8DBA-AE853F7EB1ED}"/>
    <cellStyle name="Vírgula 8 2 5 3 2 4" xfId="5542" xr:uid="{9ABAB11E-A186-450F-93CA-D9772A154DAE}"/>
    <cellStyle name="Vírgula 8 2 5 3 2 4 2" xfId="5543" xr:uid="{5BDB1263-CEE9-4F16-A48B-8217932DD149}"/>
    <cellStyle name="Vírgula 8 2 5 3 2 4 3" xfId="8983" xr:uid="{9EFF473E-589B-4530-9D97-FDE260FD82A4}"/>
    <cellStyle name="Vírgula 8 2 5 3 2 5" xfId="5544" xr:uid="{B83E02A5-3A17-4F7F-8C02-BC3E5E25E4C1}"/>
    <cellStyle name="Vírgula 8 2 5 3 2 6" xfId="8978" xr:uid="{7F1FB126-A478-41E7-954B-74183B59AC85}"/>
    <cellStyle name="Vírgula 8 2 5 3 3" xfId="5545" xr:uid="{EC56D688-8959-4C3F-9EC2-8B71F55A0366}"/>
    <cellStyle name="Vírgula 8 2 5 3 3 2" xfId="5546" xr:uid="{A51C2A10-54C7-4A48-B418-9C9B11178ECB}"/>
    <cellStyle name="Vírgula 8 2 5 3 3 2 2" xfId="5547" xr:uid="{DBCF7A0C-0C94-4F01-8617-AC08ED333D95}"/>
    <cellStyle name="Vírgula 8 2 5 3 3 2 3" xfId="8985" xr:uid="{1D25344F-D5B2-4B59-A453-B52D7216FB4B}"/>
    <cellStyle name="Vírgula 8 2 5 3 3 3" xfId="5548" xr:uid="{491A1FB7-456E-4887-9DA3-74BAF27869E1}"/>
    <cellStyle name="Vírgula 8 2 5 3 3 4" xfId="8984" xr:uid="{C280ABFC-A5D5-424B-987A-9AD1491051CC}"/>
    <cellStyle name="Vírgula 8 2 5 3 4" xfId="5549" xr:uid="{EE3B0374-34D8-4966-8A42-49585DDFEB99}"/>
    <cellStyle name="Vírgula 8 2 5 3 4 2" xfId="5550" xr:uid="{CE3D9FC0-1313-41D0-B4EC-4B2938A0E101}"/>
    <cellStyle name="Vírgula 8 2 5 3 4 2 2" xfId="5551" xr:uid="{FF149A13-EA1A-4D91-99B4-C1CA4EEEED23}"/>
    <cellStyle name="Vírgula 8 2 5 3 4 2 3" xfId="8987" xr:uid="{93E66F70-0509-4BA3-9BC0-963A606AFBF0}"/>
    <cellStyle name="Vírgula 8 2 5 3 4 3" xfId="5552" xr:uid="{C7B54210-14AB-44AD-B929-8D28D3093093}"/>
    <cellStyle name="Vírgula 8 2 5 3 4 4" xfId="8986" xr:uid="{CD135637-8386-4C64-9BF4-3D11218589BC}"/>
    <cellStyle name="Vírgula 8 2 5 3 5" xfId="5553" xr:uid="{8B54F264-132D-40F9-8169-3950B5C70775}"/>
    <cellStyle name="Vírgula 8 2 5 3 5 2" xfId="5554" xr:uid="{F4E58521-355A-48FE-8F20-0B86890B1E9C}"/>
    <cellStyle name="Vírgula 8 2 5 3 5 3" xfId="8988" xr:uid="{F8F94800-0F16-400E-8777-413FE3307468}"/>
    <cellStyle name="Vírgula 8 2 5 3 6" xfId="5555" xr:uid="{A21CC2EF-FE7D-4B49-B2C3-D59FB0A16BA8}"/>
    <cellStyle name="Vírgula 8 2 5 3 7" xfId="8977" xr:uid="{298A8CFC-E852-4A7D-9BA1-21BFA9081987}"/>
    <cellStyle name="Vírgula 8 2 5 4" xfId="5556" xr:uid="{68E41876-2F57-4474-A020-3A562D360C48}"/>
    <cellStyle name="Vírgula 8 2 5 4 2" xfId="5557" xr:uid="{6EA3CC0B-68F4-4255-BEDC-5D2F55DC846B}"/>
    <cellStyle name="Vírgula 8 2 5 4 2 2" xfId="5558" xr:uid="{BBEF3E49-5BA8-4778-866B-BE47B7C07290}"/>
    <cellStyle name="Vírgula 8 2 5 4 2 2 2" xfId="5559" xr:uid="{48724A9B-4191-4376-8A1F-5C3C6F1CD5CF}"/>
    <cellStyle name="Vírgula 8 2 5 4 2 2 3" xfId="8991" xr:uid="{C789B5A2-8B3A-4A51-97EA-250FC1E88316}"/>
    <cellStyle name="Vírgula 8 2 5 4 2 3" xfId="5560" xr:uid="{40918817-DEDB-4AB6-B448-52C8441830DF}"/>
    <cellStyle name="Vírgula 8 2 5 4 2 4" xfId="8990" xr:uid="{AB4E599F-9504-4BB4-A7B0-7DDFD9B800AC}"/>
    <cellStyle name="Vírgula 8 2 5 4 3" xfId="5561" xr:uid="{7D13546F-4FF8-4157-8432-5B6E340B253E}"/>
    <cellStyle name="Vírgula 8 2 5 4 3 2" xfId="5562" xr:uid="{9C61BDC4-BE8C-4FE4-BBC8-544636482531}"/>
    <cellStyle name="Vírgula 8 2 5 4 3 2 2" xfId="5563" xr:uid="{BC144ED4-E3A4-4A7E-A1A5-0868E83003DD}"/>
    <cellStyle name="Vírgula 8 2 5 4 3 2 3" xfId="8993" xr:uid="{D3FF3B4F-E919-4039-BDA0-415A7AC55240}"/>
    <cellStyle name="Vírgula 8 2 5 4 3 3" xfId="5564" xr:uid="{086B4E72-753D-4219-B8B4-20916A59BC55}"/>
    <cellStyle name="Vírgula 8 2 5 4 3 4" xfId="8992" xr:uid="{3DB36A42-00DF-4601-9BA1-91FFDAA15041}"/>
    <cellStyle name="Vírgula 8 2 5 4 4" xfId="5565" xr:uid="{9B5D9454-B31E-4948-A192-FB563C7AB324}"/>
    <cellStyle name="Vírgula 8 2 5 4 4 2" xfId="5566" xr:uid="{C550F1D6-8C4E-49C2-AFD3-F59626F64288}"/>
    <cellStyle name="Vírgula 8 2 5 4 4 3" xfId="8994" xr:uid="{B09731D7-51C8-41C6-8131-32F2CED84536}"/>
    <cellStyle name="Vírgula 8 2 5 4 5" xfId="5567" xr:uid="{F4D7946B-F95E-4FBF-932C-77344DF05CC4}"/>
    <cellStyle name="Vírgula 8 2 5 4 6" xfId="8989" xr:uid="{60D0214A-C223-4DFC-BD9F-EDAC4E47D2BF}"/>
    <cellStyle name="Vírgula 8 2 5 5" xfId="5568" xr:uid="{AB2C9468-F533-4657-8666-58CB5B9142D8}"/>
    <cellStyle name="Vírgula 8 2 5 5 2" xfId="5569" xr:uid="{75D0A3A3-56DA-4EFF-AA9E-75B74412281C}"/>
    <cellStyle name="Vírgula 8 2 5 5 2 2" xfId="5570" xr:uid="{B310089C-6F6C-4237-B8D6-9A75B72AFFA3}"/>
    <cellStyle name="Vírgula 8 2 5 5 2 3" xfId="8996" xr:uid="{BCF14A75-CC89-4667-A90C-52DC9FA9790A}"/>
    <cellStyle name="Vírgula 8 2 5 5 3" xfId="5571" xr:uid="{118DC90E-3A22-4EBD-9A17-B7314DA4F186}"/>
    <cellStyle name="Vírgula 8 2 5 5 4" xfId="8995" xr:uid="{EA6249FB-DDCF-4019-B015-F5CA1C935B76}"/>
    <cellStyle name="Vírgula 8 2 5 6" xfId="5572" xr:uid="{0ADDD35C-90DB-4D03-A13B-D7CCB053CBAE}"/>
    <cellStyle name="Vírgula 8 2 5 6 2" xfId="5573" xr:uid="{09182575-A280-4668-8B63-C64C8BC74888}"/>
    <cellStyle name="Vírgula 8 2 5 6 2 2" xfId="5574" xr:uid="{3D35F2AA-C1AB-4506-84AD-45DC0F9B01F5}"/>
    <cellStyle name="Vírgula 8 2 5 6 2 3" xfId="8998" xr:uid="{39DCC17F-41F4-4074-B1CB-2F90C688F693}"/>
    <cellStyle name="Vírgula 8 2 5 6 3" xfId="5575" xr:uid="{BEEC8965-B508-4184-946A-02DA6A26B803}"/>
    <cellStyle name="Vírgula 8 2 5 6 4" xfId="8997" xr:uid="{FD7D94AD-AAEE-4B3C-9670-6C3C829BAB8A}"/>
    <cellStyle name="Vírgula 8 2 5 7" xfId="5576" xr:uid="{0C652DFB-CCAA-418F-A5A2-6FE243ACFEA4}"/>
    <cellStyle name="Vírgula 8 2 5 7 2" xfId="5577" xr:uid="{3BAE8190-C498-4F8C-8808-563817412CF2}"/>
    <cellStyle name="Vírgula 8 2 5 7 3" xfId="8999" xr:uid="{26FBA2B4-DAD3-45FF-9B8F-1A4001BA1E0F}"/>
    <cellStyle name="Vírgula 8 2 5 8" xfId="5578" xr:uid="{5F47AAB7-E0C2-4A3A-B7C9-23205ECBFE7D}"/>
    <cellStyle name="Vírgula 8 2 5 9" xfId="8964" xr:uid="{F3125AFA-5607-415D-B194-17BCB6CC8553}"/>
    <cellStyle name="Vírgula 8 2 6" xfId="5579" xr:uid="{4B13554F-ACB6-40EB-BCB3-CBC9D4B6A358}"/>
    <cellStyle name="Vírgula 8 2 6 2" xfId="5580" xr:uid="{B74771AD-754B-4E42-B2EB-53A677958F5F}"/>
    <cellStyle name="Vírgula 8 2 6 2 2" xfId="5581" xr:uid="{73FA12D8-77ED-4DB6-9FB9-DEDAA55BB733}"/>
    <cellStyle name="Vírgula 8 2 6 2 2 2" xfId="5582" xr:uid="{A147A0E0-56A1-47C5-8D24-46B282FA3B92}"/>
    <cellStyle name="Vírgula 8 2 6 2 2 2 2" xfId="5583" xr:uid="{731544CD-5E64-4C3A-B07D-FC345BD5C77F}"/>
    <cellStyle name="Vírgula 8 2 6 2 2 2 3" xfId="9003" xr:uid="{60ADACE9-96A5-429A-BFBF-8BE9F3DE3729}"/>
    <cellStyle name="Vírgula 8 2 6 2 2 3" xfId="5584" xr:uid="{C7BD4FF5-FFEE-449D-A28F-2FF6C39E7B63}"/>
    <cellStyle name="Vírgula 8 2 6 2 2 4" xfId="9002" xr:uid="{30760AB9-FE06-4766-86E3-596876ED4335}"/>
    <cellStyle name="Vírgula 8 2 6 2 3" xfId="5585" xr:uid="{13A1B49A-44D9-423D-AC60-47D6742A30BE}"/>
    <cellStyle name="Vírgula 8 2 6 2 3 2" xfId="5586" xr:uid="{ED90A3FD-C1EA-48BE-8216-3EE21AB414A4}"/>
    <cellStyle name="Vírgula 8 2 6 2 3 2 2" xfId="5587" xr:uid="{60923EAF-D95B-4A4D-B9F5-E11DB70A47AC}"/>
    <cellStyle name="Vírgula 8 2 6 2 3 2 3" xfId="9005" xr:uid="{C1288428-9B28-41B9-85E9-69A71C5C9CE8}"/>
    <cellStyle name="Vírgula 8 2 6 2 3 3" xfId="5588" xr:uid="{9C757358-FF2C-4226-AB35-27DC2E9A1CC7}"/>
    <cellStyle name="Vírgula 8 2 6 2 3 4" xfId="9004" xr:uid="{883E622A-E814-41BD-AF54-390160734ADF}"/>
    <cellStyle name="Vírgula 8 2 6 2 4" xfId="5589" xr:uid="{3E99C7C1-2431-4CF5-8C2E-E3307DE9743C}"/>
    <cellStyle name="Vírgula 8 2 6 2 4 2" xfId="5590" xr:uid="{50AB3DF7-C642-4B40-8664-40C4968BBE30}"/>
    <cellStyle name="Vírgula 8 2 6 2 4 3" xfId="9006" xr:uid="{EAC0FD9A-EFFA-4EF9-AB40-C177075490AB}"/>
    <cellStyle name="Vírgula 8 2 6 2 5" xfId="5591" xr:uid="{CFE32B1E-E714-4546-A4F1-453E40B0D95E}"/>
    <cellStyle name="Vírgula 8 2 6 2 6" xfId="9001" xr:uid="{D4A2726F-C4B3-4D51-9B74-32A8E9E82530}"/>
    <cellStyle name="Vírgula 8 2 6 3" xfId="5592" xr:uid="{A43FD21A-90A1-47D6-A9B5-DAB7AF70236C}"/>
    <cellStyle name="Vírgula 8 2 6 3 2" xfId="5593" xr:uid="{DF7684DD-D94F-442F-ADC7-44E6EB9B6613}"/>
    <cellStyle name="Vírgula 8 2 6 3 2 2" xfId="5594" xr:uid="{7930030D-814C-4966-B47C-3ABB0A954299}"/>
    <cellStyle name="Vírgula 8 2 6 3 2 3" xfId="9008" xr:uid="{9B3990F1-E1AF-4E25-A541-85E989EE07D7}"/>
    <cellStyle name="Vírgula 8 2 6 3 3" xfId="5595" xr:uid="{710DF6C4-2C15-460D-8599-C1BE121966EA}"/>
    <cellStyle name="Vírgula 8 2 6 3 4" xfId="9007" xr:uid="{5535D35E-BD91-4368-8233-EFBCBB434944}"/>
    <cellStyle name="Vírgula 8 2 6 4" xfId="5596" xr:uid="{9091011D-A903-4110-9DBC-5D098B4F8DD5}"/>
    <cellStyle name="Vírgula 8 2 6 4 2" xfId="5597" xr:uid="{D1BDFBBD-0371-41F3-A31D-35A0E138AA35}"/>
    <cellStyle name="Vírgula 8 2 6 4 2 2" xfId="5598" xr:uid="{FBC18CD7-ADC8-4015-AD90-57E68BDA6E0A}"/>
    <cellStyle name="Vírgula 8 2 6 4 2 3" xfId="9010" xr:uid="{81362CC3-4A78-49BF-A93F-91C7E3218CE1}"/>
    <cellStyle name="Vírgula 8 2 6 4 3" xfId="5599" xr:uid="{F1AD9CBD-D441-424F-9F0E-DF8A95EBD81A}"/>
    <cellStyle name="Vírgula 8 2 6 4 4" xfId="9009" xr:uid="{68A268B8-4C54-417D-A8F0-C39C3B676CF6}"/>
    <cellStyle name="Vírgula 8 2 6 5" xfId="5600" xr:uid="{D84B8559-2306-411B-933C-FA7DEFAD7DF2}"/>
    <cellStyle name="Vírgula 8 2 6 5 2" xfId="5601" xr:uid="{F3055BA6-7E2F-471D-B883-C62B29EE3FEC}"/>
    <cellStyle name="Vírgula 8 2 6 5 3" xfId="9011" xr:uid="{5BD525B1-FB9B-4754-9F89-DE37906FB028}"/>
    <cellStyle name="Vírgula 8 2 6 6" xfId="5602" xr:uid="{E1A9C699-44F8-496C-886B-376DB6F87625}"/>
    <cellStyle name="Vírgula 8 2 6 7" xfId="9000" xr:uid="{8283F65B-8BC1-410F-8001-03A38C6F7AD4}"/>
    <cellStyle name="Vírgula 8 2 7" xfId="5603" xr:uid="{51C9B304-F0A3-4285-BEAD-1F16D1DD1ED0}"/>
    <cellStyle name="Vírgula 8 2 7 2" xfId="5604" xr:uid="{73A1E83B-028B-4455-AC87-774279B3FC6A}"/>
    <cellStyle name="Vírgula 8 2 7 2 2" xfId="5605" xr:uid="{F19020AE-E04C-4A17-89BB-A6A4C9833D32}"/>
    <cellStyle name="Vírgula 8 2 7 2 2 2" xfId="5606" xr:uid="{1C2CED2A-E977-4150-A6B4-F8C1BFD06E90}"/>
    <cellStyle name="Vírgula 8 2 7 2 2 2 2" xfId="5607" xr:uid="{9E27B517-72A4-446B-9C22-9D70C29DC66A}"/>
    <cellStyle name="Vírgula 8 2 7 2 2 2 3" xfId="9015" xr:uid="{00AB7753-5671-4569-9BB8-0AF0936A4AC1}"/>
    <cellStyle name="Vírgula 8 2 7 2 2 3" xfId="5608" xr:uid="{919B1F2C-83C0-4C69-8C29-C4F1AC130FE7}"/>
    <cellStyle name="Vírgula 8 2 7 2 2 4" xfId="9014" xr:uid="{DDE7D9F0-1A9C-4CC8-BA59-B91BE3A90B1D}"/>
    <cellStyle name="Vírgula 8 2 7 2 3" xfId="5609" xr:uid="{E3393A29-AA51-4882-BDC9-8AB1CC47D539}"/>
    <cellStyle name="Vírgula 8 2 7 2 3 2" xfId="5610" xr:uid="{18392AA0-53E0-49DF-8DA8-F6AA0A6BE11D}"/>
    <cellStyle name="Vírgula 8 2 7 2 3 2 2" xfId="5611" xr:uid="{5D8B1272-C2B5-4A05-83CF-792454C31EB9}"/>
    <cellStyle name="Vírgula 8 2 7 2 3 2 3" xfId="9017" xr:uid="{49593E7A-284E-45CC-A335-FA8A2B22F10C}"/>
    <cellStyle name="Vírgula 8 2 7 2 3 3" xfId="5612" xr:uid="{28952536-6C37-4C1E-ADA7-FEC03D751C5A}"/>
    <cellStyle name="Vírgula 8 2 7 2 3 4" xfId="9016" xr:uid="{17CC8D06-8CD7-43B9-803B-FD35A434EFFE}"/>
    <cellStyle name="Vírgula 8 2 7 2 4" xfId="5613" xr:uid="{15B98FCF-1EE1-48BE-9DB1-9F8147243790}"/>
    <cellStyle name="Vírgula 8 2 7 2 4 2" xfId="5614" xr:uid="{9DC12B89-50A3-4DF9-9164-A7257DCEED58}"/>
    <cellStyle name="Vírgula 8 2 7 2 4 3" xfId="9018" xr:uid="{CD595F55-F97A-4BDC-99CA-B167E4AE5507}"/>
    <cellStyle name="Vírgula 8 2 7 2 5" xfId="5615" xr:uid="{3CC9E0DA-458D-45B1-A903-6F1F58FC5082}"/>
    <cellStyle name="Vírgula 8 2 7 2 6" xfId="9013" xr:uid="{8697936E-84C5-4892-A435-AF689497156D}"/>
    <cellStyle name="Vírgula 8 2 7 3" xfId="5616" xr:uid="{3C708C53-B216-40D6-B871-7314C54F5F17}"/>
    <cellStyle name="Vírgula 8 2 7 3 2" xfId="5617" xr:uid="{245DCE28-E699-4085-AB5E-673071924B6A}"/>
    <cellStyle name="Vírgula 8 2 7 3 2 2" xfId="5618" xr:uid="{7F22C6E7-DEC2-4D09-9007-C0AC24FB930D}"/>
    <cellStyle name="Vírgula 8 2 7 3 2 3" xfId="9020" xr:uid="{4D0FD644-1E93-410C-A4BA-62574952E79C}"/>
    <cellStyle name="Vírgula 8 2 7 3 3" xfId="5619" xr:uid="{B2E4E560-95CD-4C4B-A63A-B5AD3B30053A}"/>
    <cellStyle name="Vírgula 8 2 7 3 4" xfId="9019" xr:uid="{5D5D2104-B1F7-4C60-B4BA-B6AE6BCD700E}"/>
    <cellStyle name="Vírgula 8 2 7 4" xfId="5620" xr:uid="{458973FE-6156-4FD0-BA1A-07DF95E75D88}"/>
    <cellStyle name="Vírgula 8 2 7 4 2" xfId="5621" xr:uid="{ED2B80F6-0E37-42EB-9D57-156B865A6DA2}"/>
    <cellStyle name="Vírgula 8 2 7 4 2 2" xfId="5622" xr:uid="{656B6EC4-50C0-4FE4-A3B5-F11FB28A0153}"/>
    <cellStyle name="Vírgula 8 2 7 4 2 3" xfId="9022" xr:uid="{8D0571BF-2866-4238-BBA4-01E429188CB1}"/>
    <cellStyle name="Vírgula 8 2 7 4 3" xfId="5623" xr:uid="{BE24A5E0-D94C-4C74-9D8F-249790417522}"/>
    <cellStyle name="Vírgula 8 2 7 4 4" xfId="9021" xr:uid="{4A815157-1628-4AA3-A692-0F425860EDB5}"/>
    <cellStyle name="Vírgula 8 2 7 5" xfId="5624" xr:uid="{EDA92BFF-A468-4F85-80E4-37E1348406EE}"/>
    <cellStyle name="Vírgula 8 2 7 5 2" xfId="5625" xr:uid="{FDF8B583-DDAB-4F2E-B6ED-8019F854CFCD}"/>
    <cellStyle name="Vírgula 8 2 7 5 3" xfId="9023" xr:uid="{B4D23C3B-9D7C-4B4A-9EA5-9609C3DF42B1}"/>
    <cellStyle name="Vírgula 8 2 7 6" xfId="5626" xr:uid="{202124FF-E7A1-4D24-BF00-E485D2351D3D}"/>
    <cellStyle name="Vírgula 8 2 7 7" xfId="9012" xr:uid="{7C92290A-B955-40A9-8DCA-B60DA6A6939A}"/>
    <cellStyle name="Vírgula 8 2 8" xfId="5627" xr:uid="{0A61F45B-40B8-4914-8D95-346627C9FB20}"/>
    <cellStyle name="Vírgula 8 2 8 2" xfId="5628" xr:uid="{14180F50-B5BB-4CB3-8365-DA8EE3999A32}"/>
    <cellStyle name="Vírgula 8 2 8 2 2" xfId="5629" xr:uid="{760145AA-EE70-442E-A9E8-207A006DAB41}"/>
    <cellStyle name="Vírgula 8 2 8 2 2 2" xfId="5630" xr:uid="{E6B356D7-D0C9-4CD4-BE62-538542E6BB25}"/>
    <cellStyle name="Vírgula 8 2 8 2 2 3" xfId="9026" xr:uid="{AF8A7E03-6686-494F-B8E1-AA41607F1542}"/>
    <cellStyle name="Vírgula 8 2 8 2 3" xfId="5631" xr:uid="{81F5F073-56B2-409B-A12B-EB155421FC78}"/>
    <cellStyle name="Vírgula 8 2 8 2 4" xfId="9025" xr:uid="{CB2DF74E-CE0F-4133-8276-CC03625CE7D2}"/>
    <cellStyle name="Vírgula 8 2 8 3" xfId="5632" xr:uid="{EA85EE85-5380-4714-BE40-040CC44685B0}"/>
    <cellStyle name="Vírgula 8 2 8 3 2" xfId="5633" xr:uid="{B989BC6C-B4BA-42F0-90B7-9024D5BCF744}"/>
    <cellStyle name="Vírgula 8 2 8 3 2 2" xfId="5634" xr:uid="{E18F858B-BB01-4C00-BA68-C510EFF3945F}"/>
    <cellStyle name="Vírgula 8 2 8 3 2 3" xfId="9028" xr:uid="{C2FBA421-085F-4A77-AB7B-D9C148A3DF84}"/>
    <cellStyle name="Vírgula 8 2 8 3 3" xfId="5635" xr:uid="{B2203FBD-2F49-418E-8538-C75E4360B97E}"/>
    <cellStyle name="Vírgula 8 2 8 3 4" xfId="9027" xr:uid="{322443A3-1D9C-4A18-8A21-917C4A196F5F}"/>
    <cellStyle name="Vírgula 8 2 8 4" xfId="5636" xr:uid="{6964FFC0-2823-4B57-BEF9-6DCC2D66CDDD}"/>
    <cellStyle name="Vírgula 8 2 8 4 2" xfId="5637" xr:uid="{D484EB5B-1373-411D-8F8A-462528D18158}"/>
    <cellStyle name="Vírgula 8 2 8 4 3" xfId="9029" xr:uid="{EF980F17-EE08-4FD1-8648-D3747DD25B87}"/>
    <cellStyle name="Vírgula 8 2 8 5" xfId="5638" xr:uid="{EC3AF2D1-737D-4923-B57D-783CD551AA12}"/>
    <cellStyle name="Vírgula 8 2 8 6" xfId="9024" xr:uid="{15776E59-317A-484A-946C-C0F637104873}"/>
    <cellStyle name="Vírgula 8 2 9" xfId="5639" xr:uid="{8C93BED2-FDC4-47DF-89D6-1FB07CE3CB3A}"/>
    <cellStyle name="Vírgula 8 2 9 2" xfId="5640" xr:uid="{59094C29-49EC-4A74-80F2-043B43FA360A}"/>
    <cellStyle name="Vírgula 8 2 9 2 2" xfId="5641" xr:uid="{E087C339-35B7-40EE-9B7F-786EB22456D5}"/>
    <cellStyle name="Vírgula 8 2 9 2 3" xfId="9031" xr:uid="{95CAE5E9-00A1-48BD-B803-250A90B1848E}"/>
    <cellStyle name="Vírgula 8 2 9 3" xfId="5642" xr:uid="{F7868261-3D1B-4E6D-B0FF-166CE8A7A044}"/>
    <cellStyle name="Vírgula 8 2 9 4" xfId="9030" xr:uid="{620BC4D6-7BF9-410B-AD34-E0F2C9BA1FDE}"/>
    <cellStyle name="Vírgula 8 3" xfId="8743" xr:uid="{8E3FAE21-8756-4839-87A2-224F7CEB8F0F}"/>
    <cellStyle name="Vírgula 9" xfId="5643" xr:uid="{A6443FF4-6970-4036-8B7E-594EBD013CFA}"/>
    <cellStyle name="Vírgula 9 2" xfId="5644" xr:uid="{21C69B5E-F962-4479-BFCD-35C92F0017B7}"/>
    <cellStyle name="Vírgula 9 2 10" xfId="5645" xr:uid="{391EA69E-DD83-456E-B7EF-0264DBAF9C3B}"/>
    <cellStyle name="Vírgula 9 2 10 2" xfId="5646" xr:uid="{DAB73F6A-7EA5-4FBA-AFD5-2B078550AC5B}"/>
    <cellStyle name="Vírgula 9 2 10 2 2" xfId="5647" xr:uid="{E8CFCD80-5113-4840-B00D-4955018E1927}"/>
    <cellStyle name="Vírgula 9 2 10 2 3" xfId="9035" xr:uid="{B616568E-78F4-44EF-B13E-2AF3177727D2}"/>
    <cellStyle name="Vírgula 9 2 10 3" xfId="5648" xr:uid="{341EA83B-1299-4568-97B4-FFCE306A5FBD}"/>
    <cellStyle name="Vírgula 9 2 10 4" xfId="9034" xr:uid="{24B7AE44-8A58-4EFE-8F0F-D9DD1B90DBBF}"/>
    <cellStyle name="Vírgula 9 2 11" xfId="5649" xr:uid="{7B90E04B-AA3C-4C62-B0B2-0844EC8DF8F6}"/>
    <cellStyle name="Vírgula 9 2 11 2" xfId="5650" xr:uid="{DFA6B85E-FA5F-4D92-98EB-C8681493ECC6}"/>
    <cellStyle name="Vírgula 9 2 11 3" xfId="9036" xr:uid="{F0FBEBC2-CC10-4ED0-9AFF-ADA8491D1AB1}"/>
    <cellStyle name="Vírgula 9 2 12" xfId="5651" xr:uid="{49295D25-EA72-4C67-B9F6-AAA478E4E801}"/>
    <cellStyle name="Vírgula 9 2 13" xfId="9033" xr:uid="{90DF0311-E17D-4B5E-BCE1-C9E5C8139E60}"/>
    <cellStyle name="Vírgula 9 2 2" xfId="5652" xr:uid="{BE09756C-955D-4518-A75F-04A5D37E2AE5}"/>
    <cellStyle name="Vírgula 9 2 2 10" xfId="5653" xr:uid="{81D704AF-8577-40FA-9AB3-1775C198FB92}"/>
    <cellStyle name="Vírgula 9 2 2 10 2" xfId="5654" xr:uid="{5D164903-4464-4551-9E7A-7645BD33304D}"/>
    <cellStyle name="Vírgula 9 2 2 10 3" xfId="9038" xr:uid="{D4708D12-12B0-4F0A-813D-848100EF47A9}"/>
    <cellStyle name="Vírgula 9 2 2 11" xfId="5655" xr:uid="{94CAFA96-1AAE-4950-A83C-7E37CA2B7650}"/>
    <cellStyle name="Vírgula 9 2 2 12" xfId="9037" xr:uid="{CAF92F63-B7C6-4EEB-A119-5053858BC459}"/>
    <cellStyle name="Vírgula 9 2 2 2" xfId="5656" xr:uid="{7D478CDE-000A-4014-A62E-9753CDE24CCE}"/>
    <cellStyle name="Vírgula 9 2 2 2 2" xfId="5657" xr:uid="{66245124-E674-49CE-8A1D-1AE4A33E2F02}"/>
    <cellStyle name="Vírgula 9 2 2 2 2 2" xfId="5658" xr:uid="{A96E721E-9EF5-4F70-BEBF-81300C62FD6D}"/>
    <cellStyle name="Vírgula 9 2 2 2 2 2 2" xfId="5659" xr:uid="{33B25B36-99D9-4DB5-B6B4-F112DFEFA7F7}"/>
    <cellStyle name="Vírgula 9 2 2 2 2 2 2 2" xfId="5660" xr:uid="{6985A07B-6D01-4A86-A4A0-08ACFB060B08}"/>
    <cellStyle name="Vírgula 9 2 2 2 2 2 2 2 2" xfId="5661" xr:uid="{8F8C7252-1FFE-4EDA-8E59-00F7357B1509}"/>
    <cellStyle name="Vírgula 9 2 2 2 2 2 2 2 3" xfId="9043" xr:uid="{23FECC7C-A34A-40E9-BF84-748731931C00}"/>
    <cellStyle name="Vírgula 9 2 2 2 2 2 2 3" xfId="5662" xr:uid="{00D94CAF-A358-452F-BF46-2B2151CF722F}"/>
    <cellStyle name="Vírgula 9 2 2 2 2 2 2 4" xfId="9042" xr:uid="{3920C203-99DF-425B-B276-760F19871B39}"/>
    <cellStyle name="Vírgula 9 2 2 2 2 2 3" xfId="5663" xr:uid="{49D202A3-CB39-4A02-9FD7-A86839C8D630}"/>
    <cellStyle name="Vírgula 9 2 2 2 2 2 3 2" xfId="5664" xr:uid="{591E3D70-41CB-4218-A2F0-895121C6AB37}"/>
    <cellStyle name="Vírgula 9 2 2 2 2 2 3 2 2" xfId="5665" xr:uid="{A4D564B4-C1B6-4867-A028-E91B9C4D9365}"/>
    <cellStyle name="Vírgula 9 2 2 2 2 2 3 2 3" xfId="9045" xr:uid="{F8DE3094-B682-41E6-B4B8-BC7C083553DE}"/>
    <cellStyle name="Vírgula 9 2 2 2 2 2 3 3" xfId="5666" xr:uid="{85D56A3A-679A-4065-A43B-F8E3453BC61F}"/>
    <cellStyle name="Vírgula 9 2 2 2 2 2 3 4" xfId="9044" xr:uid="{52A5D1DF-3329-47CC-A0B2-6986C5B6DA6D}"/>
    <cellStyle name="Vírgula 9 2 2 2 2 2 4" xfId="5667" xr:uid="{59898AB3-679F-4B5C-B7A0-335B7CEACA8C}"/>
    <cellStyle name="Vírgula 9 2 2 2 2 2 4 2" xfId="5668" xr:uid="{BFBA6026-234E-4784-9D85-285D3E18FEEF}"/>
    <cellStyle name="Vírgula 9 2 2 2 2 2 4 3" xfId="9046" xr:uid="{1D995031-F284-49EE-A653-CE2E67A35B94}"/>
    <cellStyle name="Vírgula 9 2 2 2 2 2 5" xfId="5669" xr:uid="{BFB69429-C791-490A-8AFC-516D4070EF66}"/>
    <cellStyle name="Vírgula 9 2 2 2 2 2 6" xfId="9041" xr:uid="{93EFA654-EC56-466E-80D9-EB14CEF76283}"/>
    <cellStyle name="Vírgula 9 2 2 2 2 3" xfId="5670" xr:uid="{A13CD7D8-4947-41AC-B93E-948479EA4B6C}"/>
    <cellStyle name="Vírgula 9 2 2 2 2 3 2" xfId="5671" xr:uid="{84F51394-1763-4187-92C2-C1ED8A97F280}"/>
    <cellStyle name="Vírgula 9 2 2 2 2 3 2 2" xfId="5672" xr:uid="{1B7B2B01-4B98-4419-ADA1-882F6AC009AA}"/>
    <cellStyle name="Vírgula 9 2 2 2 2 3 2 3" xfId="9048" xr:uid="{50552667-CE8F-458C-8CB1-28A9A717A283}"/>
    <cellStyle name="Vírgula 9 2 2 2 2 3 3" xfId="5673" xr:uid="{5C1640F2-EFBB-4D49-AFB3-7737755561B9}"/>
    <cellStyle name="Vírgula 9 2 2 2 2 3 4" xfId="9047" xr:uid="{DD9FF2CA-F6AC-46E3-AACA-8EB8A3914C62}"/>
    <cellStyle name="Vírgula 9 2 2 2 2 4" xfId="5674" xr:uid="{D8128DEE-B38B-4DDE-9106-DD6DD0CC1316}"/>
    <cellStyle name="Vírgula 9 2 2 2 2 4 2" xfId="5675" xr:uid="{8DB9D91B-5FCA-4D2C-A1A1-17A4C85C101C}"/>
    <cellStyle name="Vírgula 9 2 2 2 2 4 2 2" xfId="5676" xr:uid="{6B4C86A7-4C08-4BBD-A535-FCBDFC93F2C0}"/>
    <cellStyle name="Vírgula 9 2 2 2 2 4 2 3" xfId="9050" xr:uid="{37FFC96B-226B-4770-B451-953EEFCC6E1C}"/>
    <cellStyle name="Vírgula 9 2 2 2 2 4 3" xfId="5677" xr:uid="{747396CE-F057-4848-A731-083D0023F714}"/>
    <cellStyle name="Vírgula 9 2 2 2 2 4 4" xfId="9049" xr:uid="{D7D60F4F-4347-46F4-B637-BE8EE7AC4884}"/>
    <cellStyle name="Vírgula 9 2 2 2 2 5" xfId="5678" xr:uid="{17329EDB-CC1C-433A-B3D4-ED7BD521F48E}"/>
    <cellStyle name="Vírgula 9 2 2 2 2 5 2" xfId="5679" xr:uid="{D3CC0A8D-73BC-4E14-B6D9-88C6344B7B95}"/>
    <cellStyle name="Vírgula 9 2 2 2 2 5 3" xfId="9051" xr:uid="{BF459368-B926-409F-A820-E9B216F6E62D}"/>
    <cellStyle name="Vírgula 9 2 2 2 2 6" xfId="5680" xr:uid="{8EF16643-8CB5-4580-850C-062054C3E77E}"/>
    <cellStyle name="Vírgula 9 2 2 2 2 7" xfId="9040" xr:uid="{4D976DAD-494E-4A93-A9C6-A455854ABA4F}"/>
    <cellStyle name="Vírgula 9 2 2 2 3" xfId="5681" xr:uid="{70E1FFE3-B13E-4FE5-9AEA-3A97B7D74017}"/>
    <cellStyle name="Vírgula 9 2 2 2 3 2" xfId="5682" xr:uid="{A8BC5D3B-542D-48FC-A3E1-16C44B227A9A}"/>
    <cellStyle name="Vírgula 9 2 2 2 3 2 2" xfId="5683" xr:uid="{E84AE292-D1A3-40C0-9467-D51BBD6493BD}"/>
    <cellStyle name="Vírgula 9 2 2 2 3 2 2 2" xfId="5684" xr:uid="{B14988D3-184E-45FD-961A-B9D3CA8B6E72}"/>
    <cellStyle name="Vírgula 9 2 2 2 3 2 2 2 2" xfId="5685" xr:uid="{84C16E15-C0BE-497A-B7D7-0A0DC7B368B2}"/>
    <cellStyle name="Vírgula 9 2 2 2 3 2 2 2 3" xfId="9055" xr:uid="{EB0EC335-301E-44D8-9821-F65CF01B771F}"/>
    <cellStyle name="Vírgula 9 2 2 2 3 2 2 3" xfId="5686" xr:uid="{C1D186F2-9BA9-4369-8CE8-E02719D0C906}"/>
    <cellStyle name="Vírgula 9 2 2 2 3 2 2 4" xfId="9054" xr:uid="{8BE1E37E-8BA7-4E39-A471-1232A5511B8E}"/>
    <cellStyle name="Vírgula 9 2 2 2 3 2 3" xfId="5687" xr:uid="{D3ADF458-E0A8-4644-A8C2-173BD043D8CB}"/>
    <cellStyle name="Vírgula 9 2 2 2 3 2 3 2" xfId="5688" xr:uid="{CCBDC8FB-4794-4DAF-96A0-4DBF2B6162F7}"/>
    <cellStyle name="Vírgula 9 2 2 2 3 2 3 2 2" xfId="5689" xr:uid="{7DF26AEE-24D2-4BE9-901B-330790B28287}"/>
    <cellStyle name="Vírgula 9 2 2 2 3 2 3 2 3" xfId="9057" xr:uid="{7AE0D100-8219-4211-AAB0-50BEE2F71139}"/>
    <cellStyle name="Vírgula 9 2 2 2 3 2 3 3" xfId="5690" xr:uid="{44AFA1C3-8E41-42BF-A5D2-C2674C5114F5}"/>
    <cellStyle name="Vírgula 9 2 2 2 3 2 3 4" xfId="9056" xr:uid="{8CEF1D2F-2885-49E8-B248-CFEC7E6AD2FA}"/>
    <cellStyle name="Vírgula 9 2 2 2 3 2 4" xfId="5691" xr:uid="{2EB0074A-C54F-4F96-A533-E6522B852A70}"/>
    <cellStyle name="Vírgula 9 2 2 2 3 2 4 2" xfId="5692" xr:uid="{9F225775-0059-4FD7-A16B-EB2CB967E9E9}"/>
    <cellStyle name="Vírgula 9 2 2 2 3 2 4 3" xfId="9058" xr:uid="{6F0EA676-685F-4129-9673-418AA47AB199}"/>
    <cellStyle name="Vírgula 9 2 2 2 3 2 5" xfId="5693" xr:uid="{EA0C5C14-F1FC-4CB5-A456-560B1D08D4ED}"/>
    <cellStyle name="Vírgula 9 2 2 2 3 2 6" xfId="9053" xr:uid="{C911B4D2-6228-43EE-9A85-C0F25E8F259F}"/>
    <cellStyle name="Vírgula 9 2 2 2 3 3" xfId="5694" xr:uid="{4F1C59C1-FF25-4A48-81CC-6D7F0EFD04AB}"/>
    <cellStyle name="Vírgula 9 2 2 2 3 3 2" xfId="5695" xr:uid="{2AFF535B-6C21-48F6-B004-9401587CC950}"/>
    <cellStyle name="Vírgula 9 2 2 2 3 3 2 2" xfId="5696" xr:uid="{64DA1682-DBCF-454A-B9F5-073B3DAD2785}"/>
    <cellStyle name="Vírgula 9 2 2 2 3 3 2 3" xfId="9060" xr:uid="{C6D9DA2F-9E69-44C4-9243-249C6411ED89}"/>
    <cellStyle name="Vírgula 9 2 2 2 3 3 3" xfId="5697" xr:uid="{EC8F6C93-A3FF-47CF-877D-EA6B9E2A4CF6}"/>
    <cellStyle name="Vírgula 9 2 2 2 3 3 4" xfId="9059" xr:uid="{1597D1B0-2C88-4E12-AD65-E0E2A8F4AC17}"/>
    <cellStyle name="Vírgula 9 2 2 2 3 4" xfId="5698" xr:uid="{05A21B8C-6AF5-49B6-995C-7E6E9D70AE83}"/>
    <cellStyle name="Vírgula 9 2 2 2 3 4 2" xfId="5699" xr:uid="{ED905216-FE36-43F1-AD51-BB6BA151A0D1}"/>
    <cellStyle name="Vírgula 9 2 2 2 3 4 2 2" xfId="5700" xr:uid="{4661E18D-5C0F-4FA6-B25D-86441CA6DC48}"/>
    <cellStyle name="Vírgula 9 2 2 2 3 4 2 3" xfId="9062" xr:uid="{462C2B71-C66B-410F-B828-EA8989648241}"/>
    <cellStyle name="Vírgula 9 2 2 2 3 4 3" xfId="5701" xr:uid="{FEA2A0F2-69FC-4D87-AA82-8B3CF6F3FCBF}"/>
    <cellStyle name="Vírgula 9 2 2 2 3 4 4" xfId="9061" xr:uid="{38DDBD51-56E6-4900-933D-E9101B3F3F1C}"/>
    <cellStyle name="Vírgula 9 2 2 2 3 5" xfId="5702" xr:uid="{DEEA0842-6D26-4C01-8309-6AA5F2ACE79C}"/>
    <cellStyle name="Vírgula 9 2 2 2 3 5 2" xfId="5703" xr:uid="{9B08C902-18C2-4F35-872E-82764B26AEB6}"/>
    <cellStyle name="Vírgula 9 2 2 2 3 5 3" xfId="9063" xr:uid="{2CE7C5E0-E337-4037-9E9B-315CEFAD47D1}"/>
    <cellStyle name="Vírgula 9 2 2 2 3 6" xfId="5704" xr:uid="{75C2E270-E90E-413C-B72B-83D68A48A93C}"/>
    <cellStyle name="Vírgula 9 2 2 2 3 7" xfId="9052" xr:uid="{E48EF794-5FBF-44C3-8CD3-487DEE174516}"/>
    <cellStyle name="Vírgula 9 2 2 2 4" xfId="5705" xr:uid="{1007DBA9-8267-45D3-9151-D935559C9CEA}"/>
    <cellStyle name="Vírgula 9 2 2 2 4 2" xfId="5706" xr:uid="{600F6BC3-770B-4FFB-BBFD-4A810B52E5F0}"/>
    <cellStyle name="Vírgula 9 2 2 2 4 2 2" xfId="5707" xr:uid="{F5F32429-503D-4E65-B15D-38413ECE1234}"/>
    <cellStyle name="Vírgula 9 2 2 2 4 2 2 2" xfId="5708" xr:uid="{2CE66C2B-0255-4DC3-89F8-C5D91FEC70FA}"/>
    <cellStyle name="Vírgula 9 2 2 2 4 2 2 3" xfId="9066" xr:uid="{37690865-222D-451A-889F-E1A710B0994F}"/>
    <cellStyle name="Vírgula 9 2 2 2 4 2 3" xfId="5709" xr:uid="{54551DBD-B368-4816-B0EE-72ADB7FC5C9F}"/>
    <cellStyle name="Vírgula 9 2 2 2 4 2 4" xfId="9065" xr:uid="{8DFFAEB6-59F4-4F91-B00B-13E8AEA3A6ED}"/>
    <cellStyle name="Vírgula 9 2 2 2 4 3" xfId="5710" xr:uid="{804D6B57-4A39-4D05-8FB5-63FF5353CDC0}"/>
    <cellStyle name="Vírgula 9 2 2 2 4 3 2" xfId="5711" xr:uid="{9AF99F43-09AC-435C-BEB9-671DEC8A240E}"/>
    <cellStyle name="Vírgula 9 2 2 2 4 3 2 2" xfId="5712" xr:uid="{9DC433BF-9171-45B2-8B53-AEE28032D41E}"/>
    <cellStyle name="Vírgula 9 2 2 2 4 3 2 3" xfId="9068" xr:uid="{D21519F8-61B2-4F97-8027-01590F87836E}"/>
    <cellStyle name="Vírgula 9 2 2 2 4 3 3" xfId="5713" xr:uid="{3D86761F-E34F-4B24-B023-D5027856D52E}"/>
    <cellStyle name="Vírgula 9 2 2 2 4 3 4" xfId="9067" xr:uid="{C7FC3BDF-AF38-4742-9E8A-9E6B5F7AA05E}"/>
    <cellStyle name="Vírgula 9 2 2 2 4 4" xfId="5714" xr:uid="{49CCD6B5-37BD-4044-B5FA-5A4F6B2456E2}"/>
    <cellStyle name="Vírgula 9 2 2 2 4 4 2" xfId="5715" xr:uid="{C6267B65-3F91-423F-93DD-835D81D63FA8}"/>
    <cellStyle name="Vírgula 9 2 2 2 4 4 3" xfId="9069" xr:uid="{679D145A-E181-409B-B4E7-E49AECCF0D37}"/>
    <cellStyle name="Vírgula 9 2 2 2 4 5" xfId="5716" xr:uid="{E2A0B83C-5B51-4EEA-BAD5-3EB5470D2DBD}"/>
    <cellStyle name="Vírgula 9 2 2 2 4 6" xfId="9064" xr:uid="{B94D19C1-061E-4B65-AD14-0645E195D0E3}"/>
    <cellStyle name="Vírgula 9 2 2 2 5" xfId="5717" xr:uid="{82A4C10E-9685-46A5-89B6-83A264F46885}"/>
    <cellStyle name="Vírgula 9 2 2 2 5 2" xfId="5718" xr:uid="{893BEC99-D30D-4AD4-B54B-C0C604FEE811}"/>
    <cellStyle name="Vírgula 9 2 2 2 5 2 2" xfId="5719" xr:uid="{51B197C9-B1A8-4835-A468-17BFA88BA5A1}"/>
    <cellStyle name="Vírgula 9 2 2 2 5 2 3" xfId="9071" xr:uid="{36563B55-BB78-4658-829B-C8768174C587}"/>
    <cellStyle name="Vírgula 9 2 2 2 5 3" xfId="5720" xr:uid="{6443BDF8-C762-4988-BBFB-0ED937D792AE}"/>
    <cellStyle name="Vírgula 9 2 2 2 5 4" xfId="9070" xr:uid="{FA279B31-33E7-45CD-9949-AA1C3A3F904A}"/>
    <cellStyle name="Vírgula 9 2 2 2 6" xfId="5721" xr:uid="{2296F6E0-C079-42C2-B729-97285BB81E4B}"/>
    <cellStyle name="Vírgula 9 2 2 2 6 2" xfId="5722" xr:uid="{D5BFE0B9-F07B-4D88-92ED-043D919D0905}"/>
    <cellStyle name="Vírgula 9 2 2 2 6 2 2" xfId="5723" xr:uid="{7CD7552D-75E5-41D8-BE3A-554A571974CF}"/>
    <cellStyle name="Vírgula 9 2 2 2 6 2 3" xfId="9073" xr:uid="{BE4E3889-324E-4AB0-BD3C-51FC48F4FCBD}"/>
    <cellStyle name="Vírgula 9 2 2 2 6 3" xfId="5724" xr:uid="{BCD99ECA-C64B-4AAA-AF11-60851063679B}"/>
    <cellStyle name="Vírgula 9 2 2 2 6 4" xfId="9072" xr:uid="{AF29910C-37A5-48C3-A2CD-2660C2EED3A9}"/>
    <cellStyle name="Vírgula 9 2 2 2 7" xfId="5725" xr:uid="{8B5DD21B-DB50-4391-B8BD-7E68B77FAAB7}"/>
    <cellStyle name="Vírgula 9 2 2 2 7 2" xfId="5726" xr:uid="{9765CC39-754B-4A62-84B4-2C60F721DC58}"/>
    <cellStyle name="Vírgula 9 2 2 2 7 3" xfId="9074" xr:uid="{4C6FF9FE-CC7D-4A4F-A33E-F7DCB1C83C0B}"/>
    <cellStyle name="Vírgula 9 2 2 2 8" xfId="5727" xr:uid="{0ED4EAD1-C5B1-42EE-A51C-48291B10BF1F}"/>
    <cellStyle name="Vírgula 9 2 2 2 9" xfId="9039" xr:uid="{FF9FC8C1-7F3B-4F40-9CDE-B632032271CB}"/>
    <cellStyle name="Vírgula 9 2 2 3" xfId="5728" xr:uid="{3220FE7B-3E9A-46FC-9FCC-128F8ACA531D}"/>
    <cellStyle name="Vírgula 9 2 2 3 2" xfId="5729" xr:uid="{3393C269-6621-47FF-8862-53C0DC67AC6D}"/>
    <cellStyle name="Vírgula 9 2 2 3 2 2" xfId="5730" xr:uid="{F1EB19A4-64AF-4168-98B4-752C063B07FD}"/>
    <cellStyle name="Vírgula 9 2 2 3 2 2 2" xfId="5731" xr:uid="{B177DEED-0836-4005-8CF1-820E6B111E78}"/>
    <cellStyle name="Vírgula 9 2 2 3 2 2 2 2" xfId="5732" xr:uid="{E49241F0-A39F-42FE-8EDD-F88BB097C648}"/>
    <cellStyle name="Vírgula 9 2 2 3 2 2 2 2 2" xfId="5733" xr:uid="{D702BFF3-BD2D-4093-9D33-1A24B6B8C5F2}"/>
    <cellStyle name="Vírgula 9 2 2 3 2 2 2 2 3" xfId="9079" xr:uid="{253F9F42-E51B-4DEB-8693-B97811559242}"/>
    <cellStyle name="Vírgula 9 2 2 3 2 2 2 3" xfId="5734" xr:uid="{7DC769DA-CF41-477A-AC3E-2F4B1A6DA66E}"/>
    <cellStyle name="Vírgula 9 2 2 3 2 2 2 4" xfId="9078" xr:uid="{7C372132-3870-4A4E-98E9-654E735295BE}"/>
    <cellStyle name="Vírgula 9 2 2 3 2 2 3" xfId="5735" xr:uid="{D16F9C89-A590-414F-AB06-C3CE9FC16BBA}"/>
    <cellStyle name="Vírgula 9 2 2 3 2 2 3 2" xfId="5736" xr:uid="{697BE5F2-234E-4640-81DE-65E01073FF01}"/>
    <cellStyle name="Vírgula 9 2 2 3 2 2 3 2 2" xfId="5737" xr:uid="{29590E08-C623-4C98-BC62-A69B70CB52D1}"/>
    <cellStyle name="Vírgula 9 2 2 3 2 2 3 2 3" xfId="9081" xr:uid="{FE49F82A-DE08-4D6E-A345-B8120D471AB2}"/>
    <cellStyle name="Vírgula 9 2 2 3 2 2 3 3" xfId="5738" xr:uid="{A91E0C06-2DE5-4A9D-BACC-8943A234FCF0}"/>
    <cellStyle name="Vírgula 9 2 2 3 2 2 3 4" xfId="9080" xr:uid="{28973DAC-28E6-4101-B68E-D28F3CB02C52}"/>
    <cellStyle name="Vírgula 9 2 2 3 2 2 4" xfId="5739" xr:uid="{560FBEB3-36D7-4458-B514-AB0D2E157359}"/>
    <cellStyle name="Vírgula 9 2 2 3 2 2 4 2" xfId="5740" xr:uid="{6468273A-CC75-40BF-BA83-5EBAB5432A11}"/>
    <cellStyle name="Vírgula 9 2 2 3 2 2 4 3" xfId="9082" xr:uid="{B618FC39-3906-46FC-84FF-FA1DF9BC37D5}"/>
    <cellStyle name="Vírgula 9 2 2 3 2 2 5" xfId="5741" xr:uid="{3981CEA4-0680-4C28-813C-E37544773947}"/>
    <cellStyle name="Vírgula 9 2 2 3 2 2 6" xfId="9077" xr:uid="{35454EC5-FCE3-4819-9864-3B64932C268B}"/>
    <cellStyle name="Vírgula 9 2 2 3 2 3" xfId="5742" xr:uid="{CC33CD8A-FEAF-4E42-B248-84EA3E85AA2D}"/>
    <cellStyle name="Vírgula 9 2 2 3 2 3 2" xfId="5743" xr:uid="{725692E5-3A38-4D05-BF2A-41955B9A8F3C}"/>
    <cellStyle name="Vírgula 9 2 2 3 2 3 2 2" xfId="5744" xr:uid="{EE36F12D-E678-4E98-8C85-B57FC6BC0548}"/>
    <cellStyle name="Vírgula 9 2 2 3 2 3 2 3" xfId="9084" xr:uid="{08AD9211-3963-43A3-B2B3-F2FFB57FF16B}"/>
    <cellStyle name="Vírgula 9 2 2 3 2 3 3" xfId="5745" xr:uid="{243CB68A-AAE5-445B-B80A-C09E15A02E69}"/>
    <cellStyle name="Vírgula 9 2 2 3 2 3 4" xfId="9083" xr:uid="{FD0E97DC-0AFF-4BA9-B3F5-71C7FFF04EA9}"/>
    <cellStyle name="Vírgula 9 2 2 3 2 4" xfId="5746" xr:uid="{843EDC88-1666-4823-861B-83647810C1D6}"/>
    <cellStyle name="Vírgula 9 2 2 3 2 4 2" xfId="5747" xr:uid="{343E6E5A-DCCE-4F1A-A8A5-C44E30B147E4}"/>
    <cellStyle name="Vírgula 9 2 2 3 2 4 2 2" xfId="5748" xr:uid="{753EF05A-A2C8-4751-A686-2D5EC8B7DAC1}"/>
    <cellStyle name="Vírgula 9 2 2 3 2 4 2 3" xfId="9086" xr:uid="{8173E628-6639-4A83-9428-64354A9356CA}"/>
    <cellStyle name="Vírgula 9 2 2 3 2 4 3" xfId="5749" xr:uid="{2A42F638-F7FB-4796-B7E3-F92FB141C090}"/>
    <cellStyle name="Vírgula 9 2 2 3 2 4 4" xfId="9085" xr:uid="{D59F61B2-DDD0-45C7-B58F-FE32F2877D29}"/>
    <cellStyle name="Vírgula 9 2 2 3 2 5" xfId="5750" xr:uid="{25AFE8D5-1AA6-4027-9DA6-01ADBBFD49A9}"/>
    <cellStyle name="Vírgula 9 2 2 3 2 5 2" xfId="5751" xr:uid="{7F1F155B-48A7-4077-AA85-C66609E66DCE}"/>
    <cellStyle name="Vírgula 9 2 2 3 2 5 3" xfId="9087" xr:uid="{0A8849BE-6CFE-497E-A835-95B3A6419AEC}"/>
    <cellStyle name="Vírgula 9 2 2 3 2 6" xfId="5752" xr:uid="{D9188709-8A62-4CD3-A371-54743891398F}"/>
    <cellStyle name="Vírgula 9 2 2 3 2 7" xfId="9076" xr:uid="{88AB2B23-062B-48DB-9AF3-EFD36674553E}"/>
    <cellStyle name="Vírgula 9 2 2 3 3" xfId="5753" xr:uid="{3EF3D6C1-3A7D-4673-88B6-8A9050E1323D}"/>
    <cellStyle name="Vírgula 9 2 2 3 3 2" xfId="5754" xr:uid="{F1B47061-6B1A-4AB2-BE4E-BD5928DF46A3}"/>
    <cellStyle name="Vírgula 9 2 2 3 3 2 2" xfId="5755" xr:uid="{D6DD472E-FFBA-49AF-8BC2-038506263D00}"/>
    <cellStyle name="Vírgula 9 2 2 3 3 2 2 2" xfId="5756" xr:uid="{860C21D4-E7B9-4C03-8B90-390AE3DCA78F}"/>
    <cellStyle name="Vírgula 9 2 2 3 3 2 2 2 2" xfId="5757" xr:uid="{F0996DE1-05BD-443E-ABA6-AE137C4BFE70}"/>
    <cellStyle name="Vírgula 9 2 2 3 3 2 2 2 3" xfId="9091" xr:uid="{06891B29-0A4D-4CEE-BB48-DB39A1FD9AAB}"/>
    <cellStyle name="Vírgula 9 2 2 3 3 2 2 3" xfId="5758" xr:uid="{BDE05823-7FFE-4ED4-87D3-3832BD3990F2}"/>
    <cellStyle name="Vírgula 9 2 2 3 3 2 2 4" xfId="9090" xr:uid="{069F3CDD-1B2E-4FB9-A2FB-0DDAD7230E93}"/>
    <cellStyle name="Vírgula 9 2 2 3 3 2 3" xfId="5759" xr:uid="{D708ED87-86AC-47B9-9FB9-5C7D7C81B332}"/>
    <cellStyle name="Vírgula 9 2 2 3 3 2 3 2" xfId="5760" xr:uid="{9F3254E4-51C2-4885-B351-A8CE2E10DA49}"/>
    <cellStyle name="Vírgula 9 2 2 3 3 2 3 2 2" xfId="5761" xr:uid="{5F5427B3-4318-4F58-928B-396978B8ECA8}"/>
    <cellStyle name="Vírgula 9 2 2 3 3 2 3 2 3" xfId="9093" xr:uid="{F47A0C3F-28C0-4531-8A03-943F9B0FA261}"/>
    <cellStyle name="Vírgula 9 2 2 3 3 2 3 3" xfId="5762" xr:uid="{81A173B3-173D-4592-8BE9-CF549F1A6121}"/>
    <cellStyle name="Vírgula 9 2 2 3 3 2 3 4" xfId="9092" xr:uid="{76BA222C-747E-41E9-B907-52587B833A64}"/>
    <cellStyle name="Vírgula 9 2 2 3 3 2 4" xfId="5763" xr:uid="{075332FB-8337-45FD-B920-A4A3806A4C4E}"/>
    <cellStyle name="Vírgula 9 2 2 3 3 2 4 2" xfId="5764" xr:uid="{CA5B45EB-E4E1-487E-9C32-8DB710E0273A}"/>
    <cellStyle name="Vírgula 9 2 2 3 3 2 4 3" xfId="9094" xr:uid="{C68D0FC2-AF21-4557-AC46-619E131234EC}"/>
    <cellStyle name="Vírgula 9 2 2 3 3 2 5" xfId="5765" xr:uid="{F8C73F7A-7417-49B1-8841-8526D602B218}"/>
    <cellStyle name="Vírgula 9 2 2 3 3 2 6" xfId="9089" xr:uid="{46889B7F-AA35-4C3E-90A2-B9EA8624FB04}"/>
    <cellStyle name="Vírgula 9 2 2 3 3 3" xfId="5766" xr:uid="{637E6ABC-505E-45E3-A05B-B074B72D026F}"/>
    <cellStyle name="Vírgula 9 2 2 3 3 3 2" xfId="5767" xr:uid="{CFC16500-FB59-4BFF-B81F-6801309B42AA}"/>
    <cellStyle name="Vírgula 9 2 2 3 3 3 2 2" xfId="5768" xr:uid="{63EE63AE-411A-47B0-973E-F6B9B7B102C9}"/>
    <cellStyle name="Vírgula 9 2 2 3 3 3 2 3" xfId="9096" xr:uid="{B20F4290-7068-4D9A-AF9F-8AF2CD313C5A}"/>
    <cellStyle name="Vírgula 9 2 2 3 3 3 3" xfId="5769" xr:uid="{7154AD0E-D4B0-4EA0-8CB1-0E1176EE4936}"/>
    <cellStyle name="Vírgula 9 2 2 3 3 3 4" xfId="9095" xr:uid="{3546E1C8-7C52-4ACF-9D68-118BA5036B63}"/>
    <cellStyle name="Vírgula 9 2 2 3 3 4" xfId="5770" xr:uid="{E39DF2B9-10EB-4961-ACE4-38B106D7E8B5}"/>
    <cellStyle name="Vírgula 9 2 2 3 3 4 2" xfId="5771" xr:uid="{64FBAF29-6377-4CE7-AC76-DED88D5D3CDE}"/>
    <cellStyle name="Vírgula 9 2 2 3 3 4 2 2" xfId="5772" xr:uid="{B0BDC549-8A00-4CA8-BD70-BFE581ABF40D}"/>
    <cellStyle name="Vírgula 9 2 2 3 3 4 2 3" xfId="9098" xr:uid="{B3B691D3-AF90-452D-A0D0-87ADADCAB19A}"/>
    <cellStyle name="Vírgula 9 2 2 3 3 4 3" xfId="5773" xr:uid="{821EDDB5-AAB3-4FFF-8DDF-CAA64EC31B52}"/>
    <cellStyle name="Vírgula 9 2 2 3 3 4 4" xfId="9097" xr:uid="{DDEC0A0E-8251-44AC-9892-02B30EC0248C}"/>
    <cellStyle name="Vírgula 9 2 2 3 3 5" xfId="5774" xr:uid="{60A688FF-F80F-4A77-A47D-AD3BC544BCA2}"/>
    <cellStyle name="Vírgula 9 2 2 3 3 5 2" xfId="5775" xr:uid="{94E972B3-9F68-4612-B093-5E932F9F3B2D}"/>
    <cellStyle name="Vírgula 9 2 2 3 3 5 3" xfId="9099" xr:uid="{EE21B61D-6EAC-4F82-86FF-2458AC0BC836}"/>
    <cellStyle name="Vírgula 9 2 2 3 3 6" xfId="5776" xr:uid="{EC5F26DA-38D8-4886-B853-FAB2CFE4F6F2}"/>
    <cellStyle name="Vírgula 9 2 2 3 3 7" xfId="9088" xr:uid="{6FCDCA87-A137-4A11-A885-1F595C5909A1}"/>
    <cellStyle name="Vírgula 9 2 2 3 4" xfId="5777" xr:uid="{D4D808D8-A2B2-4583-8E00-E96F92F48582}"/>
    <cellStyle name="Vírgula 9 2 2 3 4 2" xfId="5778" xr:uid="{16736886-8A21-47AD-9B2D-66D0AC6BC63B}"/>
    <cellStyle name="Vírgula 9 2 2 3 4 2 2" xfId="5779" xr:uid="{A934CFEC-A122-4B1F-9277-FF284CFF170E}"/>
    <cellStyle name="Vírgula 9 2 2 3 4 2 2 2" xfId="5780" xr:uid="{F9B4B1BC-07B9-4A56-B25A-52C1947DCC6A}"/>
    <cellStyle name="Vírgula 9 2 2 3 4 2 2 3" xfId="9102" xr:uid="{DDF40135-970C-47C0-AA96-D9D7023FAEC9}"/>
    <cellStyle name="Vírgula 9 2 2 3 4 2 3" xfId="5781" xr:uid="{C0CF8C3D-F41F-4773-9328-919D00F7678D}"/>
    <cellStyle name="Vírgula 9 2 2 3 4 2 4" xfId="9101" xr:uid="{1BF3DADD-40BE-4D9F-9688-74FDA07A56EC}"/>
    <cellStyle name="Vírgula 9 2 2 3 4 3" xfId="5782" xr:uid="{6AF8666A-DA3E-486E-A1DA-954CAADC9771}"/>
    <cellStyle name="Vírgula 9 2 2 3 4 3 2" xfId="5783" xr:uid="{2AC6DF41-4AAE-44EC-A59D-E84CC93950F3}"/>
    <cellStyle name="Vírgula 9 2 2 3 4 3 2 2" xfId="5784" xr:uid="{01E6B411-3407-4F04-9D55-4C79B59E0A54}"/>
    <cellStyle name="Vírgula 9 2 2 3 4 3 2 3" xfId="9104" xr:uid="{CEA4AC90-D156-4656-8D9A-699300ABBBF4}"/>
    <cellStyle name="Vírgula 9 2 2 3 4 3 3" xfId="5785" xr:uid="{D0ABB9D4-A444-455A-B9D1-3B090BC4AD82}"/>
    <cellStyle name="Vírgula 9 2 2 3 4 3 4" xfId="9103" xr:uid="{640D10BC-B1A3-4708-92E5-FB76A342B38F}"/>
    <cellStyle name="Vírgula 9 2 2 3 4 4" xfId="5786" xr:uid="{8A4E6C8E-4247-4FF8-A095-59A814433511}"/>
    <cellStyle name="Vírgula 9 2 2 3 4 4 2" xfId="5787" xr:uid="{98DAFAE7-49AF-4261-B309-8979603F983D}"/>
    <cellStyle name="Vírgula 9 2 2 3 4 4 3" xfId="9105" xr:uid="{189DD3BF-5133-4D14-BC25-B5F2F8BE3B91}"/>
    <cellStyle name="Vírgula 9 2 2 3 4 5" xfId="5788" xr:uid="{99B6B9F8-B785-4DCD-9FB0-BEF9D3BC9EEF}"/>
    <cellStyle name="Vírgula 9 2 2 3 4 6" xfId="9100" xr:uid="{C65429D4-2CD0-456A-8724-64AA8EBEC79B}"/>
    <cellStyle name="Vírgula 9 2 2 3 5" xfId="5789" xr:uid="{A7A3B591-B9C0-465A-B23B-08C96B6B7C94}"/>
    <cellStyle name="Vírgula 9 2 2 3 5 2" xfId="5790" xr:uid="{435322DD-2896-41C1-8F38-913F5B07DB86}"/>
    <cellStyle name="Vírgula 9 2 2 3 5 2 2" xfId="5791" xr:uid="{A060D8F8-1B79-449F-8C29-02C89D30FB4A}"/>
    <cellStyle name="Vírgula 9 2 2 3 5 2 3" xfId="9107" xr:uid="{66C08262-5979-4F63-AE9A-235AB847C421}"/>
    <cellStyle name="Vírgula 9 2 2 3 5 3" xfId="5792" xr:uid="{45CCAA58-B4B6-4D17-ADAC-F19025738011}"/>
    <cellStyle name="Vírgula 9 2 2 3 5 4" xfId="9106" xr:uid="{EE2FB1F2-9AD7-4F78-98CA-8BECBA7310FE}"/>
    <cellStyle name="Vírgula 9 2 2 3 6" xfId="5793" xr:uid="{533C497A-C3C0-462E-8A98-700F05AC4037}"/>
    <cellStyle name="Vírgula 9 2 2 3 6 2" xfId="5794" xr:uid="{2E79EE74-73BD-436F-844D-B0EA4C9EC7B7}"/>
    <cellStyle name="Vírgula 9 2 2 3 6 2 2" xfId="5795" xr:uid="{AE2EC033-EF4A-4DCB-8E1E-F2DC1C7EC8FC}"/>
    <cellStyle name="Vírgula 9 2 2 3 6 2 3" xfId="9109" xr:uid="{86C965A3-2F04-4EE3-8BC0-7A64611AF98F}"/>
    <cellStyle name="Vírgula 9 2 2 3 6 3" xfId="5796" xr:uid="{BA220A64-9495-4C87-8E48-8E37EEFCF673}"/>
    <cellStyle name="Vírgula 9 2 2 3 6 4" xfId="9108" xr:uid="{71B8598F-341C-4093-884F-3D50450980DA}"/>
    <cellStyle name="Vírgula 9 2 2 3 7" xfId="5797" xr:uid="{06D3FE6B-B4CD-4E0F-8D62-CD5A7CEA8723}"/>
    <cellStyle name="Vírgula 9 2 2 3 7 2" xfId="5798" xr:uid="{141798E2-77B8-4DD0-BA7D-E8846698AEC0}"/>
    <cellStyle name="Vírgula 9 2 2 3 7 3" xfId="9110" xr:uid="{6DC35567-D86D-47A2-AC55-D136C3A5FC62}"/>
    <cellStyle name="Vírgula 9 2 2 3 8" xfId="5799" xr:uid="{8AD3071D-7E36-419C-B31A-BA83C5D819BA}"/>
    <cellStyle name="Vírgula 9 2 2 3 9" xfId="9075" xr:uid="{95299868-9B36-4D8E-BF05-FA4058507493}"/>
    <cellStyle name="Vírgula 9 2 2 4" xfId="5800" xr:uid="{5ACABBCF-1D98-462E-B1E3-35AF17E0A656}"/>
    <cellStyle name="Vírgula 9 2 2 4 2" xfId="5801" xr:uid="{3E23F81A-B14F-4C67-BA26-D34EDF733C08}"/>
    <cellStyle name="Vírgula 9 2 2 4 2 2" xfId="5802" xr:uid="{EE58D9C4-C724-4B0F-A2C0-AC7E740FC672}"/>
    <cellStyle name="Vírgula 9 2 2 4 2 2 2" xfId="5803" xr:uid="{01D81063-1D69-4EE0-AC30-EE702232CC04}"/>
    <cellStyle name="Vírgula 9 2 2 4 2 2 2 2" xfId="5804" xr:uid="{140FF8D3-AD06-4044-97CD-5FA3425D6015}"/>
    <cellStyle name="Vírgula 9 2 2 4 2 2 2 2 2" xfId="5805" xr:uid="{D591B9D8-362F-4351-8A66-24528B900379}"/>
    <cellStyle name="Vírgula 9 2 2 4 2 2 2 2 3" xfId="9115" xr:uid="{0DB62645-28DB-476F-BD2E-96B7B2B27393}"/>
    <cellStyle name="Vírgula 9 2 2 4 2 2 2 3" xfId="5806" xr:uid="{E7BC6A02-5678-4FEF-99B8-085006160875}"/>
    <cellStyle name="Vírgula 9 2 2 4 2 2 2 4" xfId="9114" xr:uid="{A28B3735-BDC7-4E85-9BB7-676AF3A32167}"/>
    <cellStyle name="Vírgula 9 2 2 4 2 2 3" xfId="5807" xr:uid="{3DA61AD1-C7D8-44DC-BC7F-FDCBBC4F2556}"/>
    <cellStyle name="Vírgula 9 2 2 4 2 2 3 2" xfId="5808" xr:uid="{3013443D-2748-4E42-A7CB-C5603E457010}"/>
    <cellStyle name="Vírgula 9 2 2 4 2 2 3 2 2" xfId="5809" xr:uid="{0927FAE1-58BD-44D2-9194-094458E224F9}"/>
    <cellStyle name="Vírgula 9 2 2 4 2 2 3 2 3" xfId="9117" xr:uid="{5AF942A6-BBFF-400F-B4C1-C4B34E4EF969}"/>
    <cellStyle name="Vírgula 9 2 2 4 2 2 3 3" xfId="5810" xr:uid="{D80B8946-E721-4E19-A3DF-17E103FC7A65}"/>
    <cellStyle name="Vírgula 9 2 2 4 2 2 3 4" xfId="9116" xr:uid="{86134FA9-DBCA-4465-9585-86804ECD8CB9}"/>
    <cellStyle name="Vírgula 9 2 2 4 2 2 4" xfId="5811" xr:uid="{4D26C8F1-1F31-450C-88D3-FC7F7685BE3A}"/>
    <cellStyle name="Vírgula 9 2 2 4 2 2 4 2" xfId="5812" xr:uid="{DE366A4A-0418-4C8E-885C-22D029D1CCDD}"/>
    <cellStyle name="Vírgula 9 2 2 4 2 2 4 3" xfId="9118" xr:uid="{0F728906-5718-43F4-A4EA-362D3F473906}"/>
    <cellStyle name="Vírgula 9 2 2 4 2 2 5" xfId="5813" xr:uid="{1A95269E-A14B-4520-A005-478DA61CC7E0}"/>
    <cellStyle name="Vírgula 9 2 2 4 2 2 6" xfId="9113" xr:uid="{968668A1-CAEB-4A68-AA54-EB11EC4F4140}"/>
    <cellStyle name="Vírgula 9 2 2 4 2 3" xfId="5814" xr:uid="{69FA31E2-CF6C-40D3-9B44-7959BE751D7A}"/>
    <cellStyle name="Vírgula 9 2 2 4 2 3 2" xfId="5815" xr:uid="{16EB6D50-4A7C-4FA9-91B9-D6BCC026BE9D}"/>
    <cellStyle name="Vírgula 9 2 2 4 2 3 2 2" xfId="5816" xr:uid="{160CA427-78A8-437F-9391-96DE05F745F4}"/>
    <cellStyle name="Vírgula 9 2 2 4 2 3 2 3" xfId="9120" xr:uid="{AE6D6296-CED6-41BF-A629-882E752E0F2E}"/>
    <cellStyle name="Vírgula 9 2 2 4 2 3 3" xfId="5817" xr:uid="{7BA2F649-9981-4592-A20A-81FE5DE54867}"/>
    <cellStyle name="Vírgula 9 2 2 4 2 3 4" xfId="9119" xr:uid="{42BEED7B-F1C6-406D-B39A-5F091642D5EC}"/>
    <cellStyle name="Vírgula 9 2 2 4 2 4" xfId="5818" xr:uid="{ACE70657-279A-4938-894C-8530E8053916}"/>
    <cellStyle name="Vírgula 9 2 2 4 2 4 2" xfId="5819" xr:uid="{724F70B5-A170-4D07-91E7-33878E3922A5}"/>
    <cellStyle name="Vírgula 9 2 2 4 2 4 2 2" xfId="5820" xr:uid="{0C2CB050-B2D0-4752-AD36-BBC47D090D5A}"/>
    <cellStyle name="Vírgula 9 2 2 4 2 4 2 3" xfId="9122" xr:uid="{45A95887-722B-41A4-ADEB-140EF8866079}"/>
    <cellStyle name="Vírgula 9 2 2 4 2 4 3" xfId="5821" xr:uid="{62CB3CF1-9280-41B0-AFE0-1C266891E281}"/>
    <cellStyle name="Vírgula 9 2 2 4 2 4 4" xfId="9121" xr:uid="{6B0CB30C-0CB1-4040-B43E-138FBBB50107}"/>
    <cellStyle name="Vírgula 9 2 2 4 2 5" xfId="5822" xr:uid="{404B1E79-0E7A-4C34-9783-DF6FD0ABBDB7}"/>
    <cellStyle name="Vírgula 9 2 2 4 2 5 2" xfId="5823" xr:uid="{9686ECC7-252A-438B-9EFF-B2D23E49FBEF}"/>
    <cellStyle name="Vírgula 9 2 2 4 2 5 3" xfId="9123" xr:uid="{CD410064-3405-45F8-AA2E-B5605B9896FD}"/>
    <cellStyle name="Vírgula 9 2 2 4 2 6" xfId="5824" xr:uid="{39D57E7D-DA1F-485A-B3BD-15639796EFD8}"/>
    <cellStyle name="Vírgula 9 2 2 4 2 7" xfId="9112" xr:uid="{3EEC61AC-88AE-4D43-89D1-EB783F059E25}"/>
    <cellStyle name="Vírgula 9 2 2 4 3" xfId="5825" xr:uid="{630BBC58-0BD4-4F4C-AC0D-96761313F744}"/>
    <cellStyle name="Vírgula 9 2 2 4 3 2" xfId="5826" xr:uid="{68E4891F-D2CA-4BFC-A0EE-B052E0AAFAFF}"/>
    <cellStyle name="Vírgula 9 2 2 4 3 2 2" xfId="5827" xr:uid="{67321BD8-4992-47A4-9ECE-29461D64A843}"/>
    <cellStyle name="Vírgula 9 2 2 4 3 2 2 2" xfId="5828" xr:uid="{18E93FA2-9ABE-4006-BA75-0610690B38E3}"/>
    <cellStyle name="Vírgula 9 2 2 4 3 2 2 2 2" xfId="5829" xr:uid="{FE969C5C-EC07-492E-8BD4-135631B35D84}"/>
    <cellStyle name="Vírgula 9 2 2 4 3 2 2 2 3" xfId="9127" xr:uid="{7F1ABC43-AE92-4F6A-B8A1-5C878F3934B8}"/>
    <cellStyle name="Vírgula 9 2 2 4 3 2 2 3" xfId="5830" xr:uid="{AC22B021-7BFE-47DD-B447-7104EBD36657}"/>
    <cellStyle name="Vírgula 9 2 2 4 3 2 2 4" xfId="9126" xr:uid="{A777723C-0F31-4954-9E53-53E9E9F4F75A}"/>
    <cellStyle name="Vírgula 9 2 2 4 3 2 3" xfId="5831" xr:uid="{15712451-7369-4EE2-81A6-12E0397A348F}"/>
    <cellStyle name="Vírgula 9 2 2 4 3 2 3 2" xfId="5832" xr:uid="{2A85DE33-ADCD-4FD0-8545-B40FAA26E3BA}"/>
    <cellStyle name="Vírgula 9 2 2 4 3 2 3 2 2" xfId="5833" xr:uid="{32081ECA-3215-4BEF-9C0E-534AAA207E65}"/>
    <cellStyle name="Vírgula 9 2 2 4 3 2 3 2 3" xfId="9129" xr:uid="{4D5CCA98-7FC1-4D0C-ACDA-776A92D81E72}"/>
    <cellStyle name="Vírgula 9 2 2 4 3 2 3 3" xfId="5834" xr:uid="{E1E03656-CF51-4F48-ABB0-7AA1140A7DC7}"/>
    <cellStyle name="Vírgula 9 2 2 4 3 2 3 4" xfId="9128" xr:uid="{A597FC38-969C-4110-8455-A67C092AC100}"/>
    <cellStyle name="Vírgula 9 2 2 4 3 2 4" xfId="5835" xr:uid="{767095FD-0EC8-4B07-8296-F1980B97D4FA}"/>
    <cellStyle name="Vírgula 9 2 2 4 3 2 4 2" xfId="5836" xr:uid="{D6E573B2-296E-4467-AAF6-A653674A5966}"/>
    <cellStyle name="Vírgula 9 2 2 4 3 2 4 3" xfId="9130" xr:uid="{1573FA3E-81B4-43AA-9442-9D44DEE28983}"/>
    <cellStyle name="Vírgula 9 2 2 4 3 2 5" xfId="5837" xr:uid="{AAABE4A0-10D0-4018-B593-00D3B0DFB8E9}"/>
    <cellStyle name="Vírgula 9 2 2 4 3 2 6" xfId="9125" xr:uid="{D0EB46C7-421F-49B3-A008-06420EAA085A}"/>
    <cellStyle name="Vírgula 9 2 2 4 3 3" xfId="5838" xr:uid="{DCECDA8F-9FB4-4A8B-A24B-5A5014D40EFE}"/>
    <cellStyle name="Vírgula 9 2 2 4 3 3 2" xfId="5839" xr:uid="{0C65D1A4-770A-48A7-993B-DD2652B4BDB7}"/>
    <cellStyle name="Vírgula 9 2 2 4 3 3 2 2" xfId="5840" xr:uid="{F218EB35-DFD6-4E00-9F4F-AAADD3FEA507}"/>
    <cellStyle name="Vírgula 9 2 2 4 3 3 2 3" xfId="9132" xr:uid="{6B0C9CFB-4AD2-45CC-8C54-CCAF9B69FBED}"/>
    <cellStyle name="Vírgula 9 2 2 4 3 3 3" xfId="5841" xr:uid="{9B3CE0EE-846C-49AB-BD2F-0888BB4AB9B4}"/>
    <cellStyle name="Vírgula 9 2 2 4 3 3 4" xfId="9131" xr:uid="{75AE4EED-EBB5-42CC-8835-AB0C76A61026}"/>
    <cellStyle name="Vírgula 9 2 2 4 3 4" xfId="5842" xr:uid="{E417292E-C49C-45F1-B266-EA175A8855CD}"/>
    <cellStyle name="Vírgula 9 2 2 4 3 4 2" xfId="5843" xr:uid="{8AE12E7F-9B49-4097-AC5F-089A19EC09F3}"/>
    <cellStyle name="Vírgula 9 2 2 4 3 4 2 2" xfId="5844" xr:uid="{EA702B17-2D46-430D-9547-F04440D0AA3C}"/>
    <cellStyle name="Vírgula 9 2 2 4 3 4 2 3" xfId="9134" xr:uid="{47D3B5CB-0802-4CD0-AC0F-1A422D0A8862}"/>
    <cellStyle name="Vírgula 9 2 2 4 3 4 3" xfId="5845" xr:uid="{F634AC82-22EB-43FA-BF7D-227D6D2028C7}"/>
    <cellStyle name="Vírgula 9 2 2 4 3 4 4" xfId="9133" xr:uid="{B81F1A18-E35F-4514-8246-3E4C209332AE}"/>
    <cellStyle name="Vírgula 9 2 2 4 3 5" xfId="5846" xr:uid="{2E4B8244-3E1B-4C8D-B864-87F7BE5C0912}"/>
    <cellStyle name="Vírgula 9 2 2 4 3 5 2" xfId="5847" xr:uid="{3A13BCA2-187F-48CE-B1A1-B0105B33DD47}"/>
    <cellStyle name="Vírgula 9 2 2 4 3 5 3" xfId="9135" xr:uid="{B360631C-A3F1-4683-AEDC-BB7A491CCA18}"/>
    <cellStyle name="Vírgula 9 2 2 4 3 6" xfId="5848" xr:uid="{94558CC5-E6C3-4F2E-9A38-BCDEF6B14C20}"/>
    <cellStyle name="Vírgula 9 2 2 4 3 7" xfId="9124" xr:uid="{BE8B0EFF-C336-4EB2-AB08-C4BFED49CA31}"/>
    <cellStyle name="Vírgula 9 2 2 4 4" xfId="5849" xr:uid="{849CA2D5-302A-4BF1-9B47-3BADD20E9767}"/>
    <cellStyle name="Vírgula 9 2 2 4 4 2" xfId="5850" xr:uid="{348AB636-AB3B-49AE-BFE8-29F667DA96EC}"/>
    <cellStyle name="Vírgula 9 2 2 4 4 2 2" xfId="5851" xr:uid="{FB816260-71A0-479C-BA15-DE7081E54C64}"/>
    <cellStyle name="Vírgula 9 2 2 4 4 2 2 2" xfId="5852" xr:uid="{86BB0A3A-CBE8-4AE8-8121-0E087073060A}"/>
    <cellStyle name="Vírgula 9 2 2 4 4 2 2 3" xfId="9138" xr:uid="{1DB918EF-035E-4DC0-AA0B-78857FD1AD6D}"/>
    <cellStyle name="Vírgula 9 2 2 4 4 2 3" xfId="5853" xr:uid="{CC12B0E3-0D39-4EB4-9776-90559E08422D}"/>
    <cellStyle name="Vírgula 9 2 2 4 4 2 4" xfId="9137" xr:uid="{89714A62-57A1-4B91-8E16-0CBB46053588}"/>
    <cellStyle name="Vírgula 9 2 2 4 4 3" xfId="5854" xr:uid="{EBD2EA4C-A68E-45BE-9EE5-F966C63EC757}"/>
    <cellStyle name="Vírgula 9 2 2 4 4 3 2" xfId="5855" xr:uid="{B5228BE5-3E9E-42BE-B464-F37DDC8C6853}"/>
    <cellStyle name="Vírgula 9 2 2 4 4 3 2 2" xfId="5856" xr:uid="{46FFEA90-0167-4149-9945-707FA47C16B4}"/>
    <cellStyle name="Vírgula 9 2 2 4 4 3 2 3" xfId="9140" xr:uid="{3DABAFD4-2BC4-45A4-BE3B-C4EA69D60CA9}"/>
    <cellStyle name="Vírgula 9 2 2 4 4 3 3" xfId="5857" xr:uid="{D1C71DF5-9DE4-4670-AC36-984C66AC187D}"/>
    <cellStyle name="Vírgula 9 2 2 4 4 3 4" xfId="9139" xr:uid="{94FBB1EF-64D4-408C-8790-0284CE9188A3}"/>
    <cellStyle name="Vírgula 9 2 2 4 4 4" xfId="5858" xr:uid="{E714E1CB-6A95-43E3-BD92-765D8455569D}"/>
    <cellStyle name="Vírgula 9 2 2 4 4 4 2" xfId="5859" xr:uid="{C23D4D53-D140-4094-983F-C64565086616}"/>
    <cellStyle name="Vírgula 9 2 2 4 4 4 3" xfId="9141" xr:uid="{DAA55847-46D7-41FA-91F3-ADEC8B7A49B7}"/>
    <cellStyle name="Vírgula 9 2 2 4 4 5" xfId="5860" xr:uid="{E72BF2A6-B382-4E01-AC10-E06F6B0F9177}"/>
    <cellStyle name="Vírgula 9 2 2 4 4 6" xfId="9136" xr:uid="{CA08A078-AD4A-4DD6-8D9B-2C3EBCFFE223}"/>
    <cellStyle name="Vírgula 9 2 2 4 5" xfId="5861" xr:uid="{F0FDFFFE-DDA7-4BCE-9006-5C01A8D3AD4D}"/>
    <cellStyle name="Vírgula 9 2 2 4 5 2" xfId="5862" xr:uid="{0C09A65E-EFAC-4063-880F-B0B3836D7DDA}"/>
    <cellStyle name="Vírgula 9 2 2 4 5 2 2" xfId="5863" xr:uid="{C66F2F06-0039-47AA-9F49-BA3805FDD172}"/>
    <cellStyle name="Vírgula 9 2 2 4 5 2 3" xfId="9143" xr:uid="{C21022EA-87DE-48AC-B47A-F2D090EF6E5B}"/>
    <cellStyle name="Vírgula 9 2 2 4 5 3" xfId="5864" xr:uid="{06ED50E6-2255-4630-9347-68B016140950}"/>
    <cellStyle name="Vírgula 9 2 2 4 5 4" xfId="9142" xr:uid="{31A22646-1760-4A71-92A9-6469EA90CB48}"/>
    <cellStyle name="Vírgula 9 2 2 4 6" xfId="5865" xr:uid="{F89EBD85-813E-4DC9-95D9-76403EA51327}"/>
    <cellStyle name="Vírgula 9 2 2 4 6 2" xfId="5866" xr:uid="{4B140847-35AE-462F-B416-EDA79B1979C0}"/>
    <cellStyle name="Vírgula 9 2 2 4 6 2 2" xfId="5867" xr:uid="{AA0A9328-35A0-43E6-8781-CEB8EAD41F8B}"/>
    <cellStyle name="Vírgula 9 2 2 4 6 2 3" xfId="9145" xr:uid="{2F219645-5587-485D-B981-61DCB501339C}"/>
    <cellStyle name="Vírgula 9 2 2 4 6 3" xfId="5868" xr:uid="{7C4FC7FC-C6F1-4F35-8E62-A2367235DB5C}"/>
    <cellStyle name="Vírgula 9 2 2 4 6 4" xfId="9144" xr:uid="{A4E392D2-51F7-47C7-9EAD-89F060D840A7}"/>
    <cellStyle name="Vírgula 9 2 2 4 7" xfId="5869" xr:uid="{A32F3947-0F9F-4E54-B944-F99BE9BF36C7}"/>
    <cellStyle name="Vírgula 9 2 2 4 7 2" xfId="5870" xr:uid="{895F7858-DE50-4CC7-9F87-074EB190B63F}"/>
    <cellStyle name="Vírgula 9 2 2 4 7 3" xfId="9146" xr:uid="{90735F8D-9A94-49DB-9C33-30CADB54FFDB}"/>
    <cellStyle name="Vírgula 9 2 2 4 8" xfId="5871" xr:uid="{3182708E-4C9F-4003-8899-7FC277330C15}"/>
    <cellStyle name="Vírgula 9 2 2 4 9" xfId="9111" xr:uid="{4282A68A-0BB1-4E4C-B868-C64D3974AB96}"/>
    <cellStyle name="Vírgula 9 2 2 5" xfId="5872" xr:uid="{DF2EAB59-9C9B-46A0-93CA-7E3EB433D65D}"/>
    <cellStyle name="Vírgula 9 2 2 5 2" xfId="5873" xr:uid="{450A639B-D079-443C-9FA3-273C6F6377E2}"/>
    <cellStyle name="Vírgula 9 2 2 5 2 2" xfId="5874" xr:uid="{BA311420-A150-4224-9DCD-8CE4CB212F3C}"/>
    <cellStyle name="Vírgula 9 2 2 5 2 2 2" xfId="5875" xr:uid="{FAC522F1-84A9-4C68-AD9F-CCA3CD159AAF}"/>
    <cellStyle name="Vírgula 9 2 2 5 2 2 2 2" xfId="5876" xr:uid="{1830B530-338F-422D-9D6B-8F9E8DB13EF2}"/>
    <cellStyle name="Vírgula 9 2 2 5 2 2 2 3" xfId="9150" xr:uid="{35164D3D-862F-4E4B-9DB6-4DFDCC8CE978}"/>
    <cellStyle name="Vírgula 9 2 2 5 2 2 3" xfId="5877" xr:uid="{5DF7856D-7943-49BE-BF7E-C66EC0338512}"/>
    <cellStyle name="Vírgula 9 2 2 5 2 2 4" xfId="9149" xr:uid="{D3CE79E5-DCD3-413E-9D88-7C830273EE3C}"/>
    <cellStyle name="Vírgula 9 2 2 5 2 3" xfId="5878" xr:uid="{5AB268BB-684C-4482-83B2-A3A9B23D99DD}"/>
    <cellStyle name="Vírgula 9 2 2 5 2 3 2" xfId="5879" xr:uid="{DEE74C54-CBC4-47C6-B592-4FD7FD0C1E2B}"/>
    <cellStyle name="Vírgula 9 2 2 5 2 3 2 2" xfId="5880" xr:uid="{F9F1546F-67F7-4FA5-9908-B4250CF0DEF7}"/>
    <cellStyle name="Vírgula 9 2 2 5 2 3 2 3" xfId="9152" xr:uid="{ACEE2813-4B2A-4EDF-8449-E484943A67F3}"/>
    <cellStyle name="Vírgula 9 2 2 5 2 3 3" xfId="5881" xr:uid="{19513F04-3B5C-4F50-B734-76731203FD3D}"/>
    <cellStyle name="Vírgula 9 2 2 5 2 3 4" xfId="9151" xr:uid="{17A00F11-9D7A-4D87-AF64-B2C552422ADA}"/>
    <cellStyle name="Vírgula 9 2 2 5 2 4" xfId="5882" xr:uid="{C5CFDB6A-E6B0-4EB8-8012-CA956B085ACD}"/>
    <cellStyle name="Vírgula 9 2 2 5 2 4 2" xfId="5883" xr:uid="{6F31984D-5E11-4BDE-B4F7-70C50F1BE9E4}"/>
    <cellStyle name="Vírgula 9 2 2 5 2 4 3" xfId="9153" xr:uid="{77C623F4-7ACE-4D99-B23F-BCCD7BB241DA}"/>
    <cellStyle name="Vírgula 9 2 2 5 2 5" xfId="5884" xr:uid="{8DF35819-E7D1-41EE-941C-59A3590C6FC4}"/>
    <cellStyle name="Vírgula 9 2 2 5 2 6" xfId="9148" xr:uid="{926E2067-DA81-4B33-A204-5F895CDA24AA}"/>
    <cellStyle name="Vírgula 9 2 2 5 3" xfId="5885" xr:uid="{FF146B56-33D1-4A75-950E-1726F124057A}"/>
    <cellStyle name="Vírgula 9 2 2 5 3 2" xfId="5886" xr:uid="{4EFAECDB-B8C0-417D-9864-1C2A8F4A4C13}"/>
    <cellStyle name="Vírgula 9 2 2 5 3 2 2" xfId="5887" xr:uid="{12428993-4D96-4253-9C24-DEBCDC5E103A}"/>
    <cellStyle name="Vírgula 9 2 2 5 3 2 3" xfId="9155" xr:uid="{937E472A-961F-4D98-9E49-186B39D0C2C9}"/>
    <cellStyle name="Vírgula 9 2 2 5 3 3" xfId="5888" xr:uid="{BE1A2516-BE2D-4DEE-B058-EC144BB859A4}"/>
    <cellStyle name="Vírgula 9 2 2 5 3 4" xfId="9154" xr:uid="{592909DF-AF62-4409-9EF2-CA3378263432}"/>
    <cellStyle name="Vírgula 9 2 2 5 4" xfId="5889" xr:uid="{428A0C0F-6AF1-49FE-9364-D97DCD59B570}"/>
    <cellStyle name="Vírgula 9 2 2 5 4 2" xfId="5890" xr:uid="{2376E4D0-43DE-476D-BEFD-2767E3ABE726}"/>
    <cellStyle name="Vírgula 9 2 2 5 4 2 2" xfId="5891" xr:uid="{189AD411-A1C4-4B70-BBEF-C9B6001622B6}"/>
    <cellStyle name="Vírgula 9 2 2 5 4 2 3" xfId="9157" xr:uid="{85F9A644-E5D4-47A3-B5CE-E24A0045E738}"/>
    <cellStyle name="Vírgula 9 2 2 5 4 3" xfId="5892" xr:uid="{F4D2A694-44E7-4042-9BCC-B828C412C51E}"/>
    <cellStyle name="Vírgula 9 2 2 5 4 4" xfId="9156" xr:uid="{02051865-F0AB-49B5-84D8-14217155DD84}"/>
    <cellStyle name="Vírgula 9 2 2 5 5" xfId="5893" xr:uid="{9479119F-C6DD-4A87-A715-37767AAF6DF8}"/>
    <cellStyle name="Vírgula 9 2 2 5 5 2" xfId="5894" xr:uid="{BDE0F292-326D-42D6-9FE7-657A17499948}"/>
    <cellStyle name="Vírgula 9 2 2 5 5 3" xfId="9158" xr:uid="{0A7B4467-2DBC-432C-9EC5-B47FE03B7668}"/>
    <cellStyle name="Vírgula 9 2 2 5 6" xfId="5895" xr:uid="{0F3F8CA7-05D6-477E-97CC-D358876D74B1}"/>
    <cellStyle name="Vírgula 9 2 2 5 7" xfId="9147" xr:uid="{FAB51B0D-BDCF-4558-AE06-5EDAE785F85B}"/>
    <cellStyle name="Vírgula 9 2 2 6" xfId="5896" xr:uid="{A30F6C19-A067-4771-A1EB-FDDD06930FCF}"/>
    <cellStyle name="Vírgula 9 2 2 6 2" xfId="5897" xr:uid="{B95CF8D8-E237-481F-AAB9-171A46E5ADC5}"/>
    <cellStyle name="Vírgula 9 2 2 6 2 2" xfId="5898" xr:uid="{8D23524C-CAAB-49F5-BD22-3FA8273A9310}"/>
    <cellStyle name="Vírgula 9 2 2 6 2 2 2" xfId="5899" xr:uid="{81E231B4-0671-430D-9AEE-DBA7BAEFA71B}"/>
    <cellStyle name="Vírgula 9 2 2 6 2 2 2 2" xfId="5900" xr:uid="{E15314FD-5973-4942-89BE-C61A1B962AE3}"/>
    <cellStyle name="Vírgula 9 2 2 6 2 2 2 3" xfId="9162" xr:uid="{B98FA298-9DE6-4BCC-861C-8FBBBD1B44DF}"/>
    <cellStyle name="Vírgula 9 2 2 6 2 2 3" xfId="5901" xr:uid="{3B743FA2-4FC3-4FBC-875E-6675A08CA107}"/>
    <cellStyle name="Vírgula 9 2 2 6 2 2 4" xfId="9161" xr:uid="{B9106098-69FE-4BDE-8CFC-1F176CDECE4E}"/>
    <cellStyle name="Vírgula 9 2 2 6 2 3" xfId="5902" xr:uid="{0601AE3D-D317-4198-BAF1-4DFF8DE3E1AF}"/>
    <cellStyle name="Vírgula 9 2 2 6 2 3 2" xfId="5903" xr:uid="{94C064FD-A72D-4ED2-B122-21F8E467619E}"/>
    <cellStyle name="Vírgula 9 2 2 6 2 3 2 2" xfId="5904" xr:uid="{D05C25AB-CD73-4AD5-A1F9-54E6483F551D}"/>
    <cellStyle name="Vírgula 9 2 2 6 2 3 2 3" xfId="9164" xr:uid="{94A65F0F-1F33-419E-94A9-47F0A29E9EA2}"/>
    <cellStyle name="Vírgula 9 2 2 6 2 3 3" xfId="5905" xr:uid="{4BEA9700-6827-43D7-838A-BC6FBE081871}"/>
    <cellStyle name="Vírgula 9 2 2 6 2 3 4" xfId="9163" xr:uid="{3ED1697A-C6E3-431D-BBD1-AA9CB3E28FD5}"/>
    <cellStyle name="Vírgula 9 2 2 6 2 4" xfId="5906" xr:uid="{F8E8D1A3-AB21-46A9-A655-7A11360B847C}"/>
    <cellStyle name="Vírgula 9 2 2 6 2 4 2" xfId="5907" xr:uid="{37CB7EF4-28FE-4844-A3E7-D673D869198A}"/>
    <cellStyle name="Vírgula 9 2 2 6 2 4 3" xfId="9165" xr:uid="{A3A8E498-C8D0-4995-9C18-0890668D009F}"/>
    <cellStyle name="Vírgula 9 2 2 6 2 5" xfId="5908" xr:uid="{F261D6D0-D170-4AED-BF7C-5E42DCB73160}"/>
    <cellStyle name="Vírgula 9 2 2 6 2 6" xfId="9160" xr:uid="{34066FC6-93D1-4557-9FDA-3C58709813C9}"/>
    <cellStyle name="Vírgula 9 2 2 6 3" xfId="5909" xr:uid="{778D3B99-99B4-4CDB-AA4E-746B5A1A511B}"/>
    <cellStyle name="Vírgula 9 2 2 6 3 2" xfId="5910" xr:uid="{7D214DF0-904E-4234-8A46-4F1E92DD6768}"/>
    <cellStyle name="Vírgula 9 2 2 6 3 2 2" xfId="5911" xr:uid="{6DBE6FB3-ABE5-45DA-A7E4-B144AD01E610}"/>
    <cellStyle name="Vírgula 9 2 2 6 3 2 3" xfId="9167" xr:uid="{DC87771F-E3B7-4E9D-AC0B-F58FE9A9BE1D}"/>
    <cellStyle name="Vírgula 9 2 2 6 3 3" xfId="5912" xr:uid="{DB2F882D-57FA-4152-A36B-B4C7A6F71AD7}"/>
    <cellStyle name="Vírgula 9 2 2 6 3 4" xfId="9166" xr:uid="{8E5115B8-C6DA-4D3F-8363-12198C862983}"/>
    <cellStyle name="Vírgula 9 2 2 6 4" xfId="5913" xr:uid="{1E04D658-A053-4690-B0D5-32D942E9250E}"/>
    <cellStyle name="Vírgula 9 2 2 6 4 2" xfId="5914" xr:uid="{263F3F98-F74C-497B-96B2-15812848E19E}"/>
    <cellStyle name="Vírgula 9 2 2 6 4 2 2" xfId="5915" xr:uid="{73D7F78C-ACFC-412C-BF4F-2611F74DFAA8}"/>
    <cellStyle name="Vírgula 9 2 2 6 4 2 3" xfId="9169" xr:uid="{316CF0E4-1185-489E-92E7-3784CC00FADD}"/>
    <cellStyle name="Vírgula 9 2 2 6 4 3" xfId="5916" xr:uid="{123BBC52-2068-438E-8D5F-F33DC9A7A524}"/>
    <cellStyle name="Vírgula 9 2 2 6 4 4" xfId="9168" xr:uid="{343B34A8-CF15-43B8-814C-12281ADE2751}"/>
    <cellStyle name="Vírgula 9 2 2 6 5" xfId="5917" xr:uid="{1A658E68-81E4-4E95-84FF-7E62115755DF}"/>
    <cellStyle name="Vírgula 9 2 2 6 5 2" xfId="5918" xr:uid="{D29E7608-DBBE-459F-8AAD-33378D8BB42D}"/>
    <cellStyle name="Vírgula 9 2 2 6 5 3" xfId="9170" xr:uid="{25D519BD-1B59-42D6-89EB-FF3E71501008}"/>
    <cellStyle name="Vírgula 9 2 2 6 6" xfId="5919" xr:uid="{27889F92-6277-4A36-8401-9C1EA3C08C03}"/>
    <cellStyle name="Vírgula 9 2 2 6 7" xfId="9159" xr:uid="{3740503E-AC1A-4269-A1EA-8B1C5ED8FAA1}"/>
    <cellStyle name="Vírgula 9 2 2 7" xfId="5920" xr:uid="{DABEA3C2-0640-408F-BCAE-28E138B3AEE7}"/>
    <cellStyle name="Vírgula 9 2 2 7 2" xfId="5921" xr:uid="{31631DF7-9296-42EC-965F-6F75A4B3E1F5}"/>
    <cellStyle name="Vírgula 9 2 2 7 2 2" xfId="5922" xr:uid="{2F7A086A-949E-49A3-B148-886804E313FF}"/>
    <cellStyle name="Vírgula 9 2 2 7 2 2 2" xfId="5923" xr:uid="{C40D0F2F-18CA-473A-B091-A8F0FD3B3B97}"/>
    <cellStyle name="Vírgula 9 2 2 7 2 2 3" xfId="9173" xr:uid="{CD329DA6-8CB7-4A26-A01E-A0FFD17BCA1F}"/>
    <cellStyle name="Vírgula 9 2 2 7 2 3" xfId="5924" xr:uid="{7E0BFB62-C585-4A2B-915C-58051742FBB3}"/>
    <cellStyle name="Vírgula 9 2 2 7 2 4" xfId="9172" xr:uid="{828DA8CC-8244-41C9-A5B7-C16FA4ABB1BF}"/>
    <cellStyle name="Vírgula 9 2 2 7 3" xfId="5925" xr:uid="{6D86FCDE-DBEB-48DB-841F-2881F10EFCF4}"/>
    <cellStyle name="Vírgula 9 2 2 7 3 2" xfId="5926" xr:uid="{15F9E822-30CE-4560-B543-A00B6501CB32}"/>
    <cellStyle name="Vírgula 9 2 2 7 3 2 2" xfId="5927" xr:uid="{DE163642-A5EA-44EF-A390-E7EEBB2708FA}"/>
    <cellStyle name="Vírgula 9 2 2 7 3 2 3" xfId="9175" xr:uid="{B8AA61DE-8EF0-48C0-84DE-DA414345148A}"/>
    <cellStyle name="Vírgula 9 2 2 7 3 3" xfId="5928" xr:uid="{72476249-3A50-48F9-A024-6DADDCEA2CB4}"/>
    <cellStyle name="Vírgula 9 2 2 7 3 4" xfId="9174" xr:uid="{16C00107-7199-4EE7-A7B2-BF4FE198A476}"/>
    <cellStyle name="Vírgula 9 2 2 7 4" xfId="5929" xr:uid="{190A3912-AACE-4D1B-ABCC-625FBBC949E2}"/>
    <cellStyle name="Vírgula 9 2 2 7 4 2" xfId="5930" xr:uid="{35387D20-01D3-498A-A4A4-BDB0DCE26AB2}"/>
    <cellStyle name="Vírgula 9 2 2 7 4 3" xfId="9176" xr:uid="{F7A59BD5-4EB8-41DA-A153-A6EFA10C5246}"/>
    <cellStyle name="Vírgula 9 2 2 7 5" xfId="5931" xr:uid="{3289A051-03BB-4EA7-B6D3-453A6972822F}"/>
    <cellStyle name="Vírgula 9 2 2 7 6" xfId="9171" xr:uid="{32558904-A364-4590-A8AA-0023932C7152}"/>
    <cellStyle name="Vírgula 9 2 2 8" xfId="5932" xr:uid="{BE3F91FA-A7EA-4346-A109-698980F857E4}"/>
    <cellStyle name="Vírgula 9 2 2 8 2" xfId="5933" xr:uid="{2E2B0D2C-F157-453D-8C87-98F4EFDC00A5}"/>
    <cellStyle name="Vírgula 9 2 2 8 2 2" xfId="5934" xr:uid="{AC5912CE-3608-406D-A6D3-0C8DE483EAA4}"/>
    <cellStyle name="Vírgula 9 2 2 8 2 3" xfId="9178" xr:uid="{100F3A2F-3F56-447B-AF30-D93F0C9C3845}"/>
    <cellStyle name="Vírgula 9 2 2 8 3" xfId="5935" xr:uid="{4C27B1C1-04AC-4CFF-B0F6-4576BC5D4219}"/>
    <cellStyle name="Vírgula 9 2 2 8 4" xfId="9177" xr:uid="{7931B017-65E4-420F-A4F7-6C49A1A36A73}"/>
    <cellStyle name="Vírgula 9 2 2 9" xfId="5936" xr:uid="{6E954C9C-ED72-4C7A-AF95-1A88220C67BD}"/>
    <cellStyle name="Vírgula 9 2 2 9 2" xfId="5937" xr:uid="{CCDBFCDF-AFB2-41D8-B954-21DB7F86D2AA}"/>
    <cellStyle name="Vírgula 9 2 2 9 2 2" xfId="5938" xr:uid="{EDF6C380-6D26-470D-8D18-A01F3DCAB78D}"/>
    <cellStyle name="Vírgula 9 2 2 9 2 3" xfId="9180" xr:uid="{E2C61AC3-BBB5-4F70-A810-49C9357657EE}"/>
    <cellStyle name="Vírgula 9 2 2 9 3" xfId="5939" xr:uid="{DD4E2E6A-7215-41BA-84BB-B95B66AFD8B4}"/>
    <cellStyle name="Vírgula 9 2 2 9 4" xfId="9179" xr:uid="{8DB5D77C-5341-4686-A47F-BBD754A64D7A}"/>
    <cellStyle name="Vírgula 9 2 3" xfId="5940" xr:uid="{CBA233AD-3691-477D-A761-76799E7E24AB}"/>
    <cellStyle name="Vírgula 9 2 3 2" xfId="5941" xr:uid="{626E6038-D176-480D-804A-6B1181438C02}"/>
    <cellStyle name="Vírgula 9 2 3 2 2" xfId="5942" xr:uid="{AD655425-7C82-4E17-A211-7E755140FB1B}"/>
    <cellStyle name="Vírgula 9 2 3 2 2 2" xfId="5943" xr:uid="{204A3FBD-51BA-4F0D-98D3-BC595B78BC84}"/>
    <cellStyle name="Vírgula 9 2 3 2 2 2 2" xfId="5944" xr:uid="{A74EFEAA-2FA0-4130-8A49-BE721BA4F514}"/>
    <cellStyle name="Vírgula 9 2 3 2 2 2 2 2" xfId="5945" xr:uid="{720F3AAD-0DD3-414B-9C38-9812B895735F}"/>
    <cellStyle name="Vírgula 9 2 3 2 2 2 2 3" xfId="9185" xr:uid="{4632A593-CCDC-418F-8432-AB94526655E5}"/>
    <cellStyle name="Vírgula 9 2 3 2 2 2 3" xfId="5946" xr:uid="{28414706-1A33-4A2E-9F2A-791E423219DF}"/>
    <cellStyle name="Vírgula 9 2 3 2 2 2 4" xfId="9184" xr:uid="{CEF32F67-9565-402D-B4F5-19FF5FD7547C}"/>
    <cellStyle name="Vírgula 9 2 3 2 2 3" xfId="5947" xr:uid="{089B6803-E106-492F-9B01-E4FCC0755C12}"/>
    <cellStyle name="Vírgula 9 2 3 2 2 3 2" xfId="5948" xr:uid="{509B0A54-905C-4762-B478-FB8C09EB69F4}"/>
    <cellStyle name="Vírgula 9 2 3 2 2 3 2 2" xfId="5949" xr:uid="{B61CE2AE-EAC9-407E-A8A3-E211568BC109}"/>
    <cellStyle name="Vírgula 9 2 3 2 2 3 2 3" xfId="9187" xr:uid="{45F12EE9-84B2-44E1-BB6B-8DB28E8A9025}"/>
    <cellStyle name="Vírgula 9 2 3 2 2 3 3" xfId="5950" xr:uid="{18389BDC-C104-406C-9CB7-48177348F08B}"/>
    <cellStyle name="Vírgula 9 2 3 2 2 3 4" xfId="9186" xr:uid="{CDC5BE3A-4736-4656-95FC-3B4BEDD0490F}"/>
    <cellStyle name="Vírgula 9 2 3 2 2 4" xfId="5951" xr:uid="{4B2DA2BB-A39C-4D75-9B91-5212EDA87D3A}"/>
    <cellStyle name="Vírgula 9 2 3 2 2 4 2" xfId="5952" xr:uid="{D23AC424-D21A-406E-A657-2A7BD54B97FD}"/>
    <cellStyle name="Vírgula 9 2 3 2 2 4 3" xfId="9188" xr:uid="{B3135E77-10B4-49FF-B8BB-AEECCEE6E148}"/>
    <cellStyle name="Vírgula 9 2 3 2 2 5" xfId="5953" xr:uid="{907F5378-3A26-47A5-85E8-78B191A214FD}"/>
    <cellStyle name="Vírgula 9 2 3 2 2 6" xfId="9183" xr:uid="{6A7B7560-79FA-4E76-95E9-E77EF827D3E4}"/>
    <cellStyle name="Vírgula 9 2 3 2 3" xfId="5954" xr:uid="{144B478B-AE55-40BB-8605-7E41BA698D15}"/>
    <cellStyle name="Vírgula 9 2 3 2 3 2" xfId="5955" xr:uid="{FC1175E4-B017-4EBA-93BC-BE0CB50F78AA}"/>
    <cellStyle name="Vírgula 9 2 3 2 3 2 2" xfId="5956" xr:uid="{6A87C363-9EE5-420F-9988-8BE05D6FB3E6}"/>
    <cellStyle name="Vírgula 9 2 3 2 3 2 3" xfId="9190" xr:uid="{D8E73D45-4F5E-4F9B-96B7-0D96F4D5EEC2}"/>
    <cellStyle name="Vírgula 9 2 3 2 3 3" xfId="5957" xr:uid="{032E4ED4-B8D8-4F44-ACFE-F6C28C2E88F0}"/>
    <cellStyle name="Vírgula 9 2 3 2 3 4" xfId="9189" xr:uid="{D868528C-5396-435A-AD9F-C344288F17A8}"/>
    <cellStyle name="Vírgula 9 2 3 2 4" xfId="5958" xr:uid="{5927C133-DAAB-4B93-9113-5C4718F33291}"/>
    <cellStyle name="Vírgula 9 2 3 2 4 2" xfId="5959" xr:uid="{9290E5F4-4528-405E-8225-8AD3E4CC1368}"/>
    <cellStyle name="Vírgula 9 2 3 2 4 2 2" xfId="5960" xr:uid="{1A1E8D41-AEAC-4F51-8369-225F0842DA3E}"/>
    <cellStyle name="Vírgula 9 2 3 2 4 2 3" xfId="9192" xr:uid="{1FBFC24C-2333-4985-9822-82C4038BE710}"/>
    <cellStyle name="Vírgula 9 2 3 2 4 3" xfId="5961" xr:uid="{6D74A947-568E-48D0-AA43-A0B6F3EF6F34}"/>
    <cellStyle name="Vírgula 9 2 3 2 4 4" xfId="9191" xr:uid="{B329E5F9-8C71-4466-B65E-0469984AEDB7}"/>
    <cellStyle name="Vírgula 9 2 3 2 5" xfId="5962" xr:uid="{7A053592-2B32-44FC-B06B-3BF2B52D5321}"/>
    <cellStyle name="Vírgula 9 2 3 2 5 2" xfId="5963" xr:uid="{B79D8186-F8D6-4498-98F3-AE80A42739EE}"/>
    <cellStyle name="Vírgula 9 2 3 2 5 3" xfId="9193" xr:uid="{C165C9AC-B804-448C-A8ED-EB6919B9A225}"/>
    <cellStyle name="Vírgula 9 2 3 2 6" xfId="5964" xr:uid="{38A05DF4-F714-4576-BCAD-D0A61A950E6C}"/>
    <cellStyle name="Vírgula 9 2 3 2 7" xfId="9182" xr:uid="{8FDB48F2-B4D6-4335-B100-FC72DC459B44}"/>
    <cellStyle name="Vírgula 9 2 3 3" xfId="5965" xr:uid="{EE847079-AF41-4C51-A77F-3970014C2A88}"/>
    <cellStyle name="Vírgula 9 2 3 3 2" xfId="5966" xr:uid="{AA3DD555-D8A3-4CDC-9592-1CA02A1543CD}"/>
    <cellStyle name="Vírgula 9 2 3 3 2 2" xfId="5967" xr:uid="{97E7E2B9-A736-4207-BED8-56E027CF2F10}"/>
    <cellStyle name="Vírgula 9 2 3 3 2 2 2" xfId="5968" xr:uid="{572FC9D7-80BF-4D5E-AB02-3A711F3D8911}"/>
    <cellStyle name="Vírgula 9 2 3 3 2 2 2 2" xfId="5969" xr:uid="{101D4906-39A3-48EB-8232-9452343E4240}"/>
    <cellStyle name="Vírgula 9 2 3 3 2 2 2 3" xfId="9197" xr:uid="{7C1D706B-76A5-419A-8F12-7B0F392B38B5}"/>
    <cellStyle name="Vírgula 9 2 3 3 2 2 3" xfId="5970" xr:uid="{5EF862ED-6484-448B-94D4-29DB58850A2F}"/>
    <cellStyle name="Vírgula 9 2 3 3 2 2 4" xfId="9196" xr:uid="{55C350B8-23D8-4B09-8FFA-704791743AE4}"/>
    <cellStyle name="Vírgula 9 2 3 3 2 3" xfId="5971" xr:uid="{02C1E817-367E-413C-9C01-C2C245E34830}"/>
    <cellStyle name="Vírgula 9 2 3 3 2 3 2" xfId="5972" xr:uid="{5A28C572-96D9-4410-BC6E-042AF1E67C11}"/>
    <cellStyle name="Vírgula 9 2 3 3 2 3 2 2" xfId="5973" xr:uid="{D0993B6B-D420-46F2-A206-7DED43142050}"/>
    <cellStyle name="Vírgula 9 2 3 3 2 3 2 3" xfId="9199" xr:uid="{11055B21-083F-42BD-84A5-1D731F6AF05E}"/>
    <cellStyle name="Vírgula 9 2 3 3 2 3 3" xfId="5974" xr:uid="{67711818-702F-4C37-A922-61FD927C6287}"/>
    <cellStyle name="Vírgula 9 2 3 3 2 3 4" xfId="9198" xr:uid="{A0AC2BA4-B292-489A-96AD-24F52C9BDA44}"/>
    <cellStyle name="Vírgula 9 2 3 3 2 4" xfId="5975" xr:uid="{359D9776-8AA8-4A91-B7BE-039D68783B18}"/>
    <cellStyle name="Vírgula 9 2 3 3 2 4 2" xfId="5976" xr:uid="{2DBBD930-AD17-48FD-8AC8-33E79C324E00}"/>
    <cellStyle name="Vírgula 9 2 3 3 2 4 3" xfId="9200" xr:uid="{79997EC5-9C93-451D-AF22-287DFC0F7E69}"/>
    <cellStyle name="Vírgula 9 2 3 3 2 5" xfId="5977" xr:uid="{2D4BFF10-7179-4875-9F5C-FE6C9F9D236D}"/>
    <cellStyle name="Vírgula 9 2 3 3 2 6" xfId="9195" xr:uid="{A484AB96-3FCC-4619-A552-483C7FEEC092}"/>
    <cellStyle name="Vírgula 9 2 3 3 3" xfId="5978" xr:uid="{CA242990-FD26-4FCA-ADB0-99E5896BD7C8}"/>
    <cellStyle name="Vírgula 9 2 3 3 3 2" xfId="5979" xr:uid="{B305D0D9-F827-4F94-9D17-7117E0AAE495}"/>
    <cellStyle name="Vírgula 9 2 3 3 3 2 2" xfId="5980" xr:uid="{81F5B90A-65FA-46E4-8526-CA3BBA5BFC78}"/>
    <cellStyle name="Vírgula 9 2 3 3 3 2 3" xfId="9202" xr:uid="{A387685D-B1B9-4F54-B490-06A5EB4B62BB}"/>
    <cellStyle name="Vírgula 9 2 3 3 3 3" xfId="5981" xr:uid="{FD31604A-A022-4884-B55A-02F2EBEE0D95}"/>
    <cellStyle name="Vírgula 9 2 3 3 3 4" xfId="9201" xr:uid="{7F324EED-7EBA-44FE-95F0-43F5A63598BC}"/>
    <cellStyle name="Vírgula 9 2 3 3 4" xfId="5982" xr:uid="{8A0AE0DB-3C83-425C-9F68-77A60543471C}"/>
    <cellStyle name="Vírgula 9 2 3 3 4 2" xfId="5983" xr:uid="{4A91DD22-0C92-40A1-A46B-A84B855EEFD6}"/>
    <cellStyle name="Vírgula 9 2 3 3 4 2 2" xfId="5984" xr:uid="{FF7EC81B-8FF0-4EAF-8F1A-75BF0FD401D6}"/>
    <cellStyle name="Vírgula 9 2 3 3 4 2 3" xfId="9204" xr:uid="{024B4B30-076E-45C9-B7FF-DF0BF83D4712}"/>
    <cellStyle name="Vírgula 9 2 3 3 4 3" xfId="5985" xr:uid="{3F97E73C-9A18-4558-8AF2-2A175C55BEF6}"/>
    <cellStyle name="Vírgula 9 2 3 3 4 4" xfId="9203" xr:uid="{103C9527-2ADE-42A0-8DFA-6533F85D6F6E}"/>
    <cellStyle name="Vírgula 9 2 3 3 5" xfId="5986" xr:uid="{DE26E0BA-72EB-446B-AE9A-9A4FAFD2FA99}"/>
    <cellStyle name="Vírgula 9 2 3 3 5 2" xfId="5987" xr:uid="{BDA3FABE-5C07-45D7-BDD6-3CF694D70910}"/>
    <cellStyle name="Vírgula 9 2 3 3 5 3" xfId="9205" xr:uid="{D6868528-C021-4BBE-993D-41D4D1E314C1}"/>
    <cellStyle name="Vírgula 9 2 3 3 6" xfId="5988" xr:uid="{162C7DF3-5E6D-42DA-B6FF-5227695B5D54}"/>
    <cellStyle name="Vírgula 9 2 3 3 7" xfId="9194" xr:uid="{51B4F4B9-A09B-44E9-AD57-C5B3B614A772}"/>
    <cellStyle name="Vírgula 9 2 3 4" xfId="5989" xr:uid="{2AFE36A6-E342-476E-9B87-30D296DE61E1}"/>
    <cellStyle name="Vírgula 9 2 3 4 2" xfId="5990" xr:uid="{8BDA1945-CD89-4E98-9A73-AE6C2993EAFF}"/>
    <cellStyle name="Vírgula 9 2 3 4 2 2" xfId="5991" xr:uid="{E124A353-4415-4945-BDD5-4872608DFD2D}"/>
    <cellStyle name="Vírgula 9 2 3 4 2 2 2" xfId="5992" xr:uid="{38326C42-CF7E-4C97-8F9C-4653DB390D10}"/>
    <cellStyle name="Vírgula 9 2 3 4 2 2 3" xfId="9208" xr:uid="{3128919E-4C6B-44CE-997C-01141952A46C}"/>
    <cellStyle name="Vírgula 9 2 3 4 2 3" xfId="5993" xr:uid="{CDDA5BA4-487A-4D7D-8EF7-B645184B1560}"/>
    <cellStyle name="Vírgula 9 2 3 4 2 4" xfId="9207" xr:uid="{D7B36E39-77AA-4CC6-80E9-0BC9161D3655}"/>
    <cellStyle name="Vírgula 9 2 3 4 3" xfId="5994" xr:uid="{D4F6646A-9D5F-41C4-B871-E41D819F43B7}"/>
    <cellStyle name="Vírgula 9 2 3 4 3 2" xfId="5995" xr:uid="{83338D34-44FC-4737-9606-C85256EB30AF}"/>
    <cellStyle name="Vírgula 9 2 3 4 3 2 2" xfId="5996" xr:uid="{31164B16-AE17-4702-B470-F3EBA3DD957B}"/>
    <cellStyle name="Vírgula 9 2 3 4 3 2 3" xfId="9210" xr:uid="{0E825AA3-62E2-4ACF-97BC-16CBB509B590}"/>
    <cellStyle name="Vírgula 9 2 3 4 3 3" xfId="5997" xr:uid="{A2A97536-D14A-4701-BF87-81864EA4BBD5}"/>
    <cellStyle name="Vírgula 9 2 3 4 3 4" xfId="9209" xr:uid="{D1D0933C-0535-4371-A7B3-28C95B072434}"/>
    <cellStyle name="Vírgula 9 2 3 4 4" xfId="5998" xr:uid="{E3B19C96-261C-457F-90ED-31038957085C}"/>
    <cellStyle name="Vírgula 9 2 3 4 4 2" xfId="5999" xr:uid="{608F32E7-7FF4-4BD3-A581-E91566D716A4}"/>
    <cellStyle name="Vírgula 9 2 3 4 4 3" xfId="9211" xr:uid="{82081439-6090-4781-A11A-78191D91860E}"/>
    <cellStyle name="Vírgula 9 2 3 4 5" xfId="6000" xr:uid="{9779E4F6-F2A1-4AB6-A4D0-D9E295D521D2}"/>
    <cellStyle name="Vírgula 9 2 3 4 6" xfId="9206" xr:uid="{C5533723-7521-4E1C-AD93-2741C4B50F28}"/>
    <cellStyle name="Vírgula 9 2 3 5" xfId="6001" xr:uid="{161BE8E1-31DD-4AA0-99D9-67E16C7D2B78}"/>
    <cellStyle name="Vírgula 9 2 3 5 2" xfId="6002" xr:uid="{17C85365-F517-4D6A-A082-0529093AD6CC}"/>
    <cellStyle name="Vírgula 9 2 3 5 2 2" xfId="6003" xr:uid="{9A4E383C-F95A-4B1F-81D5-E627CCFB975A}"/>
    <cellStyle name="Vírgula 9 2 3 5 2 3" xfId="9213" xr:uid="{65EEA444-EB08-4A3E-A797-6C342BCE2760}"/>
    <cellStyle name="Vírgula 9 2 3 5 3" xfId="6004" xr:uid="{7AD9D184-4099-4A9B-B0C8-C4C261176214}"/>
    <cellStyle name="Vírgula 9 2 3 5 4" xfId="9212" xr:uid="{2F012045-B255-481A-9088-CA72F82FAE56}"/>
    <cellStyle name="Vírgula 9 2 3 6" xfId="6005" xr:uid="{380F02B8-A643-4738-A423-E8E6CF1963CD}"/>
    <cellStyle name="Vírgula 9 2 3 6 2" xfId="6006" xr:uid="{CDE8A8F2-D66C-4DCD-B842-8F20AD10CA73}"/>
    <cellStyle name="Vírgula 9 2 3 6 2 2" xfId="6007" xr:uid="{AFCC7702-CD59-44E2-A3BC-050AB11EC1B6}"/>
    <cellStyle name="Vírgula 9 2 3 6 2 3" xfId="9215" xr:uid="{156FABF2-8C20-4FEF-B960-5F42C6F06F99}"/>
    <cellStyle name="Vírgula 9 2 3 6 3" xfId="6008" xr:uid="{499A5663-A852-4C7F-8D26-1D90CC1F94A7}"/>
    <cellStyle name="Vírgula 9 2 3 6 4" xfId="9214" xr:uid="{437B0CE2-F891-407E-97E5-61BF4598AAA4}"/>
    <cellStyle name="Vírgula 9 2 3 7" xfId="6009" xr:uid="{1629368D-F7E5-4C94-A574-ACBA6B3273FD}"/>
    <cellStyle name="Vírgula 9 2 3 7 2" xfId="6010" xr:uid="{E81FE493-4AFA-49A8-AACC-C90177B3797D}"/>
    <cellStyle name="Vírgula 9 2 3 7 3" xfId="9216" xr:uid="{93EB9D0D-045E-4A27-8A41-337DA3013D4C}"/>
    <cellStyle name="Vírgula 9 2 3 8" xfId="6011" xr:uid="{E9EAF75C-5657-4354-BA2B-F245C5D2C618}"/>
    <cellStyle name="Vírgula 9 2 3 9" xfId="9181" xr:uid="{C84E504F-C9DC-46EC-A315-72B96B1C688A}"/>
    <cellStyle name="Vírgula 9 2 4" xfId="6012" xr:uid="{4805AC53-C222-4157-B872-FB54D8A9D3DE}"/>
    <cellStyle name="Vírgula 9 2 4 2" xfId="6013" xr:uid="{29B318C8-0505-44DF-A4BA-D0A5C126DF6F}"/>
    <cellStyle name="Vírgula 9 2 4 2 2" xfId="6014" xr:uid="{25550847-476C-468A-9DD1-183738CA9FEB}"/>
    <cellStyle name="Vírgula 9 2 4 2 2 2" xfId="6015" xr:uid="{D585C899-D0D6-4B73-8826-03B0059034BE}"/>
    <cellStyle name="Vírgula 9 2 4 2 2 2 2" xfId="6016" xr:uid="{EE59AB56-EA48-4C9F-8766-AE041DB9CC0E}"/>
    <cellStyle name="Vírgula 9 2 4 2 2 2 2 2" xfId="6017" xr:uid="{8D696BFA-277A-4A86-8D92-4FDB1B1B379B}"/>
    <cellStyle name="Vírgula 9 2 4 2 2 2 2 3" xfId="9221" xr:uid="{CE79D234-1A56-40C7-9E58-B17CF533FCC6}"/>
    <cellStyle name="Vírgula 9 2 4 2 2 2 3" xfId="6018" xr:uid="{BBDF4AA0-16D1-4CFE-892D-1A2EB7F9062D}"/>
    <cellStyle name="Vírgula 9 2 4 2 2 2 4" xfId="9220" xr:uid="{2B205958-BA3B-4D11-8E19-00CB54A894E2}"/>
    <cellStyle name="Vírgula 9 2 4 2 2 3" xfId="6019" xr:uid="{D0BD240F-8B20-496F-9667-E168F98331FB}"/>
    <cellStyle name="Vírgula 9 2 4 2 2 3 2" xfId="6020" xr:uid="{908CD1B3-88CD-4D75-8269-5DB1C5DE3CDE}"/>
    <cellStyle name="Vírgula 9 2 4 2 2 3 2 2" xfId="6021" xr:uid="{80F4DE17-F9D5-4003-BD2D-5F8289A11938}"/>
    <cellStyle name="Vírgula 9 2 4 2 2 3 2 3" xfId="9223" xr:uid="{26A15E73-5B81-4D73-8566-112C72E33F11}"/>
    <cellStyle name="Vírgula 9 2 4 2 2 3 3" xfId="6022" xr:uid="{ABE48594-E28C-4796-AEA9-A11A0DC91C8F}"/>
    <cellStyle name="Vírgula 9 2 4 2 2 3 4" xfId="9222" xr:uid="{61D8833F-F882-43F9-9D71-49215A73D9C6}"/>
    <cellStyle name="Vírgula 9 2 4 2 2 4" xfId="6023" xr:uid="{89EEF05E-1256-4106-BC10-478BB3F07347}"/>
    <cellStyle name="Vírgula 9 2 4 2 2 4 2" xfId="6024" xr:uid="{E9477E73-9238-456D-972A-A3844F2528EA}"/>
    <cellStyle name="Vírgula 9 2 4 2 2 4 3" xfId="9224" xr:uid="{94E26161-8858-4330-8D47-E01001DDDEDB}"/>
    <cellStyle name="Vírgula 9 2 4 2 2 5" xfId="6025" xr:uid="{BF48C022-0716-4294-ABD2-45FDA9BA7D81}"/>
    <cellStyle name="Vírgula 9 2 4 2 2 6" xfId="9219" xr:uid="{D07E9047-C14A-49B5-AD2A-D1DBBF85555E}"/>
    <cellStyle name="Vírgula 9 2 4 2 3" xfId="6026" xr:uid="{B79E3C1B-6128-488E-A083-9906F084E968}"/>
    <cellStyle name="Vírgula 9 2 4 2 3 2" xfId="6027" xr:uid="{41E30336-BB7C-4B25-80AD-57DCAA6885E2}"/>
    <cellStyle name="Vírgula 9 2 4 2 3 2 2" xfId="6028" xr:uid="{36FEABD7-43FE-4DC8-A79B-E24FA5DCB646}"/>
    <cellStyle name="Vírgula 9 2 4 2 3 2 3" xfId="9226" xr:uid="{2B9DF965-04DD-40D2-A66D-5F13F7A01238}"/>
    <cellStyle name="Vírgula 9 2 4 2 3 3" xfId="6029" xr:uid="{4918DF72-A480-4C81-B245-7AD247C28B9D}"/>
    <cellStyle name="Vírgula 9 2 4 2 3 4" xfId="9225" xr:uid="{AF7FCB9A-4E96-4AA1-A79A-98010314D169}"/>
    <cellStyle name="Vírgula 9 2 4 2 4" xfId="6030" xr:uid="{B349B3FC-E505-4DC6-A2CE-A126E785AC44}"/>
    <cellStyle name="Vírgula 9 2 4 2 4 2" xfId="6031" xr:uid="{1888D5AB-B731-4B50-A165-49D956017C27}"/>
    <cellStyle name="Vírgula 9 2 4 2 4 2 2" xfId="6032" xr:uid="{62E933D5-CFC4-4B5E-BECC-F66234310E60}"/>
    <cellStyle name="Vírgula 9 2 4 2 4 2 3" xfId="9228" xr:uid="{B7700C1B-52E0-4DBA-8577-AB3C5B3349D8}"/>
    <cellStyle name="Vírgula 9 2 4 2 4 3" xfId="6033" xr:uid="{FC1AEF73-6EC3-45CB-AE0A-B50F0D95298A}"/>
    <cellStyle name="Vírgula 9 2 4 2 4 4" xfId="9227" xr:uid="{BD1BE60C-68CB-4D98-8084-CB76BD26485B}"/>
    <cellStyle name="Vírgula 9 2 4 2 5" xfId="6034" xr:uid="{061344BE-055D-492F-99AB-C626E18581A5}"/>
    <cellStyle name="Vírgula 9 2 4 2 5 2" xfId="6035" xr:uid="{F2C16E2D-05B6-4197-88E4-74E7EA1288C8}"/>
    <cellStyle name="Vírgula 9 2 4 2 5 3" xfId="9229" xr:uid="{704DC0A7-B26D-4F00-87B3-A860299B0C9D}"/>
    <cellStyle name="Vírgula 9 2 4 2 6" xfId="6036" xr:uid="{8F08EE94-592B-4434-B8E2-5187FA9C610E}"/>
    <cellStyle name="Vírgula 9 2 4 2 7" xfId="9218" xr:uid="{52549088-6743-471A-9210-AF6B800A5FE4}"/>
    <cellStyle name="Vírgula 9 2 4 3" xfId="6037" xr:uid="{778A23E5-BEF4-44A5-A16C-30960869CF7A}"/>
    <cellStyle name="Vírgula 9 2 4 3 2" xfId="6038" xr:uid="{4E70C84E-C19A-4DF0-96A0-F8A4F51E30ED}"/>
    <cellStyle name="Vírgula 9 2 4 3 2 2" xfId="6039" xr:uid="{DB627B65-D723-4D0D-AE27-DE90614B4126}"/>
    <cellStyle name="Vírgula 9 2 4 3 2 2 2" xfId="6040" xr:uid="{3BC56716-D84C-4AF5-9247-E0A9BF452412}"/>
    <cellStyle name="Vírgula 9 2 4 3 2 2 2 2" xfId="6041" xr:uid="{F87C5CA0-A7F0-4512-B7E6-DA0D96B09B19}"/>
    <cellStyle name="Vírgula 9 2 4 3 2 2 2 3" xfId="9233" xr:uid="{96DAAB9E-3088-4FA7-ADC5-6367FD5564BF}"/>
    <cellStyle name="Vírgula 9 2 4 3 2 2 3" xfId="6042" xr:uid="{4222A589-6EA0-4D2E-A612-21ADB7984D48}"/>
    <cellStyle name="Vírgula 9 2 4 3 2 2 4" xfId="9232" xr:uid="{FE7B76A3-2264-4A57-ADAC-4C0FCB835394}"/>
    <cellStyle name="Vírgula 9 2 4 3 2 3" xfId="6043" xr:uid="{BAA0DF72-FF41-435A-84AF-828829A2E9FE}"/>
    <cellStyle name="Vírgula 9 2 4 3 2 3 2" xfId="6044" xr:uid="{A4878AFD-5117-4331-BA39-6C6C8E392898}"/>
    <cellStyle name="Vírgula 9 2 4 3 2 3 2 2" xfId="6045" xr:uid="{D406DD92-E942-4D8A-AEDF-DB07E17FCCED}"/>
    <cellStyle name="Vírgula 9 2 4 3 2 3 2 3" xfId="9235" xr:uid="{23954883-C5E1-4242-A2D9-227FE59FF894}"/>
    <cellStyle name="Vírgula 9 2 4 3 2 3 3" xfId="6046" xr:uid="{7A1C246C-3366-4328-939D-CEE653F0AF16}"/>
    <cellStyle name="Vírgula 9 2 4 3 2 3 4" xfId="9234" xr:uid="{02DCC20D-950A-4AF2-9DA3-3A840203314B}"/>
    <cellStyle name="Vírgula 9 2 4 3 2 4" xfId="6047" xr:uid="{E6DF776B-0800-44D0-B953-6DE6FD094E9F}"/>
    <cellStyle name="Vírgula 9 2 4 3 2 4 2" xfId="6048" xr:uid="{4575B497-9CF3-4702-9269-548CD7D67B6E}"/>
    <cellStyle name="Vírgula 9 2 4 3 2 4 3" xfId="9236" xr:uid="{5CD9FC13-90B9-422E-AA3E-3FB32A3B8DAB}"/>
    <cellStyle name="Vírgula 9 2 4 3 2 5" xfId="6049" xr:uid="{F6CA772B-0118-4476-B2BE-188FA7B6B710}"/>
    <cellStyle name="Vírgula 9 2 4 3 2 6" xfId="9231" xr:uid="{8EE034A9-5CD0-4AD7-BD69-9D7F1ECF5A33}"/>
    <cellStyle name="Vírgula 9 2 4 3 3" xfId="6050" xr:uid="{3145F96A-34AF-4991-BB6C-611859538122}"/>
    <cellStyle name="Vírgula 9 2 4 3 3 2" xfId="6051" xr:uid="{8CE9B5A0-9F90-41A8-B98B-7985E82759B0}"/>
    <cellStyle name="Vírgula 9 2 4 3 3 2 2" xfId="6052" xr:uid="{C1B0CE6B-6A2D-4572-816E-D9CB27BC0CFB}"/>
    <cellStyle name="Vírgula 9 2 4 3 3 2 3" xfId="9238" xr:uid="{64921B59-61B9-47BD-9E34-281B7A881D8D}"/>
    <cellStyle name="Vírgula 9 2 4 3 3 3" xfId="6053" xr:uid="{EE6FEB6E-7100-4A15-829F-4705DC9D8D09}"/>
    <cellStyle name="Vírgula 9 2 4 3 3 4" xfId="9237" xr:uid="{4F989450-4B6B-4036-B7FA-8A71FD5562EF}"/>
    <cellStyle name="Vírgula 9 2 4 3 4" xfId="6054" xr:uid="{0B527769-B78C-4A5A-AA25-B573FC0DC6F9}"/>
    <cellStyle name="Vírgula 9 2 4 3 4 2" xfId="6055" xr:uid="{8703DE27-DD29-457D-A605-593597276F8F}"/>
    <cellStyle name="Vírgula 9 2 4 3 4 2 2" xfId="6056" xr:uid="{09CC774A-EFC8-4662-92DA-C6DA373C2CCB}"/>
    <cellStyle name="Vírgula 9 2 4 3 4 2 3" xfId="9240" xr:uid="{E642AF20-9E7B-4AC3-885F-C262BFE59A5C}"/>
    <cellStyle name="Vírgula 9 2 4 3 4 3" xfId="6057" xr:uid="{C219CCC9-09B0-453E-9CCB-F3A3D47D2A81}"/>
    <cellStyle name="Vírgula 9 2 4 3 4 4" xfId="9239" xr:uid="{EB615933-CD54-4251-BF02-342122C7F55D}"/>
    <cellStyle name="Vírgula 9 2 4 3 5" xfId="6058" xr:uid="{E3C14B52-346E-4AEC-9BBA-2775D09B9A6E}"/>
    <cellStyle name="Vírgula 9 2 4 3 5 2" xfId="6059" xr:uid="{EBC636B9-7EC5-46FE-AA19-43CECE8CBE6A}"/>
    <cellStyle name="Vírgula 9 2 4 3 5 3" xfId="9241" xr:uid="{60C13BAF-6A74-4CC4-87DC-CDB3E910BC04}"/>
    <cellStyle name="Vírgula 9 2 4 3 6" xfId="6060" xr:uid="{A2DF7F58-0CB6-4196-8A3E-FD5A553C21FA}"/>
    <cellStyle name="Vírgula 9 2 4 3 7" xfId="9230" xr:uid="{7D92683B-52A8-4716-A3CE-4C61AA499302}"/>
    <cellStyle name="Vírgula 9 2 4 4" xfId="6061" xr:uid="{0D79948D-C664-40D7-8A9A-89558FA61197}"/>
    <cellStyle name="Vírgula 9 2 4 4 2" xfId="6062" xr:uid="{77AB422C-E3C0-4333-9E93-C3FA1272AD95}"/>
    <cellStyle name="Vírgula 9 2 4 4 2 2" xfId="6063" xr:uid="{BB87C01E-74C0-467A-BDDA-117D8F5C4A36}"/>
    <cellStyle name="Vírgula 9 2 4 4 2 2 2" xfId="6064" xr:uid="{70E8D3E4-3A01-440B-A6EF-66EEF182E832}"/>
    <cellStyle name="Vírgula 9 2 4 4 2 2 3" xfId="9244" xr:uid="{5F293F7B-A186-4CDE-948F-F8861D1AB693}"/>
    <cellStyle name="Vírgula 9 2 4 4 2 3" xfId="6065" xr:uid="{8737B58E-35AB-472D-A947-E33F321D20C4}"/>
    <cellStyle name="Vírgula 9 2 4 4 2 4" xfId="9243" xr:uid="{0331E9F6-54EA-4D34-BC9D-578BB2E84372}"/>
    <cellStyle name="Vírgula 9 2 4 4 3" xfId="6066" xr:uid="{6E2FC40B-CC35-463B-8BFB-33B83BA95156}"/>
    <cellStyle name="Vírgula 9 2 4 4 3 2" xfId="6067" xr:uid="{2C603F25-96CC-445E-9ACF-E64FABC606AB}"/>
    <cellStyle name="Vírgula 9 2 4 4 3 2 2" xfId="6068" xr:uid="{793D2E0C-12FD-4339-B639-63FFC57EC867}"/>
    <cellStyle name="Vírgula 9 2 4 4 3 2 3" xfId="9246" xr:uid="{E18C2C01-C96E-4394-9E2A-9A7E0354956C}"/>
    <cellStyle name="Vírgula 9 2 4 4 3 3" xfId="6069" xr:uid="{6E32894F-0568-4A9F-B800-B49111410849}"/>
    <cellStyle name="Vírgula 9 2 4 4 3 4" xfId="9245" xr:uid="{B16B1232-ED89-4B9F-BF54-E5040D8007A7}"/>
    <cellStyle name="Vírgula 9 2 4 4 4" xfId="6070" xr:uid="{FB632005-9FB7-4D6A-BB6F-B231F0182CBB}"/>
    <cellStyle name="Vírgula 9 2 4 4 4 2" xfId="6071" xr:uid="{7B26C86C-73A2-4820-B97C-F171651D7C88}"/>
    <cellStyle name="Vírgula 9 2 4 4 4 3" xfId="9247" xr:uid="{E3C6A664-7C3F-4131-B96A-912EFAEA1464}"/>
    <cellStyle name="Vírgula 9 2 4 4 5" xfId="6072" xr:uid="{D2E8C445-0948-4D92-85DC-C69CEB462D2A}"/>
    <cellStyle name="Vírgula 9 2 4 4 6" xfId="9242" xr:uid="{0876D203-ED10-4FDD-A2EC-E2B7F133286C}"/>
    <cellStyle name="Vírgula 9 2 4 5" xfId="6073" xr:uid="{293A3990-9722-4BF0-8166-BDDA4864E651}"/>
    <cellStyle name="Vírgula 9 2 4 5 2" xfId="6074" xr:uid="{4C4317D5-2E0B-4F8E-B931-3443610CA0E1}"/>
    <cellStyle name="Vírgula 9 2 4 5 2 2" xfId="6075" xr:uid="{BF1D4D32-4855-44F0-BF91-289BDFDD694A}"/>
    <cellStyle name="Vírgula 9 2 4 5 2 3" xfId="9249" xr:uid="{0989B5E6-B5A6-402F-813E-FD35C0D2D733}"/>
    <cellStyle name="Vírgula 9 2 4 5 3" xfId="6076" xr:uid="{D6B4B2AE-E062-4B8F-9633-03E3B378675A}"/>
    <cellStyle name="Vírgula 9 2 4 5 4" xfId="9248" xr:uid="{99B5B37A-709B-4F2F-91D7-290245205291}"/>
    <cellStyle name="Vírgula 9 2 4 6" xfId="6077" xr:uid="{6211FB09-9057-4CE4-BFBA-864EC9DC21CD}"/>
    <cellStyle name="Vírgula 9 2 4 6 2" xfId="6078" xr:uid="{DB40101B-AEE8-441F-BB51-4FA68E8EEA7F}"/>
    <cellStyle name="Vírgula 9 2 4 6 2 2" xfId="6079" xr:uid="{12BE518D-CC14-4ADA-9BD5-AA84837A53D4}"/>
    <cellStyle name="Vírgula 9 2 4 6 2 3" xfId="9251" xr:uid="{3BBAC86C-2BA3-4CBE-B66F-F3E270C6BDBC}"/>
    <cellStyle name="Vírgula 9 2 4 6 3" xfId="6080" xr:uid="{B049394C-0801-445B-A535-356A03145578}"/>
    <cellStyle name="Vírgula 9 2 4 6 4" xfId="9250" xr:uid="{0A138CD6-DA89-4FE2-9E6F-0584C5484B93}"/>
    <cellStyle name="Vírgula 9 2 4 7" xfId="6081" xr:uid="{D0683AED-016A-48E2-B6A3-E227FE30DE9F}"/>
    <cellStyle name="Vírgula 9 2 4 7 2" xfId="6082" xr:uid="{C2BE440C-FEED-43E2-B530-EF53858536AA}"/>
    <cellStyle name="Vírgula 9 2 4 7 3" xfId="9252" xr:uid="{BF67734D-9893-4C50-B418-4D9C1C960B18}"/>
    <cellStyle name="Vírgula 9 2 4 8" xfId="6083" xr:uid="{5499FBC8-298A-46E6-B5C2-4331A2B87D3B}"/>
    <cellStyle name="Vírgula 9 2 4 9" xfId="9217" xr:uid="{9AED06CE-384F-4E6A-BF1A-C5C1EE1CEE3C}"/>
    <cellStyle name="Vírgula 9 2 5" xfId="6084" xr:uid="{EDA9BC67-E8DD-4A8F-9B0A-3A1F8AAF2F82}"/>
    <cellStyle name="Vírgula 9 2 5 2" xfId="6085" xr:uid="{40EA630A-E808-4CC8-BC0E-DE95A5E92DFC}"/>
    <cellStyle name="Vírgula 9 2 5 2 2" xfId="6086" xr:uid="{B7036304-71DC-4F4B-9BC4-E476B74CFC78}"/>
    <cellStyle name="Vírgula 9 2 5 2 2 2" xfId="6087" xr:uid="{F26C2846-592D-437D-A37C-C89F321A3EF6}"/>
    <cellStyle name="Vírgula 9 2 5 2 2 2 2" xfId="6088" xr:uid="{6C10A86C-1517-40A3-BCC6-9E294CAF3A7F}"/>
    <cellStyle name="Vírgula 9 2 5 2 2 2 2 2" xfId="6089" xr:uid="{8C2CC543-BD3D-4A76-806B-896C32F133BF}"/>
    <cellStyle name="Vírgula 9 2 5 2 2 2 2 3" xfId="9257" xr:uid="{8C23D964-F831-4326-A6E3-B24859B65EE7}"/>
    <cellStyle name="Vírgula 9 2 5 2 2 2 3" xfId="6090" xr:uid="{FE295070-65BB-4103-A5C0-2D04BA204D48}"/>
    <cellStyle name="Vírgula 9 2 5 2 2 2 4" xfId="9256" xr:uid="{1F3A0186-B9EB-4788-AAE5-71FABAA8E624}"/>
    <cellStyle name="Vírgula 9 2 5 2 2 3" xfId="6091" xr:uid="{9B739FE0-D3A6-420C-A36A-EC6848E91D15}"/>
    <cellStyle name="Vírgula 9 2 5 2 2 3 2" xfId="6092" xr:uid="{74BA0B25-710D-4E8B-B636-7EDD2A2DAFA1}"/>
    <cellStyle name="Vírgula 9 2 5 2 2 3 2 2" xfId="6093" xr:uid="{40A47E38-CC6B-4653-A4A5-A964674CBCE1}"/>
    <cellStyle name="Vírgula 9 2 5 2 2 3 2 3" xfId="9259" xr:uid="{D99EE5EF-12E1-4684-A973-28CBC67D5F23}"/>
    <cellStyle name="Vírgula 9 2 5 2 2 3 3" xfId="6094" xr:uid="{8E721695-2FEE-4BD4-A562-11453A86D607}"/>
    <cellStyle name="Vírgula 9 2 5 2 2 3 4" xfId="9258" xr:uid="{9DA422E6-FC78-481E-B201-81B44B076424}"/>
    <cellStyle name="Vírgula 9 2 5 2 2 4" xfId="6095" xr:uid="{7C37709E-1C22-45A0-9B11-4CED148AF7CC}"/>
    <cellStyle name="Vírgula 9 2 5 2 2 4 2" xfId="6096" xr:uid="{884C3D66-9828-44AF-8455-8EB018CA8F55}"/>
    <cellStyle name="Vírgula 9 2 5 2 2 4 3" xfId="9260" xr:uid="{2141BAD6-E8F7-4583-9127-3DEDAEC65BB1}"/>
    <cellStyle name="Vírgula 9 2 5 2 2 5" xfId="6097" xr:uid="{4EE84A15-1569-4A09-B804-692C816CA37B}"/>
    <cellStyle name="Vírgula 9 2 5 2 2 6" xfId="9255" xr:uid="{3E7F457D-78F2-49F5-92AA-23F209CDB414}"/>
    <cellStyle name="Vírgula 9 2 5 2 3" xfId="6098" xr:uid="{3EBCCDC8-FEE6-4D9F-8E3D-7308A5FCE6D5}"/>
    <cellStyle name="Vírgula 9 2 5 2 3 2" xfId="6099" xr:uid="{6FDFE1D1-7C80-49D9-9BF2-A9FF733DEFAB}"/>
    <cellStyle name="Vírgula 9 2 5 2 3 2 2" xfId="6100" xr:uid="{04A42ECC-48F4-4440-9042-9381DF833CB3}"/>
    <cellStyle name="Vírgula 9 2 5 2 3 2 3" xfId="9262" xr:uid="{C586F945-0170-424A-8918-8AB890A95745}"/>
    <cellStyle name="Vírgula 9 2 5 2 3 3" xfId="6101" xr:uid="{9C46E4EE-D931-45D0-B790-967B956D4356}"/>
    <cellStyle name="Vírgula 9 2 5 2 3 4" xfId="9261" xr:uid="{B8AF71BA-2389-46D8-8AFD-F950BD3B5B06}"/>
    <cellStyle name="Vírgula 9 2 5 2 4" xfId="6102" xr:uid="{8DB79902-D89D-4DA6-9DE6-23A14064AD1F}"/>
    <cellStyle name="Vírgula 9 2 5 2 4 2" xfId="6103" xr:uid="{197D289A-FBD8-45B3-AE7A-20FC0390FBC8}"/>
    <cellStyle name="Vírgula 9 2 5 2 4 2 2" xfId="6104" xr:uid="{9757946D-8695-40D1-8BE6-516AC8F57F53}"/>
    <cellStyle name="Vírgula 9 2 5 2 4 2 3" xfId="9264" xr:uid="{8D3850B8-B8E6-44D4-906E-73615874FFCF}"/>
    <cellStyle name="Vírgula 9 2 5 2 4 3" xfId="6105" xr:uid="{3C90C586-7666-4DB2-B7C2-6E7A1F5FDC52}"/>
    <cellStyle name="Vírgula 9 2 5 2 4 4" xfId="9263" xr:uid="{A835B0D2-FE57-4224-B954-4838C17D1BFB}"/>
    <cellStyle name="Vírgula 9 2 5 2 5" xfId="6106" xr:uid="{80EB4005-AB0F-4475-88FA-99676612E120}"/>
    <cellStyle name="Vírgula 9 2 5 2 5 2" xfId="6107" xr:uid="{35EB1D05-B38C-42AA-A8EC-4BAFB393DFA6}"/>
    <cellStyle name="Vírgula 9 2 5 2 5 3" xfId="9265" xr:uid="{F07F1C13-6660-4060-A27B-645EBC4CC350}"/>
    <cellStyle name="Vírgula 9 2 5 2 6" xfId="6108" xr:uid="{774924F9-F163-4CAE-A2DA-46189BA90193}"/>
    <cellStyle name="Vírgula 9 2 5 2 7" xfId="9254" xr:uid="{AB32D596-797C-425E-A895-5ADDEE4D8F67}"/>
    <cellStyle name="Vírgula 9 2 5 3" xfId="6109" xr:uid="{07A70E1F-D2E4-4952-ABB4-A49B13CCCBAB}"/>
    <cellStyle name="Vírgula 9 2 5 3 2" xfId="6110" xr:uid="{FCA5922D-F113-451F-B8F5-5440BA144871}"/>
    <cellStyle name="Vírgula 9 2 5 3 2 2" xfId="6111" xr:uid="{FE2C2AC8-3BCC-4AA5-B99E-A80604256560}"/>
    <cellStyle name="Vírgula 9 2 5 3 2 2 2" xfId="6112" xr:uid="{219A47AA-5E98-4914-8E1E-6DB8A138237A}"/>
    <cellStyle name="Vírgula 9 2 5 3 2 2 2 2" xfId="6113" xr:uid="{9098A9E4-0320-406D-800D-FF7A9631666E}"/>
    <cellStyle name="Vírgula 9 2 5 3 2 2 2 3" xfId="9269" xr:uid="{4E7C86A8-6256-4484-885D-2A30D7083B37}"/>
    <cellStyle name="Vírgula 9 2 5 3 2 2 3" xfId="6114" xr:uid="{2C156735-33B1-4B26-B88B-A0EBB84B303E}"/>
    <cellStyle name="Vírgula 9 2 5 3 2 2 4" xfId="9268" xr:uid="{95381565-FCF0-4DD6-A240-320269E1FD09}"/>
    <cellStyle name="Vírgula 9 2 5 3 2 3" xfId="6115" xr:uid="{859E1399-2AF2-4AF3-A01C-04BB7D4FB107}"/>
    <cellStyle name="Vírgula 9 2 5 3 2 3 2" xfId="6116" xr:uid="{B44350E5-87CE-46DD-9EB4-E9738A84BACA}"/>
    <cellStyle name="Vírgula 9 2 5 3 2 3 2 2" xfId="6117" xr:uid="{6398BC85-8270-4765-BDF0-D84A92DE0D27}"/>
    <cellStyle name="Vírgula 9 2 5 3 2 3 2 3" xfId="9271" xr:uid="{D444EEF9-E553-4DB5-B461-CF2EEAEC8D85}"/>
    <cellStyle name="Vírgula 9 2 5 3 2 3 3" xfId="6118" xr:uid="{F5EBA30D-440B-4A44-AA90-7D7D54864DCC}"/>
    <cellStyle name="Vírgula 9 2 5 3 2 3 4" xfId="9270" xr:uid="{128AA5A8-9A92-4E9C-95CB-13B16DCCE91E}"/>
    <cellStyle name="Vírgula 9 2 5 3 2 4" xfId="6119" xr:uid="{302A48B8-908F-47BB-8306-837C6DF677F5}"/>
    <cellStyle name="Vírgula 9 2 5 3 2 4 2" xfId="6120" xr:uid="{C0FE6390-1F49-46EA-96BB-AADCE1556A24}"/>
    <cellStyle name="Vírgula 9 2 5 3 2 4 3" xfId="9272" xr:uid="{FE3F2055-2164-4C7E-B1B2-606CEE115A15}"/>
    <cellStyle name="Vírgula 9 2 5 3 2 5" xfId="6121" xr:uid="{B710047B-D8B9-4953-815F-D455521B2FD6}"/>
    <cellStyle name="Vírgula 9 2 5 3 2 6" xfId="9267" xr:uid="{D55F4113-EDD8-4317-9623-EEEE536FEA18}"/>
    <cellStyle name="Vírgula 9 2 5 3 3" xfId="6122" xr:uid="{F9EEA3D1-D74B-447F-9A12-E653AB810DC6}"/>
    <cellStyle name="Vírgula 9 2 5 3 3 2" xfId="6123" xr:uid="{C4CBBDC5-470F-4316-8F22-9D2F97E60DF5}"/>
    <cellStyle name="Vírgula 9 2 5 3 3 2 2" xfId="6124" xr:uid="{10DB2FC1-0E8A-4900-9D51-16E37075BEDF}"/>
    <cellStyle name="Vírgula 9 2 5 3 3 2 3" xfId="9274" xr:uid="{C741D58F-F823-42F3-91FD-5E76B2FFD2AE}"/>
    <cellStyle name="Vírgula 9 2 5 3 3 3" xfId="6125" xr:uid="{47807AC8-6415-4F06-963E-AAC64E63BF7F}"/>
    <cellStyle name="Vírgula 9 2 5 3 3 4" xfId="9273" xr:uid="{0EF03ED7-C9B4-4685-A240-973785343938}"/>
    <cellStyle name="Vírgula 9 2 5 3 4" xfId="6126" xr:uid="{12A3E939-89D2-4006-91D3-3778548039E8}"/>
    <cellStyle name="Vírgula 9 2 5 3 4 2" xfId="6127" xr:uid="{061D47F7-6A22-4584-A6C5-0722CE835937}"/>
    <cellStyle name="Vírgula 9 2 5 3 4 2 2" xfId="6128" xr:uid="{BFCBE35D-2D98-4B19-8FB4-7DFB1BFE2495}"/>
    <cellStyle name="Vírgula 9 2 5 3 4 2 3" xfId="9276" xr:uid="{56B81610-4951-4B58-8E70-01B03EB5AE00}"/>
    <cellStyle name="Vírgula 9 2 5 3 4 3" xfId="6129" xr:uid="{E1C7565E-FFBC-4147-894B-173409BB2954}"/>
    <cellStyle name="Vírgula 9 2 5 3 4 4" xfId="9275" xr:uid="{2223AD65-C584-4DF3-B85A-7080B10EAB13}"/>
    <cellStyle name="Vírgula 9 2 5 3 5" xfId="6130" xr:uid="{634D8B73-8597-4968-BAF4-32C4B51E1E5D}"/>
    <cellStyle name="Vírgula 9 2 5 3 5 2" xfId="6131" xr:uid="{BD280C23-D4B0-41C2-854B-92D2223C5142}"/>
    <cellStyle name="Vírgula 9 2 5 3 5 3" xfId="9277" xr:uid="{D84E83E0-7B54-4C2B-B2BF-3D52E9D399CE}"/>
    <cellStyle name="Vírgula 9 2 5 3 6" xfId="6132" xr:uid="{29457391-2095-4CDA-84DC-257EF175DD29}"/>
    <cellStyle name="Vírgula 9 2 5 3 7" xfId="9266" xr:uid="{6D368B8C-7140-4482-88B6-7B2F16D393A8}"/>
    <cellStyle name="Vírgula 9 2 5 4" xfId="6133" xr:uid="{EE2C1778-AB9E-48E7-8C46-34DF11DB393A}"/>
    <cellStyle name="Vírgula 9 2 5 4 2" xfId="6134" xr:uid="{3813C36B-9A3C-46A0-811D-F1AF7C417660}"/>
    <cellStyle name="Vírgula 9 2 5 4 2 2" xfId="6135" xr:uid="{085D1A42-289D-43F4-9B4D-2A451B48F1B9}"/>
    <cellStyle name="Vírgula 9 2 5 4 2 2 2" xfId="6136" xr:uid="{97B22A84-2D5E-4CE9-ABD2-63C88C863B9B}"/>
    <cellStyle name="Vírgula 9 2 5 4 2 2 3" xfId="9280" xr:uid="{61782ECC-B3FB-45D7-9C4D-7E0368FE8164}"/>
    <cellStyle name="Vírgula 9 2 5 4 2 3" xfId="6137" xr:uid="{1D510AA2-5F89-42D0-9016-6193B24F9FA7}"/>
    <cellStyle name="Vírgula 9 2 5 4 2 4" xfId="9279" xr:uid="{BFEF7456-69FA-45A5-BE23-F831D4B86E38}"/>
    <cellStyle name="Vírgula 9 2 5 4 3" xfId="6138" xr:uid="{9FBA50DC-B0CB-4BA4-A625-8B820F8E8E60}"/>
    <cellStyle name="Vírgula 9 2 5 4 3 2" xfId="6139" xr:uid="{3654976C-70A3-49F8-B230-3B13EF9D95ED}"/>
    <cellStyle name="Vírgula 9 2 5 4 3 2 2" xfId="6140" xr:uid="{23E82807-95F0-4967-98CA-1E4CFF730F79}"/>
    <cellStyle name="Vírgula 9 2 5 4 3 2 3" xfId="9282" xr:uid="{787970F1-ADED-4BC3-84C3-C7E1A9D1C443}"/>
    <cellStyle name="Vírgula 9 2 5 4 3 3" xfId="6141" xr:uid="{1FE247F8-D8CA-4343-B6A4-558346227DEB}"/>
    <cellStyle name="Vírgula 9 2 5 4 3 4" xfId="9281" xr:uid="{8C085D35-E06B-46CC-8C5A-D88FA02BCC24}"/>
    <cellStyle name="Vírgula 9 2 5 4 4" xfId="6142" xr:uid="{60F7888B-FC12-4A3D-B680-2483593DA3D6}"/>
    <cellStyle name="Vírgula 9 2 5 4 4 2" xfId="6143" xr:uid="{751EA363-06A3-46F5-8A7F-8C36B6C4EB69}"/>
    <cellStyle name="Vírgula 9 2 5 4 4 3" xfId="9283" xr:uid="{805177DB-F5AD-4B91-881A-06AC1B6130CF}"/>
    <cellStyle name="Vírgula 9 2 5 4 5" xfId="6144" xr:uid="{A8D6EDF9-B425-4A9B-A3A3-A992917BC962}"/>
    <cellStyle name="Vírgula 9 2 5 4 6" xfId="9278" xr:uid="{B5296053-E588-410C-9325-88FAAB95A77A}"/>
    <cellStyle name="Vírgula 9 2 5 5" xfId="6145" xr:uid="{21B9CBD5-F652-4493-83E4-2C4F0D2BFD24}"/>
    <cellStyle name="Vírgula 9 2 5 5 2" xfId="6146" xr:uid="{F9CB5E31-2966-44A7-8988-94A80BC45075}"/>
    <cellStyle name="Vírgula 9 2 5 5 2 2" xfId="6147" xr:uid="{A20CF60A-AD7B-4640-853A-308E6C7F8A56}"/>
    <cellStyle name="Vírgula 9 2 5 5 2 3" xfId="9285" xr:uid="{7A6F1A4B-7FA1-4333-B72C-B6C29E0C7D0F}"/>
    <cellStyle name="Vírgula 9 2 5 5 3" xfId="6148" xr:uid="{00D3D92F-21A1-4D8F-8247-5A148D0BB6BE}"/>
    <cellStyle name="Vírgula 9 2 5 5 4" xfId="9284" xr:uid="{138BBAE7-3E87-429C-9401-10D2A18ADD25}"/>
    <cellStyle name="Vírgula 9 2 5 6" xfId="6149" xr:uid="{377B86B5-6CE3-45AE-BB6C-CD35625F0AE2}"/>
    <cellStyle name="Vírgula 9 2 5 6 2" xfId="6150" xr:uid="{2F90B152-0EDD-472D-9623-8633BB53EF92}"/>
    <cellStyle name="Vírgula 9 2 5 6 2 2" xfId="6151" xr:uid="{EAA0FD37-F99E-493B-AE8E-3693906E6A4B}"/>
    <cellStyle name="Vírgula 9 2 5 6 2 3" xfId="9287" xr:uid="{081A7AB7-76AD-4E6E-8617-6E6A75BFA426}"/>
    <cellStyle name="Vírgula 9 2 5 6 3" xfId="6152" xr:uid="{CA60654B-8F0A-4E94-9E81-77CC784D51D7}"/>
    <cellStyle name="Vírgula 9 2 5 6 4" xfId="9286" xr:uid="{57FA8170-F21A-42F5-9DB7-B4EBEDC76423}"/>
    <cellStyle name="Vírgula 9 2 5 7" xfId="6153" xr:uid="{F6E645FF-6B84-4C9E-884C-061E0223359D}"/>
    <cellStyle name="Vírgula 9 2 5 7 2" xfId="6154" xr:uid="{12A7C803-83FA-4EE4-AA9D-20A58167B890}"/>
    <cellStyle name="Vírgula 9 2 5 7 3" xfId="9288" xr:uid="{8E9CB94B-A6A5-47EB-9251-5E6EFEF13C29}"/>
    <cellStyle name="Vírgula 9 2 5 8" xfId="6155" xr:uid="{9284C986-4EF9-48E9-887E-17B1E263FF76}"/>
    <cellStyle name="Vírgula 9 2 5 9" xfId="9253" xr:uid="{55F84643-3EF5-4472-8EDB-A3B415167D3C}"/>
    <cellStyle name="Vírgula 9 2 6" xfId="6156" xr:uid="{E7F1F1C8-C000-4B9B-8D8B-9DF0E372397F}"/>
    <cellStyle name="Vírgula 9 2 6 2" xfId="6157" xr:uid="{3E58AA7F-659F-4930-89E9-7F9A414CBA3F}"/>
    <cellStyle name="Vírgula 9 2 6 2 2" xfId="6158" xr:uid="{D798D75A-6A51-48A4-975E-3EF78E4D09FE}"/>
    <cellStyle name="Vírgula 9 2 6 2 2 2" xfId="6159" xr:uid="{622C3309-73AD-4E85-9377-DFC46BCFCF6A}"/>
    <cellStyle name="Vírgula 9 2 6 2 2 2 2" xfId="6160" xr:uid="{870C329B-508F-4B27-8EAA-5CB4F1BC42F1}"/>
    <cellStyle name="Vírgula 9 2 6 2 2 2 3" xfId="9292" xr:uid="{70A8DFD2-FE7B-410D-8B44-B03552A38C3A}"/>
    <cellStyle name="Vírgula 9 2 6 2 2 3" xfId="6161" xr:uid="{F632EA17-1AAE-40BA-BBD6-D3C3EC04C6D7}"/>
    <cellStyle name="Vírgula 9 2 6 2 2 4" xfId="9291" xr:uid="{F39E1B39-743F-4F02-B2DF-E98D9E6B79DF}"/>
    <cellStyle name="Vírgula 9 2 6 2 3" xfId="6162" xr:uid="{3FB5C138-CC8F-4592-94BD-386224DC3C5F}"/>
    <cellStyle name="Vírgula 9 2 6 2 3 2" xfId="6163" xr:uid="{4B2CA088-855E-4E32-A270-699AB6603B7E}"/>
    <cellStyle name="Vírgula 9 2 6 2 3 2 2" xfId="6164" xr:uid="{A828E8CD-78A8-46BB-B4C9-6A67547F652B}"/>
    <cellStyle name="Vírgula 9 2 6 2 3 2 3" xfId="9294" xr:uid="{38F335B1-2A12-4D41-8B2E-B095AEF7FB1F}"/>
    <cellStyle name="Vírgula 9 2 6 2 3 3" xfId="6165" xr:uid="{380ECD08-9737-4934-814D-5BEB703FDD7C}"/>
    <cellStyle name="Vírgula 9 2 6 2 3 4" xfId="9293" xr:uid="{E20943E0-ACEF-4312-A118-4B4FC3A84912}"/>
    <cellStyle name="Vírgula 9 2 6 2 4" xfId="6166" xr:uid="{1206BD3E-B586-43DC-A9AD-D1CD211BB6DD}"/>
    <cellStyle name="Vírgula 9 2 6 2 4 2" xfId="6167" xr:uid="{06F6760E-C384-42CF-BD42-01C4C9EB20F6}"/>
    <cellStyle name="Vírgula 9 2 6 2 4 3" xfId="9295" xr:uid="{1E6E23F5-B4BD-4CB6-95AB-C57919DFEEBE}"/>
    <cellStyle name="Vírgula 9 2 6 2 5" xfId="6168" xr:uid="{3F3E9B2D-929C-4443-A943-D7CB3153101A}"/>
    <cellStyle name="Vírgula 9 2 6 2 6" xfId="9290" xr:uid="{8F685B4B-3FD2-4273-AEE8-C994FD91DBED}"/>
    <cellStyle name="Vírgula 9 2 6 3" xfId="6169" xr:uid="{88D416EF-896D-45BA-B96D-7A107BEB9D1E}"/>
    <cellStyle name="Vírgula 9 2 6 3 2" xfId="6170" xr:uid="{EBBE80C4-8327-41D2-98F8-288964F5C4C9}"/>
    <cellStyle name="Vírgula 9 2 6 3 2 2" xfId="6171" xr:uid="{30CF47C2-BD64-43F6-B4F2-9379337D0531}"/>
    <cellStyle name="Vírgula 9 2 6 3 2 3" xfId="9297" xr:uid="{6CD5E9BB-C97E-49EB-AF79-D4D7F3B7F5D4}"/>
    <cellStyle name="Vírgula 9 2 6 3 3" xfId="6172" xr:uid="{D49F4CF2-2FE2-4529-A55A-D929835CD274}"/>
    <cellStyle name="Vírgula 9 2 6 3 4" xfId="9296" xr:uid="{0BA4C024-06D6-487D-A907-874D8CE5E903}"/>
    <cellStyle name="Vírgula 9 2 6 4" xfId="6173" xr:uid="{8E1EAB09-A809-4348-9308-28BAABEFF62C}"/>
    <cellStyle name="Vírgula 9 2 6 4 2" xfId="6174" xr:uid="{32C2790C-1FA9-410F-A916-6D7CF974C08B}"/>
    <cellStyle name="Vírgula 9 2 6 4 2 2" xfId="6175" xr:uid="{EE2349BB-A9CC-42BF-99E0-42BF3478AF7A}"/>
    <cellStyle name="Vírgula 9 2 6 4 2 3" xfId="9299" xr:uid="{733508B5-59AF-4A85-A44D-E1EA0BF4F9F4}"/>
    <cellStyle name="Vírgula 9 2 6 4 3" xfId="6176" xr:uid="{B77649DE-ED54-44BD-9476-A8195B6D8187}"/>
    <cellStyle name="Vírgula 9 2 6 4 4" xfId="9298" xr:uid="{4D0E5E90-D713-4E39-8CF2-C3C462E18F4F}"/>
    <cellStyle name="Vírgula 9 2 6 5" xfId="6177" xr:uid="{48038EFD-86ED-4A46-A0F2-0E3ABA400A1C}"/>
    <cellStyle name="Vírgula 9 2 6 5 2" xfId="6178" xr:uid="{19024F09-7CC0-40C7-8BF2-D8036ADD5EB7}"/>
    <cellStyle name="Vírgula 9 2 6 5 3" xfId="9300" xr:uid="{55AB587B-CE37-4221-A95C-1DA1BA1CF98A}"/>
    <cellStyle name="Vírgula 9 2 6 6" xfId="6179" xr:uid="{52ABE6EC-1FCC-497B-9A52-2183DAFD3E25}"/>
    <cellStyle name="Vírgula 9 2 6 7" xfId="9289" xr:uid="{656CE5AE-526E-4CE6-A27B-B443B68E918F}"/>
    <cellStyle name="Vírgula 9 2 7" xfId="6180" xr:uid="{F1B6DFB0-2D56-4EF7-8D7B-90652EE4D2EA}"/>
    <cellStyle name="Vírgula 9 2 7 2" xfId="6181" xr:uid="{17EDAB60-D5FA-4F7A-AEE9-60C4CED4362C}"/>
    <cellStyle name="Vírgula 9 2 7 2 2" xfId="6182" xr:uid="{218F6448-09F1-4AB2-897E-854C8BFE92B4}"/>
    <cellStyle name="Vírgula 9 2 7 2 2 2" xfId="6183" xr:uid="{FF5CF423-3DA4-42B2-B176-2B853DA240D8}"/>
    <cellStyle name="Vírgula 9 2 7 2 2 2 2" xfId="6184" xr:uid="{928CADCE-3358-4F66-8AB3-C839B7031E8B}"/>
    <cellStyle name="Vírgula 9 2 7 2 2 2 3" xfId="9304" xr:uid="{47018E1B-F86C-419B-BC7E-4B95A2190DE0}"/>
    <cellStyle name="Vírgula 9 2 7 2 2 3" xfId="6185" xr:uid="{801992C5-A9D5-4215-91B7-5965C29BB67A}"/>
    <cellStyle name="Vírgula 9 2 7 2 2 4" xfId="9303" xr:uid="{32DB62CC-39BF-49DD-81EE-6C25F84698F9}"/>
    <cellStyle name="Vírgula 9 2 7 2 3" xfId="6186" xr:uid="{62048C63-5AD3-431D-9776-CA5572D887BE}"/>
    <cellStyle name="Vírgula 9 2 7 2 3 2" xfId="6187" xr:uid="{A6F01789-A308-4762-8B80-3F04686B7F95}"/>
    <cellStyle name="Vírgula 9 2 7 2 3 2 2" xfId="6188" xr:uid="{99C9B54D-9808-4D3C-95CE-CA10F49EF23F}"/>
    <cellStyle name="Vírgula 9 2 7 2 3 2 3" xfId="9306" xr:uid="{74878835-F355-4A5F-AFF2-2E8CFEDF56EE}"/>
    <cellStyle name="Vírgula 9 2 7 2 3 3" xfId="6189" xr:uid="{4FB09F46-B5C4-4255-9CCF-F83DBD41339F}"/>
    <cellStyle name="Vírgula 9 2 7 2 3 4" xfId="9305" xr:uid="{7500D234-EBB6-4F5B-962C-83E247B83C2B}"/>
    <cellStyle name="Vírgula 9 2 7 2 4" xfId="6190" xr:uid="{E4B72882-E178-405F-9551-9847971B27A7}"/>
    <cellStyle name="Vírgula 9 2 7 2 4 2" xfId="6191" xr:uid="{F4D07A7F-9D0D-4022-AE5A-CC00E62CBD18}"/>
    <cellStyle name="Vírgula 9 2 7 2 4 3" xfId="9307" xr:uid="{0A36A378-32C7-4DF1-B523-12F4B7A0C608}"/>
    <cellStyle name="Vírgula 9 2 7 2 5" xfId="6192" xr:uid="{21E89DB6-0595-42E0-A4D2-DCF13A213CF7}"/>
    <cellStyle name="Vírgula 9 2 7 2 6" xfId="9302" xr:uid="{9C957BEC-837A-4807-9F83-0446664B124A}"/>
    <cellStyle name="Vírgula 9 2 7 3" xfId="6193" xr:uid="{C034E4EA-A5A3-4A4D-95C4-ED9798947CBE}"/>
    <cellStyle name="Vírgula 9 2 7 3 2" xfId="6194" xr:uid="{4564089C-0B22-42E4-AAD3-3AA557E8CAB1}"/>
    <cellStyle name="Vírgula 9 2 7 3 2 2" xfId="6195" xr:uid="{985DE4CF-7F79-48C7-B04A-EA07934715CA}"/>
    <cellStyle name="Vírgula 9 2 7 3 2 3" xfId="9309" xr:uid="{212B3225-A0FA-4EBE-ACAB-805FC003985F}"/>
    <cellStyle name="Vírgula 9 2 7 3 3" xfId="6196" xr:uid="{5C10A721-5B3C-4FC1-80BC-6CDEBB21AC3B}"/>
    <cellStyle name="Vírgula 9 2 7 3 4" xfId="9308" xr:uid="{77D16047-1A5D-41A5-85A4-6976E26C2DCC}"/>
    <cellStyle name="Vírgula 9 2 7 4" xfId="6197" xr:uid="{BDDB76B7-CEE3-4045-9309-E29FBA583DD0}"/>
    <cellStyle name="Vírgula 9 2 7 4 2" xfId="6198" xr:uid="{CC10A4E5-63C3-4C81-8F24-12BD35DFF6DA}"/>
    <cellStyle name="Vírgula 9 2 7 4 2 2" xfId="6199" xr:uid="{37E26344-B681-4F1F-983D-99C5B9633914}"/>
    <cellStyle name="Vírgula 9 2 7 4 2 3" xfId="9311" xr:uid="{C4827C87-5178-4F3F-B725-E7AC49604CB1}"/>
    <cellStyle name="Vírgula 9 2 7 4 3" xfId="6200" xr:uid="{47998A9D-C27B-47AA-B634-8D02FB211955}"/>
    <cellStyle name="Vírgula 9 2 7 4 4" xfId="9310" xr:uid="{D5497230-06B1-4129-804D-1F17E41FE9BF}"/>
    <cellStyle name="Vírgula 9 2 7 5" xfId="6201" xr:uid="{4F9B1C12-9410-414D-93FF-3DFEA79C5D76}"/>
    <cellStyle name="Vírgula 9 2 7 5 2" xfId="6202" xr:uid="{0B568785-43B4-454D-8604-3E7F03C4CDF5}"/>
    <cellStyle name="Vírgula 9 2 7 5 3" xfId="9312" xr:uid="{AF3F4CD8-3857-4DCB-AB8D-76A0EA164627}"/>
    <cellStyle name="Vírgula 9 2 7 6" xfId="6203" xr:uid="{1A508E07-EF09-4D0E-A82F-00FADFABC783}"/>
    <cellStyle name="Vírgula 9 2 7 7" xfId="9301" xr:uid="{4DECE55A-B1FE-4ECC-9A47-2B83584AD558}"/>
    <cellStyle name="Vírgula 9 2 8" xfId="6204" xr:uid="{A5F6F7EE-F89F-4983-BEE7-0415AF0AF32A}"/>
    <cellStyle name="Vírgula 9 2 8 2" xfId="6205" xr:uid="{7F9C83EB-F8F3-422D-99F4-B8367D49762C}"/>
    <cellStyle name="Vírgula 9 2 8 2 2" xfId="6206" xr:uid="{04C31240-31FD-4383-89CB-6FDFAEA73B67}"/>
    <cellStyle name="Vírgula 9 2 8 2 2 2" xfId="6207" xr:uid="{4D3C0303-3B49-4BF3-93C0-00CD504FC161}"/>
    <cellStyle name="Vírgula 9 2 8 2 2 3" xfId="9315" xr:uid="{9B7DBCF1-6353-4231-8928-589EB9F55874}"/>
    <cellStyle name="Vírgula 9 2 8 2 3" xfId="6208" xr:uid="{68FC2459-88AB-4772-B533-AFA68E5CEDA6}"/>
    <cellStyle name="Vírgula 9 2 8 2 4" xfId="9314" xr:uid="{DC90B892-5871-4D72-9DFA-12CDDC486C50}"/>
    <cellStyle name="Vírgula 9 2 8 3" xfId="6209" xr:uid="{FA6AE620-0522-4743-A605-058F54865A52}"/>
    <cellStyle name="Vírgula 9 2 8 3 2" xfId="6210" xr:uid="{1145C7D1-63D1-4D06-9D6C-79E2C1FB0AB5}"/>
    <cellStyle name="Vírgula 9 2 8 3 2 2" xfId="6211" xr:uid="{E82665D3-FF98-47F7-A3D2-5CEBC08777F7}"/>
    <cellStyle name="Vírgula 9 2 8 3 2 3" xfId="9317" xr:uid="{0AFAE709-BF26-485D-9403-D674E35023D6}"/>
    <cellStyle name="Vírgula 9 2 8 3 3" xfId="6212" xr:uid="{DD2EF614-CD14-4329-BC8D-FBE6E6D8C9F9}"/>
    <cellStyle name="Vírgula 9 2 8 3 4" xfId="9316" xr:uid="{8C47CA15-349C-44EF-9BD8-6F2D2896407A}"/>
    <cellStyle name="Vírgula 9 2 8 4" xfId="6213" xr:uid="{DFC98CBE-7F0A-41E1-A3AF-446805EBC12B}"/>
    <cellStyle name="Vírgula 9 2 8 4 2" xfId="6214" xr:uid="{294EDE9B-EC78-4CC4-A08B-40122152CC81}"/>
    <cellStyle name="Vírgula 9 2 8 4 3" xfId="9318" xr:uid="{4E28F9EF-A2B6-4279-A74F-D2AFF43EF96F}"/>
    <cellStyle name="Vírgula 9 2 8 5" xfId="6215" xr:uid="{5AAF0E0F-58FA-48D6-9885-334753750938}"/>
    <cellStyle name="Vírgula 9 2 8 6" xfId="9313" xr:uid="{C7450564-5AB8-44DE-AF8E-DA183EB2DEA6}"/>
    <cellStyle name="Vírgula 9 2 9" xfId="6216" xr:uid="{B1AC0E0B-13BB-4C86-8A32-99F1D1D54DD4}"/>
    <cellStyle name="Vírgula 9 2 9 2" xfId="6217" xr:uid="{A94296E4-96F9-487C-9BE4-EB76718B5B53}"/>
    <cellStyle name="Vírgula 9 2 9 2 2" xfId="6218" xr:uid="{02BDC9F3-8C63-45E7-8D51-65E84C4907F7}"/>
    <cellStyle name="Vírgula 9 2 9 2 3" xfId="9320" xr:uid="{4AEA461C-B17E-41CE-9201-734AA30350AB}"/>
    <cellStyle name="Vírgula 9 2 9 3" xfId="6219" xr:uid="{51287DDD-AC3E-4E14-AB28-45EE6C39E5A2}"/>
    <cellStyle name="Vírgula 9 2 9 4" xfId="9319" xr:uid="{2EF474FF-B1CC-434D-BB10-A41B001BFA02}"/>
    <cellStyle name="Vírgula 9 3" xfId="9032" xr:uid="{1BCEB67D-A9D0-47D1-8A35-FFCB4D35786A}"/>
  </cellStyles>
  <dxfs count="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Carlos" refreshedDate="45729.864384953704" createdVersion="1" refreshedVersion="4" recordCount="57" upgradeOnRefresh="1" xr:uid="{2EF358BE-B93D-4E33-9387-2125EF4F05F5}">
  <cacheSource type="worksheet">
    <worksheetSource ref="A317:U317" sheet="Lista"/>
  </cacheSource>
  <cacheFields count="21">
    <cacheField name="Nome " numFmtId="0">
      <sharedItems containsBlank="1"/>
    </cacheField>
    <cacheField name="RG" numFmtId="0">
      <sharedItems containsBlank="1" containsMixedTypes="1" containsNumber="1" containsInteger="1" minValue="777892" maxValue="634118134"/>
    </cacheField>
    <cacheField name="CPF" numFmtId="0">
      <sharedItems containsBlank="1" containsMixedTypes="1" containsNumber="1" containsInteger="1" minValue="15196219811" maxValue="78327024787"/>
    </cacheField>
    <cacheField name="Telefone " numFmtId="0">
      <sharedItems containsBlank="1" containsMixedTypes="1" containsNumber="1" containsInteger="1" minValue="1146198490" maxValue="51967790103"/>
    </cacheField>
    <cacheField name="Endereço " numFmtId="0">
      <sharedItems containsBlank="1"/>
    </cacheField>
    <cacheField name="Bairro " numFmtId="0">
      <sharedItems containsBlank="1"/>
    </cacheField>
    <cacheField name="Cidade" numFmtId="0">
      <sharedItems containsBlank="1"/>
    </cacheField>
    <cacheField name="Cep " numFmtId="0">
      <sharedItems containsBlank="1" containsMixedTypes="1" containsNumber="1" containsInteger="1" minValue="5350000" maxValue="5350000"/>
    </cacheField>
    <cacheField name="Email " numFmtId="0">
      <sharedItems containsBlank="1"/>
    </cacheField>
    <cacheField name="Nome do cão " numFmtId="0">
      <sharedItems containsBlank="1"/>
    </cacheField>
    <cacheField name="QDE DE CÃES" numFmtId="0">
      <sharedItems containsString="0" containsBlank="1" containsNumber="1" containsInteger="1" minValue="1" maxValue="5"/>
    </cacheField>
    <cacheField name="Data de pagamento" numFmtId="0">
      <sharedItems containsNonDate="0" containsDate="1" containsString="0" containsBlank="1" minDate="2011-06-21T00:00:00" maxDate="2025-03-12T00:00:00"/>
    </cacheField>
    <cacheField name="Dia" numFmtId="0">
      <sharedItems containsString="0" containsBlank="1" containsNumber="1" containsInteger="1" minValue="1" maxValue="30" count="26">
        <n v="21"/>
        <n v="2"/>
        <n v="30"/>
        <n v="17"/>
        <n v="14"/>
        <n v="24"/>
        <n v="13"/>
        <n v="12"/>
        <n v="25"/>
        <n v="1"/>
        <n v="4"/>
        <n v="8"/>
        <n v="10"/>
        <n v="29"/>
        <n v="9"/>
        <n v="23"/>
        <n v="18"/>
        <n v="19"/>
        <n v="5"/>
        <n v="16"/>
        <n v="22"/>
        <n v="20"/>
        <n v="27"/>
        <n v="3"/>
        <n v="11"/>
        <m/>
      </sharedItems>
    </cacheField>
    <cacheField name="Mês" numFmtId="0">
      <sharedItems containsString="0" containsBlank="1" containsNumber="1" containsInteger="1" minValue="1" maxValue="12"/>
    </cacheField>
    <cacheField name="Ano" numFmtId="0">
      <sharedItems containsString="0" containsBlank="1" containsNumber="1" containsInteger="1" minValue="2011" maxValue="2025"/>
    </cacheField>
    <cacheField name="Valor 2019 e 2020" numFmtId="0">
      <sharedItems containsString="0" containsBlank="1" containsNumber="1" minValue="16" maxValue="3334.7601006719997"/>
    </cacheField>
    <cacheField name="Valor 2021" numFmtId="0">
      <sharedItems containsString="0" containsBlank="1" containsNumber="1" minValue="7" maxValue="4017.44"/>
    </cacheField>
    <cacheField name="Valor 2022" numFmtId="0">
      <sharedItems containsString="0" containsBlank="1" containsNumber="1" minValue="499.99999500000001" maxValue="4447.8805739199997"/>
    </cacheField>
    <cacheField name="Valor 2023" numFmtId="0">
      <sharedItems containsString="0" containsBlank="1" containsNumber="1" minValue="19" maxValue="4268.51"/>
    </cacheField>
    <cacheField name="Valor 2024" numFmtId="0">
      <sharedItems containsString="0" containsBlank="1" containsNumber="1" minValue="575.81999999999994" maxValue="3841.66"/>
    </cacheField>
    <cacheField name="Valor 2025" numFmtId="0">
      <sharedItems containsString="0" containsBlank="1" containsNumber="1" minValue="604.62" maxValue="3361.4524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Carlos" refreshedDate="45729.867218171297" createdVersion="1" refreshedVersion="4" recordCount="302" upgradeOnRefresh="1" xr:uid="{E8A6C583-7EB0-45C0-A1F6-17CC8DE95DE8}">
  <cacheSource type="worksheet">
    <worksheetSource ref="A24" sheet="Ex residentes"/>
  </cacheSource>
  <cacheFields count="28">
    <cacheField name="Nome " numFmtId="0">
      <sharedItems containsBlank="1"/>
    </cacheField>
    <cacheField name="RG" numFmtId="0">
      <sharedItems containsBlank="1" containsMixedTypes="1" containsNumber="1" containsInteger="1" minValue="527386" maxValue="2000031111697"/>
    </cacheField>
    <cacheField name="CPF" numFmtId="0">
      <sharedItems containsBlank="1" containsMixedTypes="1" containsNumber="1" containsInteger="1" minValue="10500110" maxValue="94316066820"/>
    </cacheField>
    <cacheField name="Telefone " numFmtId="0">
      <sharedItems containsBlank="1" containsMixedTypes="1" containsNumber="1" containsInteger="1" minValue="1130623453" maxValue="11998007855"/>
    </cacheField>
    <cacheField name="Endereço " numFmtId="0">
      <sharedItems containsBlank="1"/>
    </cacheField>
    <cacheField name="Bairro " numFmtId="0">
      <sharedItems containsBlank="1"/>
    </cacheField>
    <cacheField name="Cidade" numFmtId="0">
      <sharedItems containsBlank="1"/>
    </cacheField>
    <cacheField name="Cep " numFmtId="0">
      <sharedItems containsBlank="1" containsMixedTypes="1" containsNumber="1" containsInteger="1" minValue="1304000" maxValue="18150000"/>
    </cacheField>
    <cacheField name="Email " numFmtId="0">
      <sharedItems containsBlank="1"/>
    </cacheField>
    <cacheField name="Nome do cão " numFmtId="0">
      <sharedItems containsBlank="1"/>
    </cacheField>
    <cacheField name="QDE DE CÃES" numFmtId="0">
      <sharedItems containsString="0" containsBlank="1" containsNumber="1" containsInteger="1" minValue="1" maxValue="5"/>
    </cacheField>
    <cacheField name="Data de pagamento" numFmtId="0">
      <sharedItems containsDate="1" containsBlank="1" containsMixedTypes="1" minDate="2009-08-22T00:00:00" maxDate="2024-12-14T00:00:00"/>
    </cacheField>
    <cacheField name="Dia" numFmtId="0">
      <sharedItems containsString="0" containsBlank="1" containsNumber="1" containsInteger="1" minValue="1" maxValue="31"/>
    </cacheField>
    <cacheField name="Mês" numFmtId="0">
      <sharedItems containsString="0" containsBlank="1" containsNumber="1" containsInteger="1" minValue="1" maxValue="12" count="13">
        <n v="5"/>
        <n v="6"/>
        <n v="4"/>
        <n v="8"/>
        <n v="11"/>
        <n v="9"/>
        <n v="2"/>
        <n v="10"/>
        <n v="7"/>
        <n v="3"/>
        <n v="1"/>
        <n v="12"/>
        <m/>
      </sharedItems>
    </cacheField>
    <cacheField name="Ano" numFmtId="0">
      <sharedItems containsString="0" containsBlank="1" containsNumber="1" containsInteger="1" minValue="2009" maxValue="2024" count="17">
        <n v="2011"/>
        <n v="2012"/>
        <n v="2013"/>
        <n v="2010"/>
        <n v="2014"/>
        <n v="2009"/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Valor " numFmtId="0">
      <sharedItems containsString="0" containsBlank="1" containsNumber="1" minValue="380" maxValue="3600"/>
    </cacheField>
    <cacheField name="Valor1" numFmtId="0">
      <sharedItems containsBlank="1" containsMixedTypes="1" containsNumber="1" minValue="275" maxValue="4017.44"/>
    </cacheField>
    <cacheField name="Valor2" numFmtId="0">
      <sharedItems containsBlank="1" containsMixedTypes="1" containsNumber="1" minValue="443.33334521281438" maxValue="16774.5"/>
    </cacheField>
    <cacheField name="X" numFmtId="0">
      <sharedItems containsString="0" containsBlank="1" containsNumber="1" minValue="490.83340981895094" maxValue="5600"/>
    </cacheField>
    <cacheField name="DDA" numFmtId="0">
      <sharedItems containsBlank="1" containsMixedTypes="1" containsNumber="1" minValue="0" maxValue="7705.7152799999994"/>
    </cacheField>
    <cacheField name="obs1" numFmtId="0">
      <sharedItems containsBlank="1" containsMixedTypes="1" containsNumber="1" minValue="550" maxValue="12677.096021468402"/>
    </cacheField>
    <cacheField name="obs2" numFmtId="0">
      <sharedItems containsBlank="1" containsMixedTypes="1" containsNumber="1" minValue="2720" maxValue="26891.640000000003"/>
    </cacheField>
    <cacheField name="obs3" numFmtId="0">
      <sharedItems containsBlank="1"/>
    </cacheField>
    <cacheField name="obs4" numFmtId="0">
      <sharedItems containsBlank="1"/>
    </cacheField>
    <cacheField name="DATA DE SAIDA" numFmtId="0">
      <sharedItems containsNonDate="0" containsDate="1" containsString="0" containsBlank="1" minDate="2016-12-30T00:00:00" maxDate="2025-02-12T00:00:00"/>
    </cacheField>
    <cacheField name="Dia Saida" numFmtId="0">
      <sharedItems containsBlank="1" containsMixedTypes="1" containsNumber="1" containsInteger="1" minValue="1" maxValue="31"/>
    </cacheField>
    <cacheField name="Mês Saida" numFmtId="0">
      <sharedItems containsBlank="1" containsMixedTypes="1" containsNumber="1" containsInteger="1" minValue="1" maxValue="12" count="14">
        <s v=""/>
        <n v="12"/>
        <n v="1"/>
        <n v="2"/>
        <n v="3"/>
        <n v="4"/>
        <n v="5"/>
        <n v="6"/>
        <n v="7"/>
        <n v="8"/>
        <n v="9"/>
        <n v="10"/>
        <n v="11"/>
        <m/>
      </sharedItems>
    </cacheField>
    <cacheField name="Ano Saída" numFmtId="0">
      <sharedItems containsBlank="1" containsMixedTypes="1" containsNumber="1" containsInteger="1" minValue="2016" maxValue="2025" count="12">
        <s v=""/>
        <n v="2016"/>
        <n v="2017"/>
        <n v="2018"/>
        <n v="2019"/>
        <n v="2020"/>
        <n v="2021"/>
        <n v="2022"/>
        <n v="2023"/>
        <n v="2024"/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Carlos" refreshedDate="45791.874670370373" createdVersion="1" refreshedVersion="4" recordCount="55" upgradeOnRefresh="1" xr:uid="{B5404999-0F73-4617-9E9E-1F63EF826C47}">
  <cacheSource type="worksheet">
    <worksheetSource ref="A317:O317" sheet="Lista"/>
  </cacheSource>
  <cacheFields count="15">
    <cacheField name="Nome " numFmtId="0">
      <sharedItems containsBlank="1"/>
    </cacheField>
    <cacheField name="RG" numFmtId="0">
      <sharedItems containsBlank="1" containsMixedTypes="1" containsNumber="1" containsInteger="1" minValue="777892" maxValue="634118134"/>
    </cacheField>
    <cacheField name="CPF" numFmtId="0">
      <sharedItems containsBlank="1" containsMixedTypes="1" containsNumber="1" containsInteger="1" minValue="15196219811" maxValue="78327024787"/>
    </cacheField>
    <cacheField name="Telefone " numFmtId="0">
      <sharedItems containsBlank="1" containsMixedTypes="1" containsNumber="1" containsInteger="1" minValue="1146198490" maxValue="51967790103"/>
    </cacheField>
    <cacheField name="Endereço " numFmtId="0">
      <sharedItems containsBlank="1"/>
    </cacheField>
    <cacheField name="Bairro " numFmtId="0">
      <sharedItems containsBlank="1"/>
    </cacheField>
    <cacheField name="Cidade" numFmtId="0">
      <sharedItems containsBlank="1"/>
    </cacheField>
    <cacheField name="Cep " numFmtId="0">
      <sharedItems containsBlank="1" containsMixedTypes="1" containsNumber="1" containsInteger="1" minValue="5350000" maxValue="5350000"/>
    </cacheField>
    <cacheField name="Email " numFmtId="0">
      <sharedItems containsBlank="1"/>
    </cacheField>
    <cacheField name="Nome do cão " numFmtId="0">
      <sharedItems containsBlank="1"/>
    </cacheField>
    <cacheField name="QDE DE CÃES" numFmtId="0">
      <sharedItems containsString="0" containsBlank="1" containsNumber="1" containsInteger="1" minValue="1" maxValue="5"/>
    </cacheField>
    <cacheField name="Data de pagamento" numFmtId="0">
      <sharedItems containsNonDate="0" containsDate="1" containsString="0" containsBlank="1" minDate="2011-06-21T00:00:00" maxDate="2025-03-12T00:00:00"/>
    </cacheField>
    <cacheField name="Dia" numFmtId="0">
      <sharedItems containsString="0" containsBlank="1" containsNumber="1" containsInteger="1" minValue="1" maxValue="30"/>
    </cacheField>
    <cacheField name="Mês" numFmtId="0">
      <sharedItems containsString="0" containsBlank="1" containsNumber="1" containsInteger="1" minValue="1" maxValue="12" count="13">
        <n v="6"/>
        <n v="4"/>
        <n v="5"/>
        <n v="9"/>
        <n v="11"/>
        <n v="1"/>
        <n v="10"/>
        <n v="8"/>
        <n v="12"/>
        <n v="3"/>
        <n v="7"/>
        <n v="2"/>
        <m/>
      </sharedItems>
    </cacheField>
    <cacheField name="Ano" numFmtId="0">
      <sharedItems containsString="0" containsBlank="1" containsNumber="1" containsInteger="1" minValue="1900" maxValue="2025" count="20">
        <n v="2011"/>
        <n v="2014"/>
        <n v="2015"/>
        <n v="2016"/>
        <n v="2017"/>
        <n v="2018"/>
        <n v="2019"/>
        <n v="2020"/>
        <n v="2021"/>
        <n v="2022"/>
        <n v="2023"/>
        <n v="2024"/>
        <n v="2025"/>
        <m/>
        <n v="2008" u="1"/>
        <n v="2013" u="1"/>
        <n v="1900" u="1"/>
        <n v="2009" u="1"/>
        <n v="2012" u="1"/>
        <n v="201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ANA PAULA DE OLIVEIRA VIEIRA"/>
    <s v="50320046-3"/>
    <s v="042486506-81"/>
    <s v="11 3763-3068"/>
    <s v="RUA EULO MARONI N°171 BLC05 APTO 31"/>
    <s v="VILA LAGEADO"/>
    <s v="São Paulo"/>
    <s v="05338-100"/>
    <s v="apovieira@yahoo.com"/>
    <s v="LUNA"/>
    <n v="1"/>
    <d v="2011-06-21T00:00:00"/>
    <x v="0"/>
    <n v="6"/>
    <n v="2011"/>
    <n v="1077.5341991959999"/>
    <n v="620"/>
    <n v="686.42866000000004"/>
    <n v="752.85436142820004"/>
    <n v="790.5"/>
    <n v="830.03"/>
  </r>
  <r>
    <s v="NEIVA DOURADO MARTINS MENDES"/>
    <n v="18420741"/>
    <s v="030283108-80"/>
    <s v="11 4121-7832     "/>
    <s v="RUA DOMICIANO ROSSI 600 APTO193 H"/>
    <s v="SÃO BERNARDO DO CAMPO"/>
    <s v="SÃO BERNARDO DO CAMPO"/>
    <s v="09726-121"/>
    <s v="neiva.mendes@uol.com.br"/>
    <s v="BELINHA , LEIA, FAROFA,  PIPOCA E NINA"/>
    <n v="5"/>
    <d v="2014-04-02T00:00:00"/>
    <x v="1"/>
    <n v="4"/>
    <n v="2014"/>
    <n v="3334.7601006719997"/>
    <n v="4017.44"/>
    <n v="4447.8805739199997"/>
    <n v="4268.51"/>
    <n v="3841.66"/>
    <n v="3361.4524999999999"/>
  </r>
  <r>
    <s v="KARINA ROLIM PEREIRA DOS SANTOS"/>
    <n v="43618716"/>
    <s v="316771568-56"/>
    <s v="11 2309-9402 "/>
    <s v="RUA ANTONIO AGGIO,400 APTO 41 "/>
    <s v="JARDIM AMPLIAÇÃO"/>
    <s v="São Paulo"/>
    <s v="05713-420"/>
    <s v="karinarolim@hotmail.com "/>
    <s v="VALENTINO"/>
    <n v="1"/>
    <d v="2015-05-30T00:00:00"/>
    <x v="2"/>
    <n v="5"/>
    <n v="2015"/>
    <n v="530.00001599999996"/>
    <n v="560.0000150056602"/>
    <n v="620.00009661341164"/>
    <n v="679.99750596269155"/>
    <n v="714"/>
    <n v="749.7"/>
  </r>
  <r>
    <s v="LUCIA HELENA MOURA XAVIER GARCIA"/>
    <s v="18.432.729-5"/>
    <s v="183942698-50"/>
    <s v="11 9 8100-5756"/>
    <s v="RUA DA PAZ N° 2150 APTO 104A "/>
    <s v="CHACARA SANTO ANTONIO"/>
    <s v="São Paulo"/>
    <s v="04713-002"/>
    <s v="luciaxaviergarcia@gmail.com"/>
    <s v="DUDA E FILO"/>
    <n v="2"/>
    <d v="2015-09-17T00:00:00"/>
    <x v="3"/>
    <n v="9"/>
    <n v="2015"/>
    <n v="1656.2500499999999"/>
    <n v="1064"/>
    <n v="1767.0001520000001"/>
    <n v="1292"/>
    <n v="1356.6"/>
    <n v="1424.43"/>
  </r>
  <r>
    <s v="SAMANTHA SARAIVA"/>
    <s v="MG2087209"/>
    <s v="011750776-82"/>
    <s v="11 942492977"/>
    <s v="RUA PEIXOTO GOMIDE, 1769 APTO 31"/>
    <s v="JARDIM PAULISTA"/>
    <s v="São Paulo"/>
    <s v="01409-000"/>
    <s v="samantha.saraiva@gmail.com"/>
    <s v="VIVIAN"/>
    <n v="1"/>
    <d v="2015-11-14T00:00:00"/>
    <x v="4"/>
    <n v="11"/>
    <n v="2015"/>
    <n v="595.5"/>
    <n v="629.20754503499995"/>
    <n v="696.6227290326849"/>
    <n v="764.03491052117784"/>
    <n v="802.24"/>
    <n v="842.36"/>
  </r>
  <r>
    <s v="CECILIA MARIA GRANATO DE ANDRADE"/>
    <n v="35079126"/>
    <s v="007.326.738-44"/>
    <s v="11 99183-8895"/>
    <s v="RUA FERNANDES MOREIRA, 582 APTO 142"/>
    <s v="CHACARA SANTO ANTONIO"/>
    <s v="São Paulo"/>
    <s v="04716-001"/>
    <s v="ceciliagranato@gmail.com"/>
    <s v="HOMER"/>
    <n v="1"/>
    <d v="2016-01-24T00:00:00"/>
    <x v="5"/>
    <n v="1"/>
    <n v="2016"/>
    <n v="530.00001599999996"/>
    <n v="560.0000150056602"/>
    <n v="620.00009661341164"/>
    <n v="679.99750596269155"/>
    <n v="714"/>
    <n v="749.7"/>
  </r>
  <r>
    <s v="GILBERTO ARMENTANO CLARK REIS"/>
    <n v="777892"/>
    <s v="083.748.368-90"/>
    <s v="11 31293591  "/>
    <s v="RUA AUGUSTA 1460 APTO 32 "/>
    <s v="CONSOLAÇÃO"/>
    <s v="São Paulo"/>
    <s v="01304-001"/>
    <s v="garmentano@uol.com.br"/>
    <s v="LOLLA"/>
    <n v="1"/>
    <d v="2016-10-13T00:00:00"/>
    <x v="6"/>
    <n v="10"/>
    <n v="2016"/>
    <n v="530.00001599999996"/>
    <n v="560.0000150056602"/>
    <n v="620.00009661341164"/>
    <n v="679.99750596269155"/>
    <n v="714"/>
    <n v="749.7"/>
  </r>
  <r>
    <s v="VITOR BARBANTI PAZIN"/>
    <s v="46.517.691-4"/>
    <s v="400.762.228-02"/>
    <s v="11 2682 9229  "/>
    <s v="RUA GUARAS 17"/>
    <s v="VILA ARAGUAIA"/>
    <s v="São Paulo"/>
    <s v="03735-120"/>
    <s v="vitor.pazin@gmail.com"/>
    <s v="BOLT"/>
    <n v="1"/>
    <d v="2017-05-12T00:00:00"/>
    <x v="7"/>
    <n v="5"/>
    <n v="2017"/>
    <n v="530.00001599999996"/>
    <n v="560.0000150056602"/>
    <n v="620.00009661341164"/>
    <n v="679.99750596269155"/>
    <n v="714"/>
    <n v="749.7"/>
  </r>
  <r>
    <s v="ANA CLAUDIA CUNHA TRAVASSOS"/>
    <n v="141308254"/>
    <s v="245768928-78"/>
    <s v="11-982446128 "/>
    <s v="AV. GUILHERME DUMONT VILLARES, 2001 APTO 13 "/>
    <s v="JD LONDRINA"/>
    <s v="São Paulo"/>
    <s v="05640-003"/>
    <s v="acctravassos@gmail.com"/>
    <s v="MEL"/>
    <n v="1"/>
    <d v="2017-08-25T00:00:00"/>
    <x v="8"/>
    <n v="8"/>
    <n v="2017"/>
    <n v="530.00001599999996"/>
    <n v="560.0000150056602"/>
    <n v="620.00009661341164"/>
    <n v="679.99750596269155"/>
    <n v="714"/>
    <n v="749.7"/>
  </r>
  <r>
    <s v="MONICA DOS SANTOS COUTINHO"/>
    <s v="18870928-9"/>
    <s v="091.175.968-90"/>
    <s v="11 9 856-8838"/>
    <s v="RUA PROFESSOR JOAO ARRUDA 134 APTO 54"/>
    <s v="PERDIZES          "/>
    <s v="São Paulo"/>
    <s v="05012-000"/>
    <s v="monicascoutinho@live.com"/>
    <s v="FAÍSCA"/>
    <n v="1"/>
    <d v="2018-01-13T00:00:00"/>
    <x v="6"/>
    <n v="1"/>
    <n v="2018"/>
    <n v="530.00001599999996"/>
    <n v="560.0000150056602"/>
    <n v="620.00009661341164"/>
    <n v="679.99750596269155"/>
    <n v="714"/>
    <n v="749.7"/>
  </r>
  <r>
    <s v="ANTONIO CARLOS SOBRINHO"/>
    <n v="205114313"/>
    <s v="146395318-69"/>
    <s v="1198457-4196"/>
    <s v="SILVEIRA RODRIGUES, 23 APTO 32 B "/>
    <s v="SILICIANO"/>
    <s v="São Paulo"/>
    <s v="05048-070"/>
    <s v="acsobrinho@gmail.com"/>
    <s v="NINO"/>
    <n v="1"/>
    <d v="2018-09-01T00:00:00"/>
    <x v="9"/>
    <n v="9"/>
    <n v="2018"/>
    <n v="530"/>
    <n v="559.99999809999997"/>
    <n v="620.00007789642825"/>
    <n v="679.9974854344656"/>
    <n v="714"/>
    <n v="749.7"/>
  </r>
  <r>
    <s v="CRISTINA NAVARRO BARON"/>
    <n v="162230187"/>
    <s v="087.125.328-35"/>
    <s v="11  2918-2473  "/>
    <s v="RUA DANIEL MIRABELO 130 CASA 29"/>
    <s v="VILA EMA"/>
    <s v="São Paulo"/>
    <s v="03275-008"/>
    <s v="cristinabrux@gmail.com"/>
    <s v="MUSTAFFÁ"/>
    <n v="1"/>
    <d v="2019-04-02T00:00:00"/>
    <x v="1"/>
    <n v="4"/>
    <n v="2019"/>
    <n v="530"/>
    <n v="559.99999809999997"/>
    <n v="620.00007789642825"/>
    <n v="679.9974854344656"/>
    <n v="714"/>
    <n v="749.7"/>
  </r>
  <r>
    <s v="ADRIANA RODRIGUES LOPEZ HERNANDEZ"/>
    <s v="23271188-4"/>
    <s v="181.646.918-10"/>
    <s v="112261-1855"/>
    <s v="RUA SANTO ADALBERTO 207 "/>
    <s v="JARDIM FRANCA "/>
    <s v="São Paulo"/>
    <s v="02338-000"/>
    <s v="adrianarlh@bol.com.br "/>
    <s v="SNOOPY"/>
    <n v="1"/>
    <d v="2019-12-01T00:00:00"/>
    <x v="9"/>
    <n v="12"/>
    <n v="2019"/>
    <n v="450"/>
    <n v="475.47169649999995"/>
    <n v="526.41516047809944"/>
    <n v="577.35635555756517"/>
    <n v="606.23"/>
    <n v="636.54999999999995"/>
  </r>
  <r>
    <s v="ANTONIO CARLOS DE OLIVEIRA CARNEIRO"/>
    <n v="181222590"/>
    <n v="15196219811"/>
    <s v="11 9 7614-3422"/>
    <s v="AV ESCOLA POLITENICA APTO 224 C1"/>
    <s v="PARQUE DOS PRINCIPES"/>
    <s v="São Paulo"/>
    <n v="5350000"/>
    <s v="a_carneiro@ig.com.br"/>
    <s v="FRED E PITTY"/>
    <n v="2"/>
    <d v="2020-05-04T00:00:00"/>
    <x v="10"/>
    <n v="5"/>
    <n v="2020"/>
    <n v="960"/>
    <n v="1014.3396191999999"/>
    <n v="1123.0190090199455"/>
    <n v="1231.6935585228057"/>
    <n v="1293.28"/>
    <n v="1357.95"/>
  </r>
  <r>
    <s v="MARCIA DE PINHO VIEIRA"/>
    <n v="172619014"/>
    <s v="102004198-62"/>
    <s v="11 9 9918-8301"/>
    <s v="AV. WASHINGTON LUÍS 1576 APTO 264 A"/>
    <s v="SANTO AMARO"/>
    <s v="São Paulo"/>
    <s v="04662-902"/>
    <s v="marciapvieira@hotmail.com"/>
    <s v="LOBINHO E BRANCA"/>
    <n v="2"/>
    <d v="2020-10-24T00:00:00"/>
    <x v="5"/>
    <n v="10"/>
    <n v="2020"/>
    <n v="1160"/>
    <n v="1160"/>
    <n v="1124.2858799999999"/>
    <n v="1233.0830246076"/>
    <n v="1294.74"/>
    <n v="1359.48"/>
  </r>
  <r>
    <s v="JULIANA JACOMINO DA ROCHA"/>
    <n v="44207494"/>
    <s v="223.980.228-62"/>
    <s v="11 9 5821-0013"/>
    <s v="RUA INHAMBU 1325 APTO 71 "/>
    <s v="VILA UBERABINHA"/>
    <s v="São Paulo"/>
    <s v="04520-014"/>
    <s v="jjr271278@gmail.com"/>
    <s v="BENJAMIM"/>
    <n v="1"/>
    <d v="2020-12-12T00:00:00"/>
    <x v="7"/>
    <n v="12"/>
    <n v="2020"/>
    <m/>
    <n v="480"/>
    <n v="531.42863999999997"/>
    <n v="582.85498949279997"/>
    <n v="612"/>
    <n v="642.6"/>
  </r>
  <r>
    <s v="CRISTINA TAVARES DA SILVA"/>
    <s v="W643182-1"/>
    <s v="852.078.618-91"/>
    <s v="11 9 8168-1717"/>
    <s v="RUA MARCOS LOPES 272 APTO 41 E "/>
    <s v="VILA NOVA CONCEIÇÃO"/>
    <s v="São Paulo"/>
    <s v="04513-080"/>
    <s v="cristina.tavares7@gmail.com"/>
    <s v="IGOR"/>
    <n v="1"/>
    <d v="2021-01-08T00:00:00"/>
    <x v="11"/>
    <n v="1"/>
    <n v="2021"/>
    <m/>
    <n v="960"/>
    <n v="1062.8572799999999"/>
    <n v="582.85"/>
    <n v="612"/>
    <n v="642.6"/>
  </r>
  <r>
    <s v="WILSON MELGES ANTUNES"/>
    <n v="44643971"/>
    <s v="371.085.488-10"/>
    <s v="19 9 9372-6303"/>
    <s v="RUA JOAQUIM DE SEABRA 234 PARQUE RESIDENCIAL NOVA CANAÃ"/>
    <s v="MOGI GUAÇU"/>
    <s v="São Paulo"/>
    <s v="13848-622"/>
    <s v="wilson.m.antunes@hotmail.com"/>
    <s v="ZOE"/>
    <n v="1"/>
    <d v="2021-01-10T00:00:00"/>
    <x v="12"/>
    <n v="1"/>
    <n v="2021"/>
    <m/>
    <n v="480"/>
    <n v="531.42863999999997"/>
    <n v="582.85498949279997"/>
    <n v="612"/>
    <n v="642.6"/>
  </r>
  <r>
    <s v="MARCIO LEITE"/>
    <n v="198472341"/>
    <s v="142.311.788-36"/>
    <s v="11 972692727"/>
    <s v="AVENIDA ARICANDUVA 8256 BLC 4 APTO 22"/>
    <s v="Jd Colonial"/>
    <s v="São Paulo"/>
    <s v="03951-220"/>
    <s v="gatosemprealerta1873@gmail.com"/>
    <s v="CRISTAL"/>
    <n v="1"/>
    <d v="2021-01-14T00:00:00"/>
    <x v="4"/>
    <n v="1"/>
    <n v="2021"/>
    <m/>
    <n v="480"/>
    <n v="531.42863999999997"/>
    <n v="582.85498949279997"/>
    <n v="612"/>
    <n v="642.6"/>
  </r>
  <r>
    <s v="SUELEN CINTIA TARGINO NETO"/>
    <n v="44863210"/>
    <s v="379.547.588-00"/>
    <s v="11 9 7987-0883"/>
    <s v="RUA ANTONIETA LEITÃO 161 "/>
    <s v="FREGUESIA DO Ó"/>
    <s v="São Paulo"/>
    <s v="02925-160"/>
    <s v="suelen.targino@hotmail.com"/>
    <s v="PAMELA, LEÃO, ROSSI"/>
    <n v="3"/>
    <d v="2021-05-29T00:00:00"/>
    <x v="13"/>
    <n v="5"/>
    <n v="2021"/>
    <m/>
    <n v="1900"/>
    <n v="2103.5717"/>
    <n v="2307.1343334090002"/>
    <n v="1816.875"/>
    <n v="1907.72"/>
  </r>
  <r>
    <s v="DANIELA LUCAS PEDRO"/>
    <s v="47.599.094-8"/>
    <s v="403647498-73"/>
    <s v="11 56773454 "/>
    <s v="RUA BELMIRO ZANETTI ESTEVES, 223 CASA 2"/>
    <s v="VILA MIRA"/>
    <s v="São Paulo"/>
    <s v="04377-060"/>
    <s v="danishadowcat@yahoo.com.br"/>
    <s v="VALENTINA"/>
    <n v="1"/>
    <d v="2021-06-12T00:00:00"/>
    <x v="7"/>
    <n v="6"/>
    <n v="2021"/>
    <m/>
    <n v="450"/>
    <n v="499.99999500000001"/>
    <n v="548.39999451599999"/>
    <n v="575.81999999999994"/>
    <n v="604.62"/>
  </r>
  <r>
    <s v="ARIANE BONAFEDE"/>
    <s v="332.232.73"/>
    <s v="343.730.938-22"/>
    <s v="11 97554-8446"/>
    <s v="RUA REGO BARROS 1155 BLC A APTO 115"/>
    <s v="JARDIM VILA FORMOSA"/>
    <s v="São Paulo"/>
    <s v="03460-000"/>
    <s v="ariane.bonafede@yahoo.com.br"/>
    <s v="SHEIKE"/>
    <n v="1"/>
    <d v="2021-08-30T00:00:00"/>
    <x v="2"/>
    <n v="8"/>
    <n v="2021"/>
    <m/>
    <n v="560"/>
    <n v="620.00008000000003"/>
    <n v="679.99748774160003"/>
    <n v="714"/>
    <n v="749.7"/>
  </r>
  <r>
    <s v="ROSENI ANDREU DE OLIVEIRA"/>
    <n v="285963818"/>
    <s v="192.535.158-05"/>
    <s v="11 9 5305-0888"/>
    <s v="RUA ANHAIA, 439 "/>
    <s v="VILA CURUCA"/>
    <s v="SANTO ANDRÉ "/>
    <s v="09280-490"/>
    <s v="ga.abi@hotmail.com"/>
    <s v="KILLER, SAMANTA E ZOE"/>
    <n v="3"/>
    <d v="2021-10-09T00:00:00"/>
    <x v="14"/>
    <n v="10"/>
    <n v="2021"/>
    <m/>
    <n v="1680"/>
    <n v="1860"/>
    <n v="2039.9922000000001"/>
    <n v="2142"/>
    <n v="2249.1"/>
  </r>
  <r>
    <s v="CAMILA DE SOUZA ISSA"/>
    <s v="30432050X"/>
    <s v="279.241.248-88"/>
    <s v="1 99560-5649"/>
    <s v="RUA JOÃO MOURA 1108 APTO 41"/>
    <s v="PINHEIROS"/>
    <s v="São Paulo"/>
    <s v="05412-002"/>
    <s v="ca.issa@hotmail.com"/>
    <s v="FIONA"/>
    <n v="1"/>
    <d v="2021-11-23T00:00:00"/>
    <x v="15"/>
    <n v="11"/>
    <n v="2021"/>
    <m/>
    <n v="560"/>
    <n v="620"/>
    <n v="679.99739999999997"/>
    <n v="714"/>
    <n v="749.7"/>
  </r>
  <r>
    <s v="HANNA AMBACK ZAMARIAN      "/>
    <n v="338482428"/>
    <s v="407.731.478-02"/>
    <s v="11 95071-1178   "/>
    <s v="RUA FIAÇÃO DA SAÚDE 260 APTO 138 BLC C3                    "/>
    <s v="MIRANDÓPOLIS "/>
    <s v="São Paulo"/>
    <s v="04144-900"/>
    <s v="hannamfigueiredo@gmail.com"/>
    <s v="VITOR"/>
    <n v="1"/>
    <d v="2021-12-08T00:00:00"/>
    <x v="11"/>
    <n v="12"/>
    <n v="2021"/>
    <m/>
    <n v="560"/>
    <n v="620"/>
    <n v="679.99739999999997"/>
    <n v="714"/>
    <n v="749.7"/>
  </r>
  <r>
    <s v="MARIA GORETTI BEKER FERREIRA"/>
    <n v="69832250"/>
    <s v="186.271.658-74"/>
    <s v="11 93272-3227"/>
    <s v="ALAMEDA DAS SERINGUEIRAS 229 (MORADA DOS PINHEIROS)"/>
    <s v="ALDEIA DA SERRA"/>
    <s v="SANTANA DE PARNAIBA "/>
    <s v="06519-325"/>
    <s v="bekergoretti@gmail.com"/>
    <s v="LORD E LOBO"/>
    <n v="2"/>
    <d v="2022-03-25T00:00:00"/>
    <x v="8"/>
    <n v="3"/>
    <n v="2022"/>
    <m/>
    <m/>
    <n v="1240"/>
    <n v="1359.9947999999999"/>
    <n v="1428"/>
    <n v="1499.4"/>
  </r>
  <r>
    <s v="ITALO UENO"/>
    <m/>
    <s v="409.533.538-69"/>
    <s v="11 9 7120-2662"/>
    <s v="RUA CACHOEIRO DE ITAPEMIRIM 109 "/>
    <s v="CIDADE PATRIARCA"/>
    <s v="São Paulo"/>
    <s v="03544-050"/>
    <s v="italo_ueno@hotmail.com"/>
    <s v="FLOCK"/>
    <n v="1"/>
    <d v="2022-04-02T00:00:00"/>
    <x v="1"/>
    <n v="4"/>
    <n v="2022"/>
    <m/>
    <m/>
    <n v="620"/>
    <n v="679.99739999999997"/>
    <n v="714"/>
    <n v="749.7"/>
  </r>
  <r>
    <s v="EDUARDO COSTA GARCIA PEREZ"/>
    <m/>
    <s v="395.310.868-93"/>
    <s v="35 3899401153"/>
    <s v="AVENIDA ROUXINOL 418 APTO 41 "/>
    <s v="INDIANOPOLIS"/>
    <s v="São Paulo"/>
    <s v="04516-000"/>
    <s v="eduardocgperez@uol.com.br"/>
    <s v="SNOW"/>
    <n v="1"/>
    <d v="2022-08-18T00:00:00"/>
    <x v="16"/>
    <n v="8"/>
    <n v="2022"/>
    <m/>
    <m/>
    <n v="620"/>
    <n v="679.99739999999997"/>
    <n v="714"/>
    <n v="749.7"/>
  </r>
  <r>
    <s v="MARCIA DE PINHO VIEIRA"/>
    <n v="172619014"/>
    <s v="102.004.198-62"/>
    <s v="11 9 9918-8301"/>
    <s v="AV. WASHINGTON LUÍS 1576 APTO 264 A"/>
    <s v="SANTO AMARO"/>
    <s v="São Paulo"/>
    <s v="04662-902"/>
    <s v="marciapvieira@hotmail.com"/>
    <s v="RALF"/>
    <n v="1"/>
    <d v="2022-12-19T00:00:00"/>
    <x v="17"/>
    <n v="12"/>
    <n v="2022"/>
    <m/>
    <m/>
    <n v="1200"/>
    <n v="1200"/>
    <n v="630"/>
    <n v="661.5"/>
  </r>
  <r>
    <s v="DIEGO CARNEIRO BARRETO"/>
    <n v="56614758"/>
    <s v="057.140.166-02"/>
    <s v="11 9 9294-4877"/>
    <s v="RUA DONA ANA HELENA DE SALLES GUSMÃO 206"/>
    <s v="JARDIM PAULISTANO "/>
    <s v="São Paulo"/>
    <s v="01457-040"/>
    <s v="diego.carneiro.barreto@gmail.com"/>
    <s v="PIPOCA"/>
    <n v="1"/>
    <d v="2023-03-19T00:00:00"/>
    <x v="17"/>
    <n v="3"/>
    <n v="2023"/>
    <m/>
    <m/>
    <n v="680"/>
    <n v="680"/>
    <n v="714"/>
    <n v="749.7"/>
  </r>
  <r>
    <s v="MARILIA TAVARES JORGE"/>
    <s v="44247377-1"/>
    <s v="337.598.108-29"/>
    <s v="11 9 1751-8994"/>
    <s v="AV PROFESSOR JOSE MARIA ALKMIN CASA 1 BLC 4"/>
    <s v="JARDIM ESTER"/>
    <s v="São Paulo"/>
    <s v="05366-000"/>
    <s v="maritjorge@gmail.com"/>
    <s v="LEENA E NINO"/>
    <n v="2"/>
    <d v="2023-04-19T00:00:00"/>
    <x v="17"/>
    <n v="4"/>
    <n v="2023"/>
    <m/>
    <m/>
    <n v="1360"/>
    <n v="1360"/>
    <n v="1428"/>
    <n v="1499.4"/>
  </r>
  <r>
    <s v="THAIZ LIMA RAMOS DOS SANTOS "/>
    <n v="24599134"/>
    <s v="273.314.658-05"/>
    <s v="11 9 7249-1213"/>
    <s v="RUA RITA JOANA DE SOUSA, 154"/>
    <s v="BROOKLIN NOVO   "/>
    <s v="São Paulo"/>
    <s v="04601-060"/>
    <s v="Thaizl143@gmail.com"/>
    <s v="BILLY"/>
    <n v="1"/>
    <d v="2023-07-02T00:00:00"/>
    <x v="1"/>
    <n v="7"/>
    <n v="2023"/>
    <m/>
    <m/>
    <n v="680"/>
    <n v="680"/>
    <n v="714"/>
    <n v="749.7"/>
  </r>
  <r>
    <s v="ALANA FIGUEIREDO    "/>
    <n v="332991143"/>
    <s v="311.392.078-73"/>
    <s v="11 97407-4774     "/>
    <s v="R AROABA, 482   54 B"/>
    <s v="VILA LEOPOLDINA    "/>
    <s v="São Paulo"/>
    <s v="05315-021"/>
    <s v="alanarf@gmail.com     "/>
    <s v="JOHN"/>
    <n v="1"/>
    <d v="2023-08-13T00:00:00"/>
    <x v="6"/>
    <n v="8"/>
    <n v="2023"/>
    <m/>
    <m/>
    <n v="680"/>
    <n v="680"/>
    <n v="714"/>
    <n v="749.7"/>
  </r>
  <r>
    <s v="LUIZ CARLOS GONÇALVES         "/>
    <s v="6170605 - X      "/>
    <s v="839.322.248-68"/>
    <s v="11 9 8198 -0517"/>
    <s v="RUA ZACARIAS DE GOES 2006"/>
    <s v="CAMPO BELO"/>
    <s v="São Paulo"/>
    <s v="04610-005"/>
    <s v="luizgoncalves@joyeventos.com.br"/>
    <s v="FIDEL"/>
    <n v="1"/>
    <d v="2024-02-05T00:00:00"/>
    <x v="18"/>
    <n v="2"/>
    <n v="2024"/>
    <m/>
    <m/>
    <m/>
    <m/>
    <n v="680"/>
    <n v="714"/>
  </r>
  <r>
    <s v="CLAUDIO LUIZ TEIXEIRA JUNIOR "/>
    <n v="13739989"/>
    <s v="112.680.588.23"/>
    <s v="11 99976-4958"/>
    <s v="R DR WILTON PAES DE ALMEIDA 40 AP 43 "/>
    <s v="CIDADE JARDIM "/>
    <s v="São Paulo"/>
    <s v="05678-020"/>
    <s v="Claudioluizteixeirajunior@gmail.com"/>
    <s v="AGDA"/>
    <n v="1"/>
    <d v="2024-02-12T00:00:00"/>
    <x v="7"/>
    <n v="2"/>
    <n v="2024"/>
    <m/>
    <m/>
    <m/>
    <m/>
    <n v="680"/>
    <n v="714"/>
  </r>
  <r>
    <s v="MARGARETH NODA"/>
    <n v="19994767"/>
    <s v="117.705.128-10"/>
    <s v="11 9 9825-5983 "/>
    <s v="AVENIDA DOUTOR LUIZ ANTONIO PEDUTI CUNHA 180 CASA"/>
    <s v="PARQUE DOS PRINCIPES"/>
    <s v="São Paulo"/>
    <s v="05396-270"/>
    <s v="margareth@cvm.gov.br"/>
    <s v="SCHUMANN"/>
    <n v="1"/>
    <d v="2024-03-16T00:00:00"/>
    <x v="19"/>
    <n v="3"/>
    <n v="2024"/>
    <m/>
    <m/>
    <m/>
    <n v="680"/>
    <n v="680"/>
    <n v="714"/>
  </r>
  <r>
    <s v="MARIA ADALGISA RODRIGUES ARAUJO"/>
    <s v="16270809-9"/>
    <n v="78327024787"/>
    <s v="11 9 9623-9814"/>
    <s v="RUA DOUTOR ALFREDO DI VERNIE 104 "/>
    <s v="BUTANTÃ"/>
    <s v="São Paulo"/>
    <s v="05540-020"/>
    <s v="gisaphilip@gmail.com"/>
    <s v="PIPOCA"/>
    <n v="1"/>
    <d v="2024-03-30T00:00:00"/>
    <x v="2"/>
    <n v="3"/>
    <n v="2024"/>
    <m/>
    <m/>
    <m/>
    <n v="680"/>
    <n v="680"/>
    <n v="714"/>
  </r>
  <r>
    <s v="SUELY HELENA DURBANO"/>
    <s v="4936406-6"/>
    <s v="674.887.818-72"/>
    <s v="11 9 9440-3179"/>
    <s v="RUA MONTE ALEGRE 187 APTO 143"/>
    <s v="PERDIZES          "/>
    <s v="São Paulo"/>
    <s v="05014-000"/>
    <s v="helenadurbano@gmail.com"/>
    <s v="TINA TURNER"/>
    <n v="1"/>
    <d v="2024-06-01T00:00:00"/>
    <x v="9"/>
    <n v="6"/>
    <n v="2024"/>
    <m/>
    <m/>
    <m/>
    <n v="650"/>
    <n v="650"/>
    <n v="682.5"/>
  </r>
  <r>
    <s v="DESIREE MICHELLE CASTILHO NAPOLI"/>
    <n v="308477236"/>
    <n v="31978563841"/>
    <s v=" 11 99326-1999"/>
    <s v="RUA VINTE E OITO DE SETEMBRO 900"/>
    <s v="VILA DOM PEDRO I"/>
    <s v="São Paulo"/>
    <s v="04267-000"/>
    <s v="desiree.napoli@yahoo.com.br"/>
    <s v="YUPIE"/>
    <n v="1"/>
    <d v="2024-05-22T00:00:00"/>
    <x v="20"/>
    <n v="5"/>
    <n v="2024"/>
    <m/>
    <m/>
    <m/>
    <n v="680"/>
    <n v="680"/>
    <n v="714"/>
  </r>
  <r>
    <s v="ITALO DAL MAS NETO "/>
    <n v="34945239"/>
    <s v="327.258.208-80"/>
    <s v="11 9 7606-9076"/>
    <s v="RUA NILO PECANHA 79 APTO 21 "/>
    <s v="SANTA PAULA"/>
    <s v="SÃO CAETANO DO SUL"/>
    <s v="09540-830"/>
    <s v="italodal@gmail.com"/>
    <s v="LUANA"/>
    <n v="1"/>
    <d v="2024-05-23T00:00:00"/>
    <x v="15"/>
    <n v="5"/>
    <n v="2024"/>
    <m/>
    <m/>
    <m/>
    <n v="680"/>
    <n v="680"/>
    <n v="714"/>
  </r>
  <r>
    <s v="ANDRE ANDRADE "/>
    <n v="34539099"/>
    <s v="328.166.618-30"/>
    <s v="11 9 7120-6035"/>
    <s v="RUA CARVALHO DE FREITAS PROVENCE MORUMBI, 420 APTO 74"/>
    <s v="VILA ANDRADE "/>
    <s v="São Paulo"/>
    <s v="05728-030"/>
    <s v="andreandrade04@gmail.com"/>
    <s v="CANÚ E LÉO"/>
    <n v="2"/>
    <d v="2024-06-16T00:00:00"/>
    <x v="19"/>
    <n v="6"/>
    <n v="2024"/>
    <m/>
    <m/>
    <m/>
    <n v="1250"/>
    <n v="1250"/>
    <n v="1312.5"/>
  </r>
  <r>
    <s v="THAIS MAGALHÃES "/>
    <n v="43615241"/>
    <n v="43191715860"/>
    <s v="11 9 4713-2083"/>
    <s v="RUA DO CAMPO, 830 ARUJAZINHO I,II e III "/>
    <s v="JARDIM CAIUBÍ"/>
    <s v="ARUJA "/>
    <s v="07435-460"/>
    <s v="taizmaga@gmail.com"/>
    <s v="GOLDEN"/>
    <n v="1"/>
    <d v="2024-07-10T00:00:00"/>
    <x v="12"/>
    <n v="7"/>
    <n v="2024"/>
    <m/>
    <m/>
    <m/>
    <n v="1360"/>
    <n v="680"/>
    <n v="714"/>
  </r>
  <r>
    <s v="BEATRIZ LEAL DE ARAUJO BARBOSA DA SILVA"/>
    <n v="634118134"/>
    <s v="463593698-85"/>
    <s v="13 9 91047178"/>
    <s v="AVENIDA BRIGADEIRO LUIS ANTONIO, 566 Apto 203"/>
    <s v="BELA VISTA"/>
    <s v="São Paulo"/>
    <s v="01318-000"/>
    <s v="blealaraujo@gmail.com"/>
    <s v="INACIO"/>
    <n v="1"/>
    <d v="2024-08-29T00:00:00"/>
    <x v="13"/>
    <n v="8"/>
    <n v="2024"/>
    <m/>
    <m/>
    <m/>
    <m/>
    <n v="1360"/>
    <n v="714"/>
  </r>
  <r>
    <s v="NEY FERREIRA DE SOUZA GUERRA"/>
    <n v="306529014"/>
    <s v="295675548-03"/>
    <s v="11 9 9384-5291"/>
    <s v="RUA ALVES GUIMARÃES 911 APTO 82 "/>
    <s v="PINHEIROS"/>
    <s v="São Paulo"/>
    <s v="05410-001"/>
    <s v="nguerra229@gmail.com                                        "/>
    <s v="BOAZ E LIA"/>
    <n v="2"/>
    <d v="2024-08-29T00:00:00"/>
    <x v="13"/>
    <n v="8"/>
    <n v="2024"/>
    <n v="1740"/>
    <n v="1740"/>
    <n v="1926.4288200000001"/>
    <n v="1408.57"/>
    <n v="1479"/>
    <n v="1552.95"/>
  </r>
  <r>
    <s v="TULIO D AMBROSIO"/>
    <n v="36959831"/>
    <s v="411117448-58"/>
    <s v="11 9 7353-4100"/>
    <s v="RUA IVAI 111 BLC 1 UNIDADE 15"/>
    <s v="TATUAPE"/>
    <s v="São Paulo"/>
    <s v="03080-010"/>
    <s v="tuliodambrosio@hotmail.com"/>
    <s v="LILICA"/>
    <n v="1"/>
    <d v="2024-10-10T00:00:00"/>
    <x v="12"/>
    <n v="10"/>
    <n v="2024"/>
    <m/>
    <m/>
    <m/>
    <m/>
    <n v="680"/>
    <n v="714"/>
  </r>
  <r>
    <s v="MARINA HARUKO MORI BIONDO"/>
    <n v="261831173"/>
    <s v="310211708-28"/>
    <s v="1199801-9800"/>
    <s v="AVENIDA SENADOR CASEMIRO DA ROCHA  809 APTO  162"/>
    <s v="MIRANDOPOLIS          "/>
    <s v="São Paulo"/>
    <s v="40470-02"/>
    <s v="marinahmori@gmail.com"/>
    <s v="VITO"/>
    <n v="1"/>
    <d v="2024-10-17T00:00:00"/>
    <x v="3"/>
    <n v="10"/>
    <n v="2024"/>
    <m/>
    <m/>
    <m/>
    <m/>
    <n v="680"/>
    <n v="714"/>
  </r>
  <r>
    <s v="JOANITA CRISTINA CALESCO"/>
    <n v="43651422"/>
    <s v="322.163.588.51"/>
    <s v="11 9 8373-4213"/>
    <s v="AVENIDA PARKINSON 35 APTO 1701"/>
    <s v="ALPHAVILLE EMPRESARIAL "/>
    <s v="BARUERI"/>
    <s v="06465-136"/>
    <s v="jo.criscal@hotmail.com"/>
    <s v="JOAQUIM"/>
    <n v="1"/>
    <d v="2024-10-19T00:00:00"/>
    <x v="17"/>
    <n v="10"/>
    <n v="2024"/>
    <m/>
    <m/>
    <m/>
    <m/>
    <n v="680"/>
    <n v="714"/>
  </r>
  <r>
    <s v="CARLA VIANA CHARVES DA SILVA"/>
    <n v="43421281"/>
    <n v="33940435805"/>
    <s v="11 91714-3677"/>
    <s v="RUA MASATO SAKAI 180 BURITIS 7 APTO 44"/>
    <s v="JARDIM SÃO MIGUEL "/>
    <s v="FERRAZ DE VASCONCELOS "/>
    <s v="08538-300"/>
    <s v="carlaviana304@gmail.com"/>
    <s v="PUPY"/>
    <n v="1"/>
    <d v="2024-12-17T00:00:00"/>
    <x v="3"/>
    <n v="12"/>
    <n v="2024"/>
    <m/>
    <m/>
    <m/>
    <m/>
    <n v="680"/>
    <n v="714"/>
  </r>
  <r>
    <s v="MARCUS VINICIUS LEAL SANTOS "/>
    <n v="48163731"/>
    <s v="382.563.778-60"/>
    <s v="11 98606-3427  "/>
    <s v="AV CARIOCA 745 APTO 62 "/>
    <s v="VILA CARIOCA"/>
    <s v="SÃO PAULO                               "/>
    <s v="04225-002"/>
    <s v="marcus.lealsantos@gmail.com"/>
    <s v="SHAKE"/>
    <n v="1"/>
    <d v="2024-12-20T00:00:00"/>
    <x v="21"/>
    <n v="12"/>
    <n v="2024"/>
    <m/>
    <m/>
    <m/>
    <m/>
    <n v="680"/>
    <n v="714"/>
  </r>
  <r>
    <s v="RITA MARIELLA MALTESE DIAZ DE BRAVO"/>
    <s v="RNMF5682262"/>
    <s v="717.567.491-08"/>
    <n v="51967790103"/>
    <s v="RUA BARÃO DE RAMALHO 413 "/>
    <s v="UVARANAS"/>
    <s v="PONTA GROSSA"/>
    <s v="84030-100"/>
    <s v="rmmaltese@gmail.com"/>
    <s v="NEGÃO"/>
    <n v="1"/>
    <d v="2024-12-21T00:00:00"/>
    <x v="0"/>
    <n v="12"/>
    <n v="2024"/>
    <n v="16"/>
    <n v="7"/>
    <n v="1905"/>
    <n v="19"/>
    <n v="680"/>
    <n v="714"/>
  </r>
  <r>
    <s v="ELIANA DE FREITAS PUGLESI LOMES"/>
    <n v="44966523"/>
    <s v="365.106.468-97"/>
    <s v="11 9 8655-4554"/>
    <s v="RUA CORONEL JOSE DIONISIO GOUVEIA 29 "/>
    <s v="VILA CLEMENTINO"/>
    <s v="São Paulo"/>
    <s v="04026-060"/>
    <s v="eliana.puglesi@gmail.com"/>
    <s v="BRENDA"/>
    <n v="1"/>
    <d v="2024-12-27T00:00:00"/>
    <x v="22"/>
    <n v="12"/>
    <n v="2024"/>
    <m/>
    <m/>
    <m/>
    <m/>
    <n v="680"/>
    <n v="714"/>
  </r>
  <r>
    <s v="GABRIELA LONGHI GARGANTINI     "/>
    <n v="554163767"/>
    <s v="445.536.158-86"/>
    <s v="11 9 47378507 "/>
    <s v="RUA MARECHAL BADOGLIO, 256"/>
    <s v="VILA MUSSOLINI   "/>
    <s v="SÃO BERNARDO DO CAMPO "/>
    <s v="09620-020"/>
    <s v="gabi.gargantini@gmail.com"/>
    <s v="BARNEY, NEGO E TAYLA"/>
    <n v="3"/>
    <d v="2025-01-10T00:00:00"/>
    <x v="12"/>
    <n v="1"/>
    <n v="2025"/>
    <m/>
    <m/>
    <m/>
    <m/>
    <m/>
    <n v="2040"/>
  </r>
  <r>
    <s v="JOÃO GABRIEL PINTO FERREIRA OLIVEIRA"/>
    <n v="540285870"/>
    <s v="434.274.318-35"/>
    <s v="19 9220-5117"/>
    <s v="RUA CASSIANO RICARDO 483"/>
    <s v="JARDIM CORDEIRO"/>
    <s v="SÃO PAULO                               "/>
    <s v="04640-020"/>
    <s v="joaogpfoliveira@gmail.com"/>
    <s v="NERO"/>
    <n v="1"/>
    <d v="2025-02-03T00:00:00"/>
    <x v="23"/>
    <n v="2"/>
    <n v="2025"/>
    <m/>
    <m/>
    <m/>
    <m/>
    <m/>
    <n v="714"/>
  </r>
  <r>
    <s v="DENISE RIBOLI FAUSTINO    "/>
    <s v="47618232-3"/>
    <s v="354.035.708-45"/>
    <n v="1146198490"/>
    <s v="PRAÇA OIAPOQUE  360 APTO 1603 AN 16"/>
    <s v="ALPHAVILLE INDUSTRIAL  "/>
    <s v="BARUERI       "/>
    <s v="06454-060"/>
    <s v="denise@tecnotrat.com.br"/>
    <s v="LEIA E LUKE"/>
    <n v="2"/>
    <d v="2025-02-13T00:00:00"/>
    <x v="6"/>
    <n v="2"/>
    <n v="2025"/>
    <m/>
    <m/>
    <m/>
    <m/>
    <m/>
    <n v="1428"/>
  </r>
  <r>
    <s v="RENATA MARIA TEIXEIRA PINHEIRO"/>
    <n v="284291201"/>
    <s v="311.747.488-93"/>
    <s v="11 998005503"/>
    <s v="RUA ALVES GUIMARAES, 661 CS"/>
    <s v="PINHEIROS"/>
    <s v="São Paulo"/>
    <s v="05410-001"/>
    <s v="renata.pinheiro@uol.com.br"/>
    <s v="AYLA"/>
    <n v="1"/>
    <d v="2025-03-11T00:00:00"/>
    <x v="24"/>
    <n v="3"/>
    <n v="2025"/>
    <m/>
    <m/>
    <m/>
    <m/>
    <m/>
    <n v="714"/>
  </r>
  <r>
    <m/>
    <m/>
    <m/>
    <m/>
    <m/>
    <m/>
    <m/>
    <m/>
    <m/>
    <m/>
    <m/>
    <m/>
    <x v="25"/>
    <m/>
    <m/>
    <m/>
    <m/>
    <m/>
    <m/>
    <m/>
    <m/>
  </r>
  <r>
    <m/>
    <m/>
    <m/>
    <m/>
    <m/>
    <m/>
    <m/>
    <m/>
    <m/>
    <m/>
    <m/>
    <m/>
    <x v="25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s v="GABRIELLE HEIN COCA"/>
    <s v="44.199.121-X "/>
    <s v="337582838-17"/>
    <s v="11 3063-4852 "/>
    <s v="ESTRADA DOS INDIOS, 342 "/>
    <s v="ARUJAZINHO 04"/>
    <s v="ARUJA"/>
    <s v="07400-000"/>
    <s v="gabrielle_hein@yahoo.com.br"/>
    <s v="JACK"/>
    <n v="1"/>
    <d v="2011-05-27T00:00:00"/>
    <n v="27"/>
    <x v="0"/>
    <x v="0"/>
    <n v="425"/>
    <s v="Emitido boleto Jul a dez_12"/>
    <n v="2550"/>
    <m/>
    <m/>
    <m/>
    <m/>
    <m/>
    <m/>
    <m/>
    <s v=""/>
    <x v="0"/>
    <x v="0"/>
  </r>
  <r>
    <s v="ANA HELENA DE CAMPOS"/>
    <n v="16474292"/>
    <s v="206085958-10"/>
    <s v="11 2609-1545  "/>
    <s v="RUA CORINTO  n° 199 APTO 181 M  "/>
    <s v="VILA INDIANA"/>
    <s v="SÃO PAULO"/>
    <s v="05586-060"/>
    <s v="decamposah@gmail.com "/>
    <s v="TRUPPY"/>
    <n v="1"/>
    <d v="2012-06-20T00:00:00"/>
    <n v="20"/>
    <x v="1"/>
    <x v="1"/>
    <n v="450"/>
    <s v="Emitido boleto Jul a dez_12"/>
    <n v="2700"/>
    <m/>
    <m/>
    <m/>
    <m/>
    <m/>
    <m/>
    <m/>
    <s v=""/>
    <x v="0"/>
    <x v="0"/>
  </r>
  <r>
    <s v="ANA CRISTINA COLLOR"/>
    <n v="228021996"/>
    <s v="142372768-13"/>
    <s v="21 2146-4182"/>
    <s v="AVENIDA PREFEITO DUCIDIO CARDOSO N°1100 BLC. II - APTº 403  "/>
    <s v="BARRA DA TIJUCA"/>
    <s v="Rio de Janeiro"/>
    <s v="22620-311"/>
    <s v="anapetrone@uol.com.br  "/>
    <s v="HANNA"/>
    <n v="1"/>
    <d v="2012-04-05T00:00:00"/>
    <n v="5"/>
    <x v="2"/>
    <x v="1"/>
    <n v="695"/>
    <m/>
    <n v="4170"/>
    <m/>
    <m/>
    <m/>
    <m/>
    <m/>
    <m/>
    <m/>
    <s v=""/>
    <x v="0"/>
    <x v="0"/>
  </r>
  <r>
    <s v="CRISTINA FERNANDEZ VARELA   "/>
    <s v="20473710-2     "/>
    <s v="194.410.098-90"/>
    <s v="11 99449-3739   "/>
    <s v="RUA SANTO ANDRÉ N° 430 APTO 54"/>
    <s v="VILA ASSUNÇÃO"/>
    <s v="Santo André"/>
    <s v="09020-230"/>
    <s v="cristina.varela@ge.com"/>
    <s v="DEXTER"/>
    <n v="1"/>
    <d v="2013-08-17T00:00:00"/>
    <n v="17"/>
    <x v="3"/>
    <x v="2"/>
    <n v="425"/>
    <n v="480"/>
    <n v="2880"/>
    <m/>
    <s v="DDA"/>
    <s v="EMITIDO JUL A DEZ 14"/>
    <m/>
    <m/>
    <m/>
    <m/>
    <s v=""/>
    <x v="0"/>
    <x v="0"/>
  </r>
  <r>
    <s v="TOMI SAITO"/>
    <n v="355986255"/>
    <s v="230974978-89"/>
    <s v="11 4443-1900    "/>
    <s v="RUA CAPIVARINHAS  N° 54  "/>
    <s v="ALTO DE PINHEIROS   "/>
    <s v="SÃO PAULO"/>
    <s v="05458-010"/>
    <s v="tomiakio@gmail.com  "/>
    <s v="TOBI"/>
    <n v="1"/>
    <d v="2010-11-06T00:00:00"/>
    <n v="6"/>
    <x v="4"/>
    <x v="3"/>
    <n v="425"/>
    <n v="480"/>
    <n v="2101.5"/>
    <m/>
    <s v="DDA"/>
    <s v="EMITIDO JUL A SET 14"/>
    <m/>
    <m/>
    <m/>
    <m/>
    <s v=""/>
    <x v="0"/>
    <x v="0"/>
  </r>
  <r>
    <s v="MARIA CRISTINA HOLTMANN   "/>
    <n v="17141448"/>
    <s v="305666628-76"/>
    <s v="11 3288-1500   "/>
    <s v="RUA DR° BRASILIO MACHADO, 218 - APTO 152"/>
    <s v="SANTA CECILIA"/>
    <s v="SÃO PAULO"/>
    <s v="01230-010"/>
    <s v="cris.pastore@yahoo.com.br "/>
    <s v="TAIO"/>
    <n v="1"/>
    <d v="2010-11-10T00:00:00"/>
    <n v="10"/>
    <x v="4"/>
    <x v="3"/>
    <n v="425"/>
    <n v="480"/>
    <n v="2880"/>
    <m/>
    <m/>
    <s v="EMITIDO JUL A DEZ 14"/>
    <m/>
    <m/>
    <m/>
    <m/>
    <s v=""/>
    <x v="0"/>
    <x v="0"/>
  </r>
  <r>
    <s v="EDUARDO ARANTES BARCELLOS"/>
    <n v="51547922"/>
    <n v="94316066820"/>
    <s v="11 3807-5611"/>
    <s v="AL TALIA, 37 CONDOMINIO JARDIM IOLANDA"/>
    <s v="TABOÃO DA SERRA "/>
    <s v="SÃO PAULO"/>
    <n v="6794090"/>
    <s v="edubarcellos@uol.com.br"/>
    <s v="LUNA"/>
    <n v="1"/>
    <d v="2014-09-18T00:00:00"/>
    <n v="18"/>
    <x v="5"/>
    <x v="4"/>
    <n v="480"/>
    <n v="654"/>
    <n v="1962"/>
    <m/>
    <m/>
    <s v="EMITIDO OUT A DEZ 14"/>
    <m/>
    <m/>
    <m/>
    <m/>
    <s v=""/>
    <x v="0"/>
    <x v="0"/>
  </r>
  <r>
    <s v="FERNANDA CAROLINA HILARIO DE CAMPOS  "/>
    <s v="30769370-3 "/>
    <s v="329474088-37"/>
    <s v="11 2364-9105"/>
    <s v="RUA PADRE JOAO GUALBERTO N°581  APTO 15 A "/>
    <s v="IMIRIM "/>
    <s v="SÃO PAULO"/>
    <s v="02537-000"/>
    <s v="fernanda.carolina@hotmail.com "/>
    <s v="PRETA"/>
    <n v="1"/>
    <d v="2010-11-18T00:00:00"/>
    <n v="18"/>
    <x v="4"/>
    <x v="3"/>
    <n v="390"/>
    <n v="480"/>
    <n v="2880"/>
    <m/>
    <m/>
    <s v="EMITIDO JUL A DEZ 14"/>
    <m/>
    <m/>
    <m/>
    <m/>
    <s v=""/>
    <x v="0"/>
    <x v="0"/>
  </r>
  <r>
    <s v="GLADSTONE DE JESUS CARDOSO"/>
    <s v="M1477793"/>
    <s v="371952556-20"/>
    <s v="11 4362-5491"/>
    <s v="Av. Senador Vergueiro Nº 1320 APTO 02"/>
    <s v="JARDIM TRES MARIAS"/>
    <s v="São Bernardo do Campo"/>
    <s v="09750-001"/>
    <s v="miguel.rc@bol.com.br"/>
    <s v="JUNINHO"/>
    <n v="1"/>
    <d v="2012-02-12T00:00:00"/>
    <n v="12"/>
    <x v="6"/>
    <x v="1"/>
    <n v="480"/>
    <n v="542.12"/>
    <n v="3252.7200000000003"/>
    <m/>
    <m/>
    <s v="EMITIDO JUL A DEZ 14"/>
    <m/>
    <m/>
    <m/>
    <m/>
    <s v=""/>
    <x v="0"/>
    <x v="0"/>
  </r>
  <r>
    <s v="PAULO RENATO BATISTA ALEXANDRE"/>
    <s v="05516900-7"/>
    <n v="83653740720"/>
    <s v="52 777-1109129"/>
    <s v="AVENIDA . JANDIRA, 79 BLC A APTO 24 "/>
    <s v="MOEMA"/>
    <s v="SÃO PAULO"/>
    <s v="04080-007"/>
    <s v="paulorenatoba@yahoo.com   "/>
    <s v="CONCA E BILLY"/>
    <n v="2"/>
    <d v="2014-08-10T00:00:00"/>
    <n v="10"/>
    <x v="3"/>
    <x v="4"/>
    <n v="912"/>
    <n v="912"/>
    <n v="5472"/>
    <m/>
    <m/>
    <m/>
    <m/>
    <m/>
    <m/>
    <m/>
    <s v=""/>
    <x v="0"/>
    <x v="0"/>
  </r>
  <r>
    <s v="JOÃO BATISTA SANTANA       "/>
    <s v="4.136.945-22 "/>
    <s v="194222968-20"/>
    <s v="11-5562-4254  "/>
    <s v="RUA CONTOS GAUCHESCOS 251  "/>
    <s v="VILA STA. CATARINA    "/>
    <s v="SÃO PAULO"/>
    <s v="04369-000"/>
    <s v="jotabe.santana@uol.com.br   "/>
    <s v="BELLA"/>
    <n v="1"/>
    <d v="2014-10-21T00:00:00"/>
    <n v="21"/>
    <x v="7"/>
    <x v="4"/>
    <n v="480"/>
    <n v="480"/>
    <n v="2880"/>
    <m/>
    <m/>
    <m/>
    <m/>
    <m/>
    <m/>
    <m/>
    <s v=""/>
    <x v="0"/>
    <x v="0"/>
  </r>
  <r>
    <s v="LUCAS FERNANDES DIAS"/>
    <n v="13270736"/>
    <s v="082.284.866-00"/>
    <s v="11-98663-4661   "/>
    <s v="RUA AUGUSTA 554 APTO 41"/>
    <s v="CONSOLAÇÃO   "/>
    <s v="SÃO PAULO"/>
    <n v="1304000"/>
    <s v="dsinerlucas@hotmail.com   "/>
    <s v="JUANNA"/>
    <n v="1"/>
    <s v="23/1014"/>
    <n v="23"/>
    <x v="7"/>
    <x v="4"/>
    <n v="480"/>
    <n v="480"/>
    <n v="2880"/>
    <m/>
    <m/>
    <m/>
    <m/>
    <m/>
    <m/>
    <m/>
    <s v=""/>
    <x v="0"/>
    <x v="0"/>
  </r>
  <r>
    <s v="CRISTIANE DE SANTANA MONTEIRO"/>
    <n v="21976363"/>
    <s v="129154208-66"/>
    <s v="11-97330-6120 "/>
    <s v="AV. MARQUES DE SAO VICENTE  2914 APTO 144 A                              "/>
    <s v="BARRA FUNDA"/>
    <s v="SÃO PAULO"/>
    <n v="5036040"/>
    <s v="csmonteiro@ig.com.br      "/>
    <s v="NINA"/>
    <n v="1"/>
    <d v="2014-09-02T00:00:00"/>
    <n v="2"/>
    <x v="5"/>
    <x v="4"/>
    <n v="480"/>
    <n v="480"/>
    <n v="2880"/>
    <m/>
    <m/>
    <s v="EMITIDO JAN A JUN 2015"/>
    <m/>
    <m/>
    <m/>
    <m/>
    <s v=""/>
    <x v="0"/>
    <x v="0"/>
  </r>
  <r>
    <s v="FERNANDA LOPES VONKUTZLEBEN"/>
    <s v="44046182-0"/>
    <s v="339251428-43"/>
    <s v="11 8912-5128"/>
    <s v="RUA PROFESSOR ARTHUR RAMOS N°204 APTO 101"/>
    <s v="JARDIM PAULISTANO"/>
    <s v="SÃO PAULO"/>
    <s v="01454-010"/>
    <s v="FERNANDAVON@HOTMAIL.COM"/>
    <s v="THAI "/>
    <n v="1"/>
    <d v="2009-08-22T00:00:00"/>
    <n v="22"/>
    <x v="3"/>
    <x v="5"/>
    <n v="590"/>
    <n v="666.35"/>
    <n v="3998.1000000000004"/>
    <m/>
    <m/>
    <m/>
    <m/>
    <m/>
    <m/>
    <m/>
    <s v=""/>
    <x v="0"/>
    <x v="0"/>
  </r>
  <r>
    <s v="ALEXANDRINA TOMAZINI TEIXEIRA DOS SANTOS      "/>
    <n v="5327039"/>
    <s v="063.790.858-90"/>
    <s v="11 3971-8617"/>
    <s v="Rua SANTO AMARO 766 APTO 154 A"/>
    <s v="BELA VISTA"/>
    <s v="SÃO PAULO"/>
    <s v="01315-000"/>
    <s v="alexsp74@hotmail.com "/>
    <s v="SOPHIA"/>
    <n v="1"/>
    <d v="2014-07-16T00:00:00"/>
    <n v="16"/>
    <x v="8"/>
    <x v="4"/>
    <n v="480"/>
    <n v="480"/>
    <n v="2880"/>
    <m/>
    <m/>
    <s v="EMITIDO JAN A JUN 15"/>
    <m/>
    <m/>
    <m/>
    <m/>
    <s v=""/>
    <x v="0"/>
    <x v="0"/>
  </r>
  <r>
    <s v="AMANDA KUHLMANN DE MELLO ANGERAMI"/>
    <s v="29.763.214-6"/>
    <s v="351976598-58"/>
    <s v="11 5083-1458"/>
    <s v="RUA  JORGE TIBIRIÇA, 159 APTO 63"/>
    <s v="VILA MARIANA"/>
    <s v="SÃO PAULO"/>
    <n v="4126000"/>
    <s v="amandakangerami@gmail.com                                   "/>
    <s v="MEL E CHE GUEVARA"/>
    <n v="2"/>
    <d v="2014-07-18T00:00:00"/>
    <n v="18"/>
    <x v="8"/>
    <x v="4"/>
    <n v="912"/>
    <n v="912"/>
    <n v="5472"/>
    <m/>
    <m/>
    <m/>
    <m/>
    <m/>
    <m/>
    <m/>
    <s v=""/>
    <x v="0"/>
    <x v="0"/>
  </r>
  <r>
    <s v="MIREIA VILA GARCIA"/>
    <s v="34425320-X"/>
    <s v="220156098-65"/>
    <s v="11 5055-3402"/>
    <s v="ALAMEDA DOS ARAPANES n° 1084 apto 182"/>
    <s v="MOEMA"/>
    <s v="SÃO PAULO"/>
    <s v="04524-001"/>
    <s v="mireia.vilagarcia@gmail.com "/>
    <s v="AGATHA"/>
    <n v="1"/>
    <d v="2011-09-29T00:00:00"/>
    <n v="29"/>
    <x v="5"/>
    <x v="0"/>
    <n v="425"/>
    <n v="380"/>
    <n v="2280"/>
    <m/>
    <m/>
    <s v="EMITIDO JAN A JUN 2015"/>
    <m/>
    <m/>
    <m/>
    <m/>
    <s v=""/>
    <x v="0"/>
    <x v="0"/>
  </r>
  <r>
    <s v="RODRIGO SERVIO VERGARA"/>
    <s v="19404112-8     "/>
    <s v="138735788-32"/>
    <s v="11-996395266 "/>
    <s v="RUA  SÃO BENTO, 2583 JARDIM PRIMAVERA"/>
    <s v="JARDIM PRIMAVERA       "/>
    <s v="SÃO PAULO"/>
    <m/>
    <s v="rodrigosvergara@gmail.com "/>
    <s v="VOS E CHE"/>
    <n v="2"/>
    <d v="2015-02-28T00:00:00"/>
    <n v="28"/>
    <x v="6"/>
    <x v="6"/>
    <n v="3600"/>
    <n v="900"/>
    <n v="900"/>
    <m/>
    <m/>
    <m/>
    <m/>
    <m/>
    <m/>
    <m/>
    <s v=""/>
    <x v="0"/>
    <x v="0"/>
  </r>
  <r>
    <s v="ANGELINA DE OLIVEIRA SOUZA"/>
    <n v="4370568972"/>
    <s v="326214328-67"/>
    <s v="11 3774-6239 "/>
    <s v="RUA PEDRO DOLL N°269 APTO 32 "/>
    <s v="SANTANA"/>
    <s v="SÃO PAULO"/>
    <s v="02404-000"/>
    <s v="geldeoliveira@hotmail.com    "/>
    <s v="FRED"/>
    <n v="1"/>
    <d v="2012-03-27T00:00:00"/>
    <n v="27"/>
    <x v="9"/>
    <x v="1"/>
    <n v="425"/>
    <n v="480"/>
    <n v="2880"/>
    <m/>
    <m/>
    <m/>
    <m/>
    <m/>
    <m/>
    <m/>
    <s v=""/>
    <x v="0"/>
    <x v="0"/>
  </r>
  <r>
    <s v="MARINA SOARES PORFIRIO DE SOUZA"/>
    <n v="81151792"/>
    <s v="996872168-91"/>
    <s v="11 2619-1459   "/>
    <s v="AVENIDA NOVA CANTAREIRA n° 1076  APTO 114    "/>
    <s v="TUCURUVI  "/>
    <s v="SÃO PAULO"/>
    <s v="02330-001"/>
    <s v="marinaspsouza@hotmail.com "/>
    <s v="SPIKE"/>
    <n v="1"/>
    <d v="2011-01-08T00:00:00"/>
    <n v="8"/>
    <x v="10"/>
    <x v="0"/>
    <n v="415"/>
    <n v="468.71"/>
    <n v="2812.2599999999998"/>
    <m/>
    <m/>
    <s v="EMITIDO DE JULHO A DEZ15"/>
    <m/>
    <m/>
    <m/>
    <m/>
    <s v=""/>
    <x v="0"/>
    <x v="0"/>
  </r>
  <r>
    <s v="MARIA FERNANDA RIGO CAVINATO"/>
    <s v="25943880-7"/>
    <s v="368990678-46"/>
    <s v="11 999887550"/>
    <s v="RUA TIRADENTES, 95 APTO 33 "/>
    <s v="CENTRO"/>
    <s v="São Bernardo do Campo"/>
    <s v="09780-000"/>
    <s v="mfrcavinato@gmail.com  "/>
    <s v="ZUKE"/>
    <n v="1"/>
    <d v="2014-08-27T00:00:00"/>
    <n v="27"/>
    <x v="3"/>
    <x v="4"/>
    <n v="550"/>
    <n v="550"/>
    <n v="3300"/>
    <m/>
    <m/>
    <s v="EMITIDO DE JULHO A DEZ15"/>
    <m/>
    <m/>
    <m/>
    <m/>
    <s v=""/>
    <x v="0"/>
    <x v="0"/>
  </r>
  <r>
    <s v="CAMILA MOYA ALBERA DA COSTA"/>
    <n v="305433945"/>
    <s v="326189408-30"/>
    <s v="11 5521-6564"/>
    <s v="RUA VERGUEIRO 8993 BLC 2 APTO 14"/>
    <s v="?"/>
    <s v="SÃO PAULO"/>
    <n v="4273200"/>
    <s v="camilamoya@picture.com.br"/>
    <s v="NENE"/>
    <n v="1"/>
    <d v="2014-08-09T00:00:00"/>
    <n v="9"/>
    <x v="3"/>
    <x v="4"/>
    <n v="480"/>
    <n v="480"/>
    <n v="2880"/>
    <m/>
    <s v="DDA"/>
    <s v="EMITIDO DE JULHO A DEZ15"/>
    <m/>
    <m/>
    <m/>
    <m/>
    <s v=""/>
    <x v="0"/>
    <x v="0"/>
  </r>
  <r>
    <s v="PAULA MATHIAS GOMES"/>
    <n v="277595277"/>
    <s v="222644058-56"/>
    <s v="11 2369-5248"/>
    <s v="RUA COPACABANA N°406 APTO 92"/>
    <s v="SANTA TEREZINHA"/>
    <s v="SÃO PAULO"/>
    <s v="02461-000"/>
    <s v="mathiaspaula9540@hotmail.com"/>
    <s v="BUSTER"/>
    <n v="1"/>
    <d v="2012-01-19T00:00:00"/>
    <n v="19"/>
    <x v="10"/>
    <x v="1"/>
    <n v="390"/>
    <n v="480"/>
    <n v="2880"/>
    <m/>
    <m/>
    <s v="EMITIDO DE JULHO A DEZ15"/>
    <m/>
    <m/>
    <m/>
    <m/>
    <s v=""/>
    <x v="0"/>
    <x v="0"/>
  </r>
  <r>
    <s v="JAYME FERNANDEZ"/>
    <n v="300910010"/>
    <s v="253550098-16"/>
    <s v="11-999620702     "/>
    <s v="RUA CAMILO NADER  123 APTO 81"/>
    <s v="VILA MORUMBI          "/>
    <s v="SÃO PAULO"/>
    <s v="05688-031"/>
    <s v="recopelli@hotmail.com                                       "/>
    <s v="TONHO"/>
    <n v="1"/>
    <d v="2014-02-13T00:00:00"/>
    <n v="13"/>
    <x v="6"/>
    <x v="4"/>
    <n v="480"/>
    <n v="480"/>
    <n v="2880"/>
    <m/>
    <m/>
    <s v="EMITIDO DE JULHO A DEZ15"/>
    <m/>
    <m/>
    <m/>
    <m/>
    <s v=""/>
    <x v="0"/>
    <x v="0"/>
  </r>
  <r>
    <s v="PAULO RENATO BATISTA ALEXANDRE"/>
    <s v="05516900-7   "/>
    <s v="836537407-20"/>
    <s v="11 2769-3572"/>
    <s v="AV. JANDIRA, 79 BLOCÃO A APTO 24"/>
    <s v="MOEMA"/>
    <s v="SÃO PAULO"/>
    <s v="04080-007"/>
    <s v="paulorenatoba@yahoo.com  "/>
    <s v="BILLY"/>
    <n v="1"/>
    <d v="2015-06-28T00:00:00"/>
    <n v="28"/>
    <x v="1"/>
    <x v="6"/>
    <n v="480"/>
    <n v="480"/>
    <n v="1440"/>
    <m/>
    <m/>
    <s v="EMITIDO DE JULHO A SET15"/>
    <m/>
    <m/>
    <m/>
    <m/>
    <s v=""/>
    <x v="0"/>
    <x v="0"/>
  </r>
  <r>
    <s v="OTAVIO VILLARES DE FREITAS"/>
    <n v="13737201"/>
    <s v="126400238-61"/>
    <s v="11 99982-7221"/>
    <s v="RUA DR. PINTO FERRAZ, 49 AP 116 "/>
    <s v="VILA MARIANA"/>
    <s v="SÃO PAULO"/>
    <s v="04117-040"/>
    <s v="OTAVIOVF@GMAIL.COM"/>
    <s v="NED"/>
    <n v="1"/>
    <d v="2015-09-24T00:00:00"/>
    <n v="28"/>
    <x v="1"/>
    <x v="6"/>
    <n v="400"/>
    <n v="1200"/>
    <m/>
    <m/>
    <m/>
    <s v="PAGO POR 3 MESES SET, OUT E NOV"/>
    <m/>
    <m/>
    <m/>
    <m/>
    <s v=""/>
    <x v="0"/>
    <x v="0"/>
  </r>
  <r>
    <s v="ANA CLAUDIA CUNHA TRAVASSOS"/>
    <n v="141308254"/>
    <s v="245768928-78"/>
    <s v="11-982446128 "/>
    <s v="AV. GUILHERME DUMONT VILLARES, 2001 APTO 13 "/>
    <s v="JD LONDRINA"/>
    <s v="SÃO PAULO"/>
    <s v="05640-003"/>
    <s v="acctravassos@gmail.com      "/>
    <s v="NICK E MEL"/>
    <n v="2"/>
    <d v="2015-01-06T00:00:00"/>
    <n v="6"/>
    <x v="10"/>
    <x v="6"/>
    <n v="912"/>
    <n v="912"/>
    <n v="5472"/>
    <m/>
    <m/>
    <s v="EMITIDO DE JAN A JUN16"/>
    <m/>
    <m/>
    <m/>
    <m/>
    <s v=""/>
    <x v="0"/>
    <x v="0"/>
  </r>
  <r>
    <s v="DANIEL HABERER"/>
    <s v="W368408"/>
    <s v="251289448-75"/>
    <s v="11 98122-8818"/>
    <s v="RUA IBIAPINOPOLIS, 947 APTO 91"/>
    <s v="JARDIM PAULISTANO"/>
    <s v="SÃO PAULO"/>
    <s v="01457-030"/>
    <s v="daniel@cosmotrade.com.br     "/>
    <s v="SANNY"/>
    <n v="1"/>
    <d v="2014-08-15T00:00:00"/>
    <n v="15"/>
    <x v="3"/>
    <x v="4"/>
    <n v="480"/>
    <n v="480"/>
    <n v="2880"/>
    <m/>
    <m/>
    <s v="EMITIDO DE JAN A JUN16"/>
    <m/>
    <m/>
    <m/>
    <m/>
    <s v=""/>
    <x v="0"/>
    <x v="0"/>
  </r>
  <r>
    <s v="EDNA MARIA COSTA BEDINI"/>
    <s v="9.738.994-8"/>
    <s v="770578138-72"/>
    <s v="11 2642-2261"/>
    <s v="RUA DOUTOR VICENTE GIACAGLINI, 556 TORRE 1 APTO 22"/>
    <s v="VILA BELA"/>
    <s v="SÃO PAULO"/>
    <s v="03203-000"/>
    <s v="ednabedini@gmail.com    "/>
    <s v="PANDORA"/>
    <n v="1"/>
    <d v="2015-09-19T00:00:00"/>
    <n v="19"/>
    <x v="5"/>
    <x v="6"/>
    <m/>
    <n v="480"/>
    <n v="2880"/>
    <m/>
    <m/>
    <s v="EMITIDO DE JAN A JUN16"/>
    <m/>
    <m/>
    <m/>
    <m/>
    <s v=""/>
    <x v="0"/>
    <x v="0"/>
  </r>
  <r>
    <s v="CHRISTIAN MESQUITA YEGH"/>
    <n v="34361179"/>
    <s v="292738368-52"/>
    <s v="11 9 4727-2910"/>
    <s v="RUA NOSSA SENHORA DA SAÚDE, 287 APTO 68 BLC II "/>
    <s v="VILA SANTO ESTEFANO"/>
    <s v="SÃO PAULO"/>
    <s v="04159-000"/>
    <s v="christianyegh@gmail.com       "/>
    <s v="DONATELLA"/>
    <n v="1"/>
    <d v="2015-08-09T00:00:00"/>
    <n v="9"/>
    <x v="3"/>
    <x v="6"/>
    <n v="480"/>
    <n v="480"/>
    <n v="2880"/>
    <m/>
    <m/>
    <s v="EMITIDO DE JAN A JUN16"/>
    <m/>
    <m/>
    <m/>
    <m/>
    <s v=""/>
    <x v="0"/>
    <x v="0"/>
  </r>
  <r>
    <s v="ELIZA MARA CRISTINO COSTA "/>
    <n v="8229130"/>
    <s v="032.179.018-94"/>
    <s v="11 28180392"/>
    <s v="RUA TONELEIROS, 346 APTO 91"/>
    <s v="VILA IPOJUCA"/>
    <s v="SÃO PAULO"/>
    <s v="05056-000"/>
    <s v="elizasp2008@hotmail.com       "/>
    <s v="AISHA"/>
    <n v="1"/>
    <d v="2016-01-23T00:00:00"/>
    <n v="23"/>
    <x v="10"/>
    <x v="7"/>
    <m/>
    <n v="420"/>
    <n v="2100"/>
    <m/>
    <m/>
    <s v="EMITIDO DE FEV A JUN16"/>
    <m/>
    <m/>
    <m/>
    <m/>
    <s v=""/>
    <x v="0"/>
    <x v="0"/>
  </r>
  <r>
    <s v="RUTHY DEBORA SASSOON"/>
    <s v="9894547-6"/>
    <s v="49663378-36"/>
    <s v="11  3666-2982           "/>
    <s v="AVENIDA HIGIENOPOLIS, 1048 APTO 76"/>
    <s v="HIGIENOPOLIS  "/>
    <s v="SÃO PAULO"/>
    <s v="01238-000"/>
    <s v="ruthysassoon@bol.com.br        "/>
    <s v="ROCKY CROC"/>
    <n v="1"/>
    <d v="2015-09-17T00:00:00"/>
    <n v="17"/>
    <x v="5"/>
    <x v="6"/>
    <m/>
    <n v="400"/>
    <n v="2400"/>
    <m/>
    <m/>
    <s v="EMITIDO BOLETO FEV16"/>
    <m/>
    <m/>
    <m/>
    <m/>
    <s v=""/>
    <x v="0"/>
    <x v="0"/>
  </r>
  <r>
    <s v="RENAN DE BRITO VIANA"/>
    <n v="302112455"/>
    <s v="351.050.918-84"/>
    <s v="11 37218070"/>
    <s v="RUA DOS TRES IRMÃOS 149 APTO 91"/>
    <s v="VILA PROGREDIDOR"/>
    <s v="SÃO PAULO"/>
    <s v="05615-190"/>
    <s v="renanviana.pt@gmail.com"/>
    <s v="MADALENA"/>
    <n v="1"/>
    <d v="2016-01-21T00:00:00"/>
    <n v="21"/>
    <x v="10"/>
    <x v="7"/>
    <m/>
    <n v="480"/>
    <n v="2400"/>
    <m/>
    <m/>
    <m/>
    <m/>
    <m/>
    <m/>
    <m/>
    <s v=""/>
    <x v="0"/>
    <x v="0"/>
  </r>
  <r>
    <s v="ALCINDO HEBLING JUNIOR"/>
    <n v="17016885"/>
    <s v="073356968-44"/>
    <s v="11 5183-3654"/>
    <s v="RUA ALEXANDRE DUMAS N°1410, APTO 42"/>
    <s v="CHACARA SANTO ANTONIO"/>
    <s v="SÃO PAULO"/>
    <s v="04717-003"/>
    <s v="rhebling@me.com"/>
    <s v="LUNA"/>
    <n v="1"/>
    <d v="2012-09-26T00:00:00"/>
    <n v="26"/>
    <x v="5"/>
    <x v="1"/>
    <n v="1026"/>
    <n v="400"/>
    <n v="2400"/>
    <m/>
    <m/>
    <s v="EMITIDO DE JAN A JUN16"/>
    <m/>
    <m/>
    <m/>
    <m/>
    <s v=""/>
    <x v="0"/>
    <x v="0"/>
  </r>
  <r>
    <s v="ALEX TAVARES FAIOTTO"/>
    <n v="364214041"/>
    <s v="396.550.868-79"/>
    <s v="11 29050159"/>
    <s v="RUA DOUTOR LUIZ MIGLIANO 761 APTO 184 A"/>
    <s v="JARDIM CABORE"/>
    <s v="SÃO PAULO"/>
    <s v="05711-001"/>
    <m/>
    <s v="GORDUCHA"/>
    <n v="1"/>
    <d v="2016-01-26T00:00:00"/>
    <n v="26"/>
    <x v="10"/>
    <x v="7"/>
    <m/>
    <n v="480"/>
    <n v="2400"/>
    <m/>
    <m/>
    <s v="EMITIDO DE FEV A JUN16"/>
    <m/>
    <m/>
    <m/>
    <m/>
    <s v=""/>
    <x v="0"/>
    <x v="0"/>
  </r>
  <r>
    <s v="LUIZ FRANCISCO TORQUATO AVOLIO"/>
    <n v="6329430"/>
    <s v="023116948-55"/>
    <s v="11 3063-4627"/>
    <s v="ALAMEDA CASA BRANCA, 978 APTO 151"/>
    <s v="CERQUEIRA CESAR"/>
    <s v="SÃO PAULO"/>
    <n v="1408000"/>
    <s v="lfavolio@uol.com.br      "/>
    <s v="CHICO"/>
    <n v="1"/>
    <d v="2014-09-14T00:00:00"/>
    <n v="14"/>
    <x v="5"/>
    <x v="4"/>
    <n v="480"/>
    <n v="480"/>
    <n v="2880"/>
    <m/>
    <s v="DDA"/>
    <s v="EMITIDO DE JAN A JUN16"/>
    <m/>
    <m/>
    <m/>
    <m/>
    <s v=""/>
    <x v="0"/>
    <x v="0"/>
  </r>
  <r>
    <s v="RENATA DE CARVALHO PINTO BUENO"/>
    <n v="254129997"/>
    <s v="282496648-33"/>
    <s v="11 33617185  "/>
    <s v="RUA CAJUEIRO, 57 "/>
    <s v="SAUSALITO"/>
    <s v="MAIRIPORÃ"/>
    <s v="07600-000"/>
    <s v="renata@gaiolaestudio.com.br "/>
    <s v="AZUL E RAICA"/>
    <n v="2"/>
    <d v="2015-03-14T00:00:00"/>
    <n v="14"/>
    <x v="9"/>
    <x v="6"/>
    <n v="912"/>
    <n v="912"/>
    <n v="5472"/>
    <m/>
    <m/>
    <s v="EMITIDO DE JAN A JUN16"/>
    <m/>
    <m/>
    <m/>
    <m/>
    <s v=""/>
    <x v="0"/>
    <x v="0"/>
  </r>
  <r>
    <s v="PAULA RAMOS C. da S. PRADO"/>
    <s v="29087248-0   "/>
    <s v="259.283.388-99"/>
    <s v="11-983776061  "/>
    <s v="RUA DESEMBARGADOR DO VALE 932 AP 61"/>
    <s v="PERDIZES          "/>
    <s v="SÃO PAULO"/>
    <s v="05010-040"/>
    <s v="poletecalvoso@gmail.com     "/>
    <s v="PIRATA"/>
    <n v="1"/>
    <d v="2016-01-27T00:00:00"/>
    <n v="27"/>
    <x v="10"/>
    <x v="7"/>
    <m/>
    <n v="480"/>
    <m/>
    <m/>
    <m/>
    <s v="EMITIDO BOLETO FEV16"/>
    <m/>
    <m/>
    <s v="POR 02 MESES"/>
    <m/>
    <s v=""/>
    <x v="0"/>
    <x v="0"/>
  </r>
  <r>
    <s v="ANDREA APARECIDA MARTINS PEREIRA"/>
    <n v="21565970"/>
    <s v="130.430.778-65"/>
    <s v="11 27379664 "/>
    <s v="RUA IMBITUBA, 205 BLC 05 APTO 32"/>
    <s v="VILA PRUDENTE"/>
    <s v="SÃO PAULO"/>
    <s v="03132-090"/>
    <s v="andy_mpereira@hotmail.com  "/>
    <s v="BOBY"/>
    <n v="1"/>
    <d v="2016-01-24T00:00:00"/>
    <n v="24"/>
    <x v="10"/>
    <x v="7"/>
    <m/>
    <n v="480"/>
    <n v="2400"/>
    <m/>
    <m/>
    <s v="EMITIDO DE FEV A JUN16"/>
    <m/>
    <m/>
    <m/>
    <m/>
    <s v=""/>
    <x v="0"/>
    <x v="0"/>
  </r>
  <r>
    <s v="WOLFGANG VON PUTTKAMMER NETO"/>
    <n v="9840532"/>
    <s v="112.221.878-84"/>
    <s v="11 96327-2884"/>
    <s v="ESTRADA VELHA DE SOROCABA 00649 CASA 23"/>
    <s v="GRANJA VIANA"/>
    <s v="COTIA"/>
    <s v="06709-320"/>
    <s v="wolf.von@terra.com.br"/>
    <s v="Marley"/>
    <n v="1"/>
    <d v="2016-03-21T00:00:00"/>
    <n v="21"/>
    <x v="9"/>
    <x v="7"/>
    <m/>
    <n v="480"/>
    <n v="480"/>
    <m/>
    <s v="POR 02 MESES"/>
    <s v="EMITIDO ABR16"/>
    <m/>
    <m/>
    <m/>
    <m/>
    <s v=""/>
    <x v="0"/>
    <x v="0"/>
  </r>
  <r>
    <s v="EDUARDO BERNARDES"/>
    <n v="54910699"/>
    <s v="816441838-20"/>
    <s v="11 3461-5600    "/>
    <s v="RUA FILIPINAS n°235 apto 2203"/>
    <s v="ALTO DA LAPA"/>
    <s v="SÃO PAULO"/>
    <s v="05083-120"/>
    <s v="eduardobernardes@ig.com.br"/>
    <s v="PHILL"/>
    <n v="1"/>
    <d v="2013-02-02T00:00:00"/>
    <n v="2"/>
    <x v="6"/>
    <x v="2"/>
    <n v="425"/>
    <n v="450"/>
    <n v="2700"/>
    <m/>
    <s v="DDA"/>
    <s v="EMITIDO DE JAN A JUN16"/>
    <m/>
    <m/>
    <m/>
    <m/>
    <s v=""/>
    <x v="0"/>
    <x v="0"/>
  </r>
  <r>
    <s v="MARINA HARUKO MORI BIONDO     "/>
    <n v="261831173"/>
    <s v="310.211.708-28"/>
    <s v="11 99801 9800   "/>
    <s v="RUA DOM CONSTANTINO BARRADAS, 130 APTO 12"/>
    <s v="VILA GUMERCINDO"/>
    <s v="SÃO PAULO"/>
    <s v="04134-110"/>
    <s v="marinahmori@gmail.com          "/>
    <s v="VITO E DOCINHO"/>
    <n v="2"/>
    <d v="2016-01-18T00:00:00"/>
    <n v="18"/>
    <x v="10"/>
    <x v="7"/>
    <m/>
    <n v="1125"/>
    <n v="5625"/>
    <m/>
    <m/>
    <s v="EMITIDO DE FEV A JUN16"/>
    <m/>
    <m/>
    <s v="POR 06 MESES"/>
    <m/>
    <s v=""/>
    <x v="0"/>
    <x v="0"/>
  </r>
  <r>
    <s v="NATASHA NISHIDA"/>
    <n v="283052338"/>
    <s v="356.155.858-54"/>
    <s v="11 997951351"/>
    <s v="RUA PARACATU 515 APTO 11 "/>
    <s v="PARQUE IMPERIAL "/>
    <s v="SÃO PAULO"/>
    <s v="04302-021"/>
    <s v="nat.nishida@gmail.com"/>
    <s v="WILLY WONKA"/>
    <n v="1"/>
    <d v="2016-02-05T00:00:00"/>
    <n v="5"/>
    <x v="6"/>
    <x v="7"/>
    <m/>
    <n v="590"/>
    <n v="2360"/>
    <m/>
    <s v="DDA"/>
    <m/>
    <m/>
    <m/>
    <m/>
    <m/>
    <s v=""/>
    <x v="0"/>
    <x v="0"/>
  </r>
  <r>
    <s v="ANDRE GEORG GRUNGLASSE"/>
    <n v="33087354"/>
    <s v="355677048-28"/>
    <s v="11 3262-0608   "/>
    <s v="ALAMEDA MINISTRO ROCHA DE AZEVEDO, 545 APTO 61"/>
    <s v="CERQUEIRA CESAR"/>
    <s v="SÃO PAULO"/>
    <n v="1410001"/>
    <s v="andregrun69@hotmail.com"/>
    <s v="KURA"/>
    <n v="1"/>
    <d v="2014-05-14T00:00:00"/>
    <n v="14"/>
    <x v="0"/>
    <x v="4"/>
    <m/>
    <n v="275"/>
    <n v="1650"/>
    <m/>
    <s v="DDA"/>
    <s v="EMITIDO DE JAN A JUN16"/>
    <m/>
    <m/>
    <m/>
    <m/>
    <s v=""/>
    <x v="0"/>
    <x v="0"/>
  </r>
  <r>
    <s v="VANESSA MUN HEE KIM"/>
    <s v="V172174U  "/>
    <s v="366077308-50"/>
    <s v="11 97313-4004   "/>
    <s v="RUA BRIGADEIRO GALVÃO,127 APTO 55 "/>
    <s v="BARRA FUNDA"/>
    <s v="SÃO PAULO"/>
    <s v="01151-000"/>
    <s v="v.mhkim@gmail.com   "/>
    <s v="TOMMY "/>
    <n v="1"/>
    <d v="2015-04-11T00:00:00"/>
    <n v="11"/>
    <x v="2"/>
    <x v="6"/>
    <n v="480"/>
    <n v="480"/>
    <n v="2880"/>
    <m/>
    <m/>
    <m/>
    <m/>
    <m/>
    <m/>
    <m/>
    <s v=""/>
    <x v="0"/>
    <x v="0"/>
  </r>
  <r>
    <s v="LUCIA HELENA JORGE DE AZEVEDO  "/>
    <n v="11335768"/>
    <s v="041032858-85"/>
    <s v="11  3564-4337   "/>
    <s v="RUA CAJAIBA N° 389 APTO 21"/>
    <s v="POMPEIA"/>
    <s v="SÃO PAULO"/>
    <n v="5025000"/>
    <s v="lucinhadubladora@uol.com.br"/>
    <s v="MAYLOW "/>
    <n v="1"/>
    <d v="2012-11-03T00:00:00"/>
    <n v="3"/>
    <x v="4"/>
    <x v="1"/>
    <n v="425"/>
    <n v="480"/>
    <n v="2880"/>
    <m/>
    <s v="DDA"/>
    <m/>
    <m/>
    <m/>
    <m/>
    <m/>
    <s v=""/>
    <x v="0"/>
    <x v="0"/>
  </r>
  <r>
    <s v="SUELI DI MAURO"/>
    <n v="183400835"/>
    <s v="284528128-50"/>
    <s v="11 9770-3734 "/>
    <s v="RUA UBIRACICA N° 460 A "/>
    <s v="BOAÇAVA"/>
    <s v="SÃO PAULO"/>
    <s v="05470-020"/>
    <s v="suelidimauro@hotmail.com"/>
    <s v="SEBA, PINGO, DOG, LUKE,"/>
    <n v="4"/>
    <d v="2016-02-03T00:00:00"/>
    <n v="3"/>
    <x v="6"/>
    <x v="7"/>
    <m/>
    <n v="1520"/>
    <n v="9120"/>
    <m/>
    <s v="380 cada"/>
    <s v="EMITIDO BOLETO DE JUL "/>
    <m/>
    <m/>
    <m/>
    <m/>
    <s v=""/>
    <x v="0"/>
    <x v="0"/>
  </r>
  <r>
    <s v="SUELI DI MAURO"/>
    <n v="183400835"/>
    <s v="284528128-50"/>
    <s v="11 9770-3734 "/>
    <s v="RUA UBIRACICA N° 460 A "/>
    <s v="BOAÇAVA"/>
    <s v="SÃO PAULO"/>
    <s v="05470-020"/>
    <s v="suelidimauro@hotmail.com"/>
    <s v="HULK , NEGUINHO E BRAD"/>
    <n v="3"/>
    <d v="2012-12-30T00:00:00"/>
    <n v="30"/>
    <x v="11"/>
    <x v="1"/>
    <m/>
    <n v="1344"/>
    <n v="8064"/>
    <m/>
    <m/>
    <s v="EMITIDO BOLETO DE JUNHO"/>
    <m/>
    <m/>
    <m/>
    <m/>
    <s v=""/>
    <x v="0"/>
    <x v="0"/>
  </r>
  <r>
    <s v="MAURICIO TADEU DI GIORGIO"/>
    <s v="3797447-6"/>
    <s v="595504228-87"/>
    <s v="11 94190-1295"/>
    <s v="AV. BARTOLOMEU DE GUSMÃO, 17 APTO 121 BLOCO GRAUSSAS"/>
    <s v="BOQUEIRÃO"/>
    <s v="SANTOS"/>
    <s v="11045-400"/>
    <s v="mtgiorgio@uol.com.br"/>
    <s v="NERO"/>
    <n v="1"/>
    <d v="2015-08-11T00:00:00"/>
    <n v="11"/>
    <x v="3"/>
    <x v="6"/>
    <m/>
    <n v="480"/>
    <n v="2880"/>
    <m/>
    <s v="DDA"/>
    <s v="EMITIDO BOLETO DE JUL A DEZ 16"/>
    <m/>
    <m/>
    <m/>
    <m/>
    <s v=""/>
    <x v="0"/>
    <x v="0"/>
  </r>
  <r>
    <s v="RAFAEL SILVA DE ANDRADE"/>
    <n v="34822280"/>
    <s v="318.014.778-41"/>
    <s v="119 9854-5059"/>
    <s v="RUA TITO 842 APTO 201 ED VITRE"/>
    <s v="VILA ROMANA"/>
    <s v="SÃO PAULO"/>
    <s v="05051-000"/>
    <s v="rafael@grupofuncional.com.br"/>
    <s v="ZULU"/>
    <n v="1"/>
    <d v="2016-07-30T00:00:00"/>
    <n v="30"/>
    <x v="8"/>
    <x v="7"/>
    <m/>
    <n v="380"/>
    <n v="1900"/>
    <m/>
    <m/>
    <s v="EMITIDO BOLETO DE AGO A DEZ 16"/>
    <m/>
    <m/>
    <m/>
    <m/>
    <s v=""/>
    <x v="0"/>
    <x v="0"/>
  </r>
  <r>
    <s v="JOSÉ FRANCISCO RODRIGUES DA SILVA"/>
    <s v="20412865-1          "/>
    <s v="084705668-65"/>
    <s v="11 4152-3397                            "/>
    <s v="ALAMEDA PEROLA, 194  ALPHAVILLE 9             "/>
    <s v="SANTANA DO PARNAIBA        "/>
    <s v="SÃO PAULO"/>
    <s v="06540-245"/>
    <s v="josefranciscosilva77@gmail.com      "/>
    <s v="BLACK E HANNA"/>
    <n v="2"/>
    <d v="2015-04-11T00:00:00"/>
    <n v="11"/>
    <x v="2"/>
    <x v="6"/>
    <n v="912"/>
    <n v="912"/>
    <n v="5472"/>
    <m/>
    <s v="DDA"/>
    <s v="EMITIDO BOLETO DE JUL A DEZ 16"/>
    <m/>
    <m/>
    <m/>
    <m/>
    <s v=""/>
    <x v="0"/>
    <x v="0"/>
  </r>
  <r>
    <s v="GABRIEL SEBASTIAN RAPHAELO LUNA LOPES"/>
    <n v="477513335"/>
    <s v="404961058-25"/>
    <s v="11 45619840"/>
    <s v="RUA COMENDADOR FRANCITESCO PETINATTI 44 APTO 113"/>
    <s v="JARDIM MONKEL "/>
    <s v="SÃO PAULO"/>
    <s v="05634-010"/>
    <s v="gabriel.raph@gmail.com       "/>
    <s v="ALFREDO"/>
    <n v="1"/>
    <d v="2016-07-09T00:00:00"/>
    <n v="9"/>
    <x v="8"/>
    <x v="7"/>
    <m/>
    <n v="380"/>
    <n v="1900"/>
    <m/>
    <m/>
    <s v="EMITIDO BOLETO DE AGO A DEZ 16"/>
    <m/>
    <m/>
    <m/>
    <m/>
    <s v=""/>
    <x v="0"/>
    <x v="0"/>
  </r>
  <r>
    <s v="JOYCE DUARTE PEREIRA"/>
    <n v="41299991"/>
    <n v="30956162878"/>
    <s v="11 5077-3973"/>
    <s v="RUA ENG AMERICO DE CARVALHO RAMOS 165 "/>
    <s v="VILA GUMERCINDO"/>
    <s v="SÃO PAULO"/>
    <n v="4130040"/>
    <s v="joyce.duarte@gmail.com"/>
    <s v="JANE"/>
    <n v="1"/>
    <d v="2016-08-15T00:00:00"/>
    <n v="15"/>
    <x v="3"/>
    <x v="7"/>
    <m/>
    <n v="380"/>
    <m/>
    <m/>
    <s v="POR 01 MÊS"/>
    <m/>
    <m/>
    <m/>
    <m/>
    <m/>
    <s v=""/>
    <x v="0"/>
    <x v="0"/>
  </r>
  <r>
    <s v="APARECIDA DONZETTI HENRIQUES"/>
    <n v="21485976"/>
    <s v="144.209.678-03"/>
    <s v="11 3251-4725"/>
    <s v="AV. PAULISTA, 671 APTO 707"/>
    <s v="CERQUEIRA CESAR"/>
    <s v="SÃO PAULO"/>
    <s v="01311-100"/>
    <s v="terapeuta.com@hotmail.com"/>
    <s v="Bobby, Bebé, Sacha"/>
    <n v="3"/>
    <d v="2016-03-17T00:00:00"/>
    <n v="17"/>
    <x v="9"/>
    <x v="7"/>
    <m/>
    <n v="1344"/>
    <n v="6720"/>
    <m/>
    <m/>
    <s v="EMITIDO DE ABR A SET 16"/>
    <m/>
    <m/>
    <m/>
    <m/>
    <s v=""/>
    <x v="0"/>
    <x v="0"/>
  </r>
  <r>
    <s v="FREDERICO JAYME NASSER "/>
    <n v="2832893"/>
    <s v="499.549.118-04"/>
    <s v="11-30792274"/>
    <s v="Rua Pedroso Alvarenga, 147 APTO 32 "/>
    <s v="Itaim Bibi"/>
    <s v="SÃO PAULO"/>
    <s v="04531-010"/>
    <s v="fnasser@pobox.com"/>
    <s v="BILLY"/>
    <n v="1"/>
    <d v="2016-01-22T00:00:00"/>
    <n v="22"/>
    <x v="10"/>
    <x v="7"/>
    <m/>
    <n v="480"/>
    <n v="2880"/>
    <m/>
    <m/>
    <s v="EMITIDO BOLETO DE JUL A DEZ 16"/>
    <m/>
    <m/>
    <m/>
    <m/>
    <s v=""/>
    <x v="0"/>
    <x v="0"/>
  </r>
  <r>
    <s v="CAIO PEREIRA PINTO"/>
    <s v="41470681X     "/>
    <s v="340766688-80"/>
    <s v="11-32054028   "/>
    <s v="RUA ELISA SILVEIRA, 397"/>
    <s v="CS VILA SANTO ESTÉFANO "/>
    <s v="SÃO PAULO"/>
    <s v="04152-000"/>
    <s v="caioinbox@gmail.com"/>
    <s v="MHELL"/>
    <n v="1"/>
    <d v="2015-07-30T00:00:00"/>
    <n v="30"/>
    <x v="8"/>
    <x v="6"/>
    <n v="440"/>
    <n v="480"/>
    <n v="2901"/>
    <m/>
    <m/>
    <s v="EMITIDO BOLETO DE JUL A DEZ 16"/>
    <m/>
    <m/>
    <m/>
    <m/>
    <s v=""/>
    <x v="0"/>
    <x v="0"/>
  </r>
  <r>
    <s v="RONE CARVALHO COSTA"/>
    <n v="18121168"/>
    <s v="142.813.728-90"/>
    <s v="11 959749671"/>
    <s v="RUA URANO 46 APTO 93"/>
    <s v="ACLIMAÇÃO"/>
    <s v="SÃO PAULO"/>
    <s v="01529-010"/>
    <s v="costarone.c@gmail.com"/>
    <s v="BENTO"/>
    <n v="1"/>
    <d v="2016-05-16T00:00:00"/>
    <n v="16"/>
    <x v="0"/>
    <x v="7"/>
    <m/>
    <n v="480"/>
    <n v="2880"/>
    <m/>
    <m/>
    <s v="EMITIDO BOLETO DE JUL A DEZ 16"/>
    <m/>
    <m/>
    <m/>
    <m/>
    <s v=""/>
    <x v="0"/>
    <x v="0"/>
  </r>
  <r>
    <s v="MARIZILDA ESCUDEIRO DE OLIVEIRA"/>
    <s v="8784813-2      "/>
    <s v="034823648-42"/>
    <s v="11 991317217                            "/>
    <s v="AV. SARGENTO GERALDO SANTANA 1100 BLC 12 APTO 34"/>
    <s v="JARDIM TAQUARAL"/>
    <s v="SÃO PAULO"/>
    <n v="4674225"/>
    <s v="marizilda.escudeiro@gmail.com    "/>
    <s v="SIMBA"/>
    <n v="1"/>
    <d v="2015-05-30T00:00:00"/>
    <n v="30"/>
    <x v="0"/>
    <x v="6"/>
    <m/>
    <n v="480"/>
    <n v="2880"/>
    <m/>
    <m/>
    <s v="EMITIDO BOLETO DE JUL A DEZ 16"/>
    <m/>
    <m/>
    <m/>
    <m/>
    <s v=""/>
    <x v="0"/>
    <x v="0"/>
  </r>
  <r>
    <s v="JOYCE DUARTE PEREIRA"/>
    <n v="41299991"/>
    <s v="309561628-78"/>
    <s v="11 50773973"/>
    <s v="RUA ENG AMERICO DE CARVALHO RAMOS 165 "/>
    <s v="VILA GUMERCINDO"/>
    <s v="SÃO PAULO"/>
    <s v="04130-040"/>
    <s v="joyce.duarte@gmail.com"/>
    <s v="JULLIAN"/>
    <n v="1"/>
    <d v="2016-07-16T00:00:00"/>
    <n v="16"/>
    <x v="8"/>
    <x v="7"/>
    <m/>
    <n v="380"/>
    <n v="1140"/>
    <m/>
    <s v="POR 03MESES"/>
    <s v="EMITIDO BOLETO DE AGO A DEZ16"/>
    <m/>
    <m/>
    <m/>
    <m/>
    <s v=""/>
    <x v="0"/>
    <x v="0"/>
  </r>
  <r>
    <s v="MARIANGELA ALVAREZ YAMIM"/>
    <n v="8660420"/>
    <s v="044598338-83"/>
    <s v="11 3501-1325"/>
    <s v="RUA JOSÉ CARLOS DE TOLEDO PIZA, 149 APTO 23"/>
    <s v="JARDIM PARQUE MORUMBI"/>
    <s v="SÃO PAULO"/>
    <s v="05712-070"/>
    <s v="mary.yamin@gmail.com   "/>
    <s v="JERRY"/>
    <n v="1"/>
    <d v="2014-08-02T00:00:00"/>
    <n v="2"/>
    <x v="3"/>
    <x v="4"/>
    <n v="480"/>
    <n v="480"/>
    <n v="2880"/>
    <m/>
    <m/>
    <s v="EMITIDO BOLETO DE JUL A DEZ 16"/>
    <m/>
    <m/>
    <m/>
    <m/>
    <s v=""/>
    <x v="0"/>
    <x v="0"/>
  </r>
  <r>
    <s v="BRUNELLA MAR"/>
    <n v="274444689"/>
    <s v="276845858-94"/>
    <s v="11 97283-2929"/>
    <s v="AV. PE ARLINDO VIEIRA , 700 - APTO 164B"/>
    <s v="VILA VERMELHA"/>
    <s v="SÃO PAULO"/>
    <s v="04297-000"/>
    <s v="brunella.mar@terra.com.br"/>
    <s v="NEGÃO"/>
    <n v="1"/>
    <d v="2014-09-15T00:00:00"/>
    <n v="15"/>
    <x v="5"/>
    <x v="4"/>
    <n v="480"/>
    <n v="480"/>
    <n v="2880"/>
    <m/>
    <m/>
    <s v="EMITIDO BOLETO DE JUL A DEZ 16"/>
    <m/>
    <m/>
    <m/>
    <m/>
    <s v=""/>
    <x v="0"/>
    <x v="0"/>
  </r>
  <r>
    <s v="THALITA JOAZEIRO DA NOBREGA"/>
    <s v="40.633.923-5  "/>
    <s v="368500578-20"/>
    <s v="11 2503-3359  "/>
    <s v="RUA LEOPOLDO COUTO DE MAGALHÃES JUNIOR N°540 Apto 103"/>
    <s v="ITAIM BIBI"/>
    <s v="SÃO PAULO"/>
    <m/>
    <s v="thalita.nobrega@itaubba.com  "/>
    <s v="ZEUS"/>
    <n v="1"/>
    <d v="2013-01-02T00:00:00"/>
    <n v="2"/>
    <x v="10"/>
    <x v="2"/>
    <n v="425"/>
    <n v="480"/>
    <n v="2880"/>
    <m/>
    <s v="DDA"/>
    <s v="EMITIDO BOLETO DE JUL A DEZ 16"/>
    <m/>
    <m/>
    <m/>
    <m/>
    <s v=""/>
    <x v="0"/>
    <x v="0"/>
  </r>
  <r>
    <s v="MIRACI SILVA COSTA"/>
    <n v="422494525"/>
    <s v="303944458-13"/>
    <s v="11 972192741"/>
    <s v="RUA ESTRELA DALVA, 167"/>
    <s v="JARDIM ROBRU"/>
    <s v="SÃO PAULO"/>
    <s v="08441-050"/>
    <s v=" miracisilvacosta65@hotmail.com"/>
    <s v="SOFIA"/>
    <n v="1"/>
    <d v="2016-07-01T00:00:00"/>
    <n v="1"/>
    <x v="8"/>
    <x v="7"/>
    <m/>
    <n v="480"/>
    <n v="2400"/>
    <m/>
    <m/>
    <s v="EMITIDO BOLETO DE AGO A DEZ 16"/>
    <m/>
    <m/>
    <s v="NERO"/>
    <m/>
    <s v=""/>
    <x v="0"/>
    <x v="0"/>
  </r>
  <r>
    <s v="LUCIA IRENE ROCCA MONTEIRO"/>
    <n v="17054633"/>
    <s v="052771178-06"/>
    <s v="11 2955-4370   "/>
    <s v="RUA RUBENS MEIRELLES 105 APTO 31 MAGIC"/>
    <s v="VARZEA DA BARRA FUNDA"/>
    <s v="SÃO PAULO"/>
    <s v="01141-000"/>
    <s v="luciar@telefonica.com      "/>
    <s v="JOTA"/>
    <n v="1"/>
    <d v="2014-03-17T00:00:00"/>
    <n v="17"/>
    <x v="9"/>
    <x v="4"/>
    <n v="480"/>
    <n v="480"/>
    <n v="2880"/>
    <m/>
    <m/>
    <s v="EMITIDO BOLETO JAN A JUN 17"/>
    <m/>
    <m/>
    <m/>
    <d v="2016-12-30T00:00:00"/>
    <n v="30"/>
    <x v="1"/>
    <x v="1"/>
  </r>
  <r>
    <s v="GABRIEL ASSIS"/>
    <n v="317631042"/>
    <s v="14083634-96"/>
    <s v="11 9 8240-6708"/>
    <s v="RUA DOUTOR NOGUEIRA MARTINS 634 APTO 24"/>
    <s v="SAÚDE"/>
    <s v="SÃO PAULO"/>
    <n v="4143020"/>
    <s v="cmsassis@hotmail.com  "/>
    <s v="THOR"/>
    <n v="1"/>
    <d v="2016-08-15T00:00:00"/>
    <n v="15"/>
    <x v="3"/>
    <x v="7"/>
    <m/>
    <n v="380"/>
    <n v="2280"/>
    <m/>
    <m/>
    <s v="EMITIDO BOLETO JAN A JUN 17"/>
    <m/>
    <m/>
    <m/>
    <d v="2017-01-10T00:00:00"/>
    <n v="10"/>
    <x v="2"/>
    <x v="2"/>
  </r>
  <r>
    <s v="REGINA AIKO FUKUNAGA KATO"/>
    <n v="6296923"/>
    <s v="011.684.048-00"/>
    <s v="11 5549-8720/ 995215123"/>
    <s v="RUA DOUTOR DIOGO FARIA 1320, APTO 64"/>
    <s v="VILA CLEMENTINO"/>
    <s v="SÃO PAULO"/>
    <s v="04037-005"/>
    <s v="dentistafnd@terra.com.br"/>
    <s v="KITTY "/>
    <n v="1"/>
    <d v="2016-10-05T00:00:00"/>
    <n v="5"/>
    <x v="7"/>
    <x v="7"/>
    <m/>
    <n v="480"/>
    <n v="2880"/>
    <m/>
    <m/>
    <s v="EMITIDO CARTÃO ATÉ JAN/16"/>
    <m/>
    <m/>
    <s v="Somente a partir de Fev/17"/>
    <d v="2017-01-20T00:00:00"/>
    <n v="20"/>
    <x v="2"/>
    <x v="2"/>
  </r>
  <r>
    <s v="CLIMERIO PEREIRA DO NASCIMENTO JUNIOR"/>
    <s v="50780525-2"/>
    <s v="932190244-91"/>
    <s v="11 4305-6059"/>
    <s v="RUA JUREIA, 299"/>
    <s v="CHACARA INGLESA"/>
    <s v="SÃO PAULO"/>
    <n v="4140110"/>
    <s v="climeriojr@yahoo.com.br"/>
    <s v="SANSÃO"/>
    <n v="1"/>
    <d v="2014-05-14T00:00:00"/>
    <n v="14"/>
    <x v="0"/>
    <x v="4"/>
    <n v="480"/>
    <n v="400"/>
    <n v="4800"/>
    <m/>
    <m/>
    <s v="EMITIDO BOLETO ANUAL DE AGO 16 A JUL17"/>
    <m/>
    <m/>
    <m/>
    <d v="2017-01-23T00:00:00"/>
    <n v="23"/>
    <x v="2"/>
    <x v="2"/>
  </r>
  <r>
    <s v="ANDRÉ GEORGE GRUNGLASSE"/>
    <n v="33087354"/>
    <s v="355677048-28"/>
    <s v="11 999418877"/>
    <s v="ALAMEDA MINISTRO ROCHA DE AZEVEDO 00545 APTO 61"/>
    <s v="CERQUEIRA CESAR"/>
    <s v="SÃO PAULO"/>
    <n v="1410001"/>
    <s v="andregrun69@hotmail.com "/>
    <s v="KURA"/>
    <n v="1"/>
    <d v="2016-08-24T00:00:00"/>
    <n v="24"/>
    <x v="3"/>
    <x v="7"/>
    <m/>
    <n v="380"/>
    <n v="2280"/>
    <m/>
    <m/>
    <s v="EMITIDO BOLETO JAN A JUN 17"/>
    <m/>
    <m/>
    <m/>
    <d v="2017-01-20T00:00:00"/>
    <n v="20"/>
    <x v="2"/>
    <x v="2"/>
  </r>
  <r>
    <s v="PRISCILA ROSANETE DOS REIS   "/>
    <n v="21593533"/>
    <s v="169881668-58"/>
    <s v="11 9551-0046"/>
    <s v="RUA MINAS GERAIS N°428  APTO 107     "/>
    <s v="HIGIENOPOLIS  "/>
    <s v="SÃO PAULO"/>
    <s v="01244-010"/>
    <s v="pri.reis@gmail.com"/>
    <s v="CHE GUEVARA"/>
    <n v="1"/>
    <d v="2010-11-13T00:00:00"/>
    <n v="13"/>
    <x v="4"/>
    <x v="3"/>
    <n v="425"/>
    <n v="480"/>
    <n v="2880"/>
    <m/>
    <m/>
    <s v="EMITIDO BOLETO JAN A JUN 17"/>
    <m/>
    <m/>
    <m/>
    <d v="2017-01-20T00:00:00"/>
    <n v="20"/>
    <x v="2"/>
    <x v="2"/>
  </r>
  <r>
    <s v="DORA CAIRIAC VERONEZZI"/>
    <n v="4384011"/>
    <s v="101464438-02"/>
    <s v="11 9 6179-7755"/>
    <s v="AV. VILA EMA 5446 TORRE 3 AP 114"/>
    <s v="VILA EMA"/>
    <s v="SÃO PAULO"/>
    <s v="03282-001"/>
    <s v="dora.cairiac@hotmail.com"/>
    <s v="BETOVEN"/>
    <n v="1"/>
    <d v="2016-06-16T00:00:00"/>
    <n v="16"/>
    <x v="1"/>
    <x v="7"/>
    <m/>
    <n v="480"/>
    <n v="2880"/>
    <m/>
    <m/>
    <s v="EMITIDO BOLETO JAN A JUN 17"/>
    <m/>
    <m/>
    <m/>
    <d v="2017-01-31T00:00:00"/>
    <n v="31"/>
    <x v="2"/>
    <x v="2"/>
  </r>
  <r>
    <s v="RHAYSA RAVENNA DE ALMEIDA PEREIRA"/>
    <n v="1024213"/>
    <s v="042.985.951-10"/>
    <s v="11-962149817 "/>
    <s v="RUA MONTE ALEGRE 90 APTO 54"/>
    <s v="PERDIZES"/>
    <s v="SÃO PAULO"/>
    <s v="05014-000"/>
    <s v="rhaysaravena26@hotmail.com   "/>
    <s v="BELLA"/>
    <n v="1"/>
    <d v="2016-07-30T00:00:00"/>
    <n v="30"/>
    <x v="8"/>
    <x v="7"/>
    <m/>
    <n v="380"/>
    <n v="2280"/>
    <m/>
    <m/>
    <s v="EMITIDO BOLETO JAN A JUN 17"/>
    <m/>
    <m/>
    <m/>
    <d v="2017-02-22T00:00:00"/>
    <n v="22"/>
    <x v="3"/>
    <x v="2"/>
  </r>
  <r>
    <s v="ALAN DE MELO GOMES"/>
    <n v="373808719"/>
    <s v="402.688.038-97"/>
    <s v="11 9 73986075"/>
    <s v="AV. COMENDADOR FEIZ ZARZUR, 1054"/>
    <s v="PIRITUBA"/>
    <s v="SÃO PAULO"/>
    <s v="02942-000"/>
    <s v="alan.gomescoulook.com"/>
    <s v="CHARLIE"/>
    <n v="1"/>
    <d v="2016-01-28T00:00:00"/>
    <n v="28"/>
    <x v="10"/>
    <x v="7"/>
    <m/>
    <n v="480"/>
    <n v="2880"/>
    <m/>
    <m/>
    <s v="EMITIDO BOLETO JAN A JUN 17"/>
    <m/>
    <m/>
    <m/>
    <d v="2017-01-26T00:00:00"/>
    <n v="26"/>
    <x v="2"/>
    <x v="2"/>
  </r>
  <r>
    <s v="CIBELE MOMESSE RODRIGUEZ"/>
    <n v="247295681"/>
    <s v="179983938-90"/>
    <s v="11 9 9192-2630"/>
    <s v="TRAVESSA ARCADIA 84"/>
    <s v="VILA PALMARES"/>
    <s v="Santo André"/>
    <n v="9061680"/>
    <s v="cibelerodriguez@yahoo.com.br"/>
    <s v="TRUTA"/>
    <n v="1"/>
    <d v="2016-08-06T00:00:00"/>
    <n v="6"/>
    <x v="3"/>
    <x v="7"/>
    <m/>
    <n v="380"/>
    <n v="2280"/>
    <m/>
    <m/>
    <s v="EMITIDO BOLETO JAN A JUN 17"/>
    <m/>
    <m/>
    <m/>
    <d v="2017-03-05T00:00:00"/>
    <n v="5"/>
    <x v="4"/>
    <x v="2"/>
  </r>
  <r>
    <s v="ALESSANDRA ALVES PEREIRA DUARTE"/>
    <n v="521694463"/>
    <s v="348965238-06"/>
    <s v="11 9 67244322"/>
    <s v="RUA TUPANACI 311"/>
    <s v="VILA GUMERCINDO"/>
    <s v="SÃO PAULO"/>
    <s v="04131-020"/>
    <s v="alemist.21@hotmail.com             "/>
    <s v="RUSTY E ROLLIE"/>
    <n v="2"/>
    <d v="2016-07-09T00:00:00"/>
    <n v="9"/>
    <x v="8"/>
    <x v="7"/>
    <m/>
    <n v="820"/>
    <n v="4560"/>
    <m/>
    <m/>
    <s v="EMITIDO BOLETO JAN A JUN 17"/>
    <m/>
    <m/>
    <m/>
    <d v="2017-04-08T00:00:00"/>
    <n v="8"/>
    <x v="5"/>
    <x v="2"/>
  </r>
  <r>
    <s v="PATRICIA BENETATI CAPUANO BERNARDES"/>
    <n v="25478335"/>
    <s v="205401078-24"/>
    <s v="11 9 6364-8761"/>
    <s v="RUA ALESSANDRO ALBERTI, 236 TORRE 01 APTO 62"/>
    <s v="JARDIM CELESTE "/>
    <s v="SÃO PAULO"/>
    <s v="04195-130"/>
    <s v="pattybene@ig.com.br"/>
    <s v="PIT"/>
    <n v="1"/>
    <d v="2016-08-18T00:00:00"/>
    <n v="18"/>
    <x v="3"/>
    <x v="7"/>
    <m/>
    <n v="380"/>
    <n v="2280"/>
    <m/>
    <m/>
    <s v="EMITIDO BOLETO JAN A JUN 17"/>
    <m/>
    <m/>
    <m/>
    <d v="2017-04-15T00:00:00"/>
    <n v="15"/>
    <x v="5"/>
    <x v="2"/>
  </r>
  <r>
    <s v="PAULO RENATO BATISTA ALEXANDRE"/>
    <n v="55169007"/>
    <s v="836.537.407-20"/>
    <s v="11 2769-3572                            "/>
    <s v="AV. JANDIRA, 79 BLOCÃO A  APTO 24"/>
    <s v="MOEMA"/>
    <s v="SÃO PAULO"/>
    <s v="04080-007"/>
    <s v="paulorenatoba@yahoo.com "/>
    <s v="CONCA"/>
    <n v="1"/>
    <d v="2016-01-24T00:00:00"/>
    <n v="24"/>
    <x v="10"/>
    <x v="7"/>
    <m/>
    <n v="480"/>
    <n v="2880"/>
    <m/>
    <m/>
    <s v="EMITIDO BOLETO JAN A JUN 17"/>
    <m/>
    <m/>
    <m/>
    <d v="2017-04-22T00:00:00"/>
    <n v="22"/>
    <x v="5"/>
    <x v="2"/>
  </r>
  <r>
    <s v="JOSÉ GABRIEL N DE ASSIS"/>
    <n v="317631042"/>
    <s v="014.083.634-96"/>
    <s v="11 9 8240-6708"/>
    <s v="RUA DOUTOR NOGUEIRA MARTINS 634 APTO 24"/>
    <s v="SAÚDE"/>
    <s v="SÃO PAULO"/>
    <s v="04143-020"/>
    <s v="cmsassis@hotmail.com  "/>
    <s v="THOR"/>
    <n v="1"/>
    <d v="2017-02-24T00:00:00"/>
    <n v="24"/>
    <x v="6"/>
    <x v="8"/>
    <m/>
    <n v="480"/>
    <n v="1920"/>
    <m/>
    <m/>
    <s v="EMITIDO BOLETO MAR A JUN 17"/>
    <m/>
    <m/>
    <m/>
    <d v="2017-04-26T00:00:00"/>
    <n v="26"/>
    <x v="5"/>
    <x v="2"/>
  </r>
  <r>
    <s v="ANDREA CRISTINA MONTEIRO MALTA"/>
    <n v="234077190"/>
    <s v="158.105.098-43"/>
    <n v="1134558722"/>
    <s v="RUA ITAPIMIRUM, 915 APTO 132A "/>
    <s v="VILA ANDRADE"/>
    <s v="SÃO PAULO"/>
    <s v="05716-090"/>
    <s v="andreacmmalta@gmail.com       "/>
    <s v="BOLT"/>
    <n v="1"/>
    <d v="2016-10-30T00:00:00"/>
    <n v="30"/>
    <x v="7"/>
    <x v="7"/>
    <m/>
    <n v="480"/>
    <n v="2880"/>
    <m/>
    <m/>
    <s v="EMITIDO BOLETO JAN A JUN 17"/>
    <m/>
    <m/>
    <m/>
    <d v="2017-05-31T00:00:00"/>
    <n v="31"/>
    <x v="6"/>
    <x v="2"/>
  </r>
  <r>
    <s v="MANUEL FERREIRA DA MATA SOARES POVOAS"/>
    <n v="23120795"/>
    <s v="076.921.198-48"/>
    <s v="11 9 8115-8844"/>
    <s v="RUA TOMÁS CARVALHAL 728 APTO 410 "/>
    <s v="PARAISO"/>
    <s v="SÃO PAULO"/>
    <s v="04006-002"/>
    <s v="povoas.manuel@gmail.com                                     "/>
    <s v="FLOQUINHO"/>
    <n v="1"/>
    <d v="2017-03-09T00:00:00"/>
    <n v="9"/>
    <x v="9"/>
    <x v="8"/>
    <m/>
    <n v="480"/>
    <n v="960"/>
    <m/>
    <s v="POR 03 MESES"/>
    <s v="EMITIDO BOLETO DE ABR A MAI17"/>
    <m/>
    <m/>
    <m/>
    <d v="2017-04-10T00:00:00"/>
    <n v="10"/>
    <x v="5"/>
    <x v="2"/>
  </r>
  <r>
    <s v="APARECIDA DONZETTI HENRIQUES"/>
    <n v="21485976"/>
    <s v="144.209.678-03"/>
    <s v="11 3251-4725"/>
    <s v="AV. PAULISTA, 671 APTO 707"/>
    <s v="CERQUEIRA CESAR"/>
    <s v="SÃO PAULO"/>
    <s v="01311-100"/>
    <s v="terapeuta.com@hotmail.com"/>
    <s v="SACHA E JOSUÉ"/>
    <n v="2"/>
    <d v="2017-03-22T00:00:00"/>
    <n v="22"/>
    <x v="9"/>
    <x v="8"/>
    <m/>
    <n v="912"/>
    <n v="2736"/>
    <m/>
    <m/>
    <s v="EMITIDO BOLETO ABR A JUN17"/>
    <m/>
    <m/>
    <s v="COMPRA NOSSA RAÇÃO GOLDEN"/>
    <d v="2017-06-06T00:00:00"/>
    <n v="6"/>
    <x v="7"/>
    <x v="2"/>
  </r>
  <r>
    <s v="FERNANDO CORDELLI COAN"/>
    <n v="293318682"/>
    <s v="194495388-40"/>
    <s v="11 97995-1010"/>
    <s v="RUA AGOSTINHO DE QUEIROZ 28"/>
    <s v="VILA IPOJUCA"/>
    <s v="SÃO PAULO"/>
    <s v="05057-070"/>
    <s v="fccoan@gmail.com  "/>
    <s v="TOKO"/>
    <n v="1"/>
    <d v="2016-08-04T00:00:00"/>
    <n v="4"/>
    <x v="3"/>
    <x v="7"/>
    <m/>
    <n v="410"/>
    <n v="2460"/>
    <m/>
    <s v="DDA"/>
    <m/>
    <m/>
    <m/>
    <m/>
    <d v="2017-06-05T00:00:00"/>
    <n v="5"/>
    <x v="7"/>
    <x v="2"/>
  </r>
  <r>
    <s v="KATE NORMAN SOUSA CORREA  "/>
    <n v="300232445"/>
    <s v="249.555.338-92"/>
    <s v="112674-0066  "/>
    <s v="RUA CACAQUERA    N° 800  CASA 02"/>
    <s v="VILA ANTONINA"/>
    <s v="SÃO PAULO"/>
    <s v="03412-030"/>
    <s v="katecorrea@bol.com.br"/>
    <s v="BALOTELLI"/>
    <n v="1"/>
    <d v="2017-06-14T00:00:00"/>
    <n v="14"/>
    <x v="1"/>
    <x v="8"/>
    <m/>
    <n v="480"/>
    <m/>
    <m/>
    <m/>
    <m/>
    <m/>
    <m/>
    <m/>
    <d v="2017-06-21T00:00:00"/>
    <n v="21"/>
    <x v="7"/>
    <x v="2"/>
  </r>
  <r>
    <s v="EMILY CHRISTINE MIRANDA DE ALMEIDA"/>
    <s v="37.655.902-0"/>
    <s v="436.242.378-88"/>
    <s v="11 999607084  "/>
    <s v="RUA FLORINEIA 234"/>
    <s v="JARDIM SÃO PAULO"/>
    <s v="SÃO PAULO"/>
    <s v="02334-050"/>
    <s v="emykka@gmail.com/jl.almeida01@gmail.com         "/>
    <s v="BOMMIE"/>
    <n v="1"/>
    <d v="2017-02-25T00:00:00"/>
    <n v="25"/>
    <x v="6"/>
    <x v="8"/>
    <m/>
    <n v="480"/>
    <n v="1920"/>
    <m/>
    <m/>
    <s v="EMITIDO BOLETO MAR A JUN 17"/>
    <m/>
    <m/>
    <m/>
    <d v="2017-07-03T00:00:00"/>
    <n v="3"/>
    <x v="8"/>
    <x v="2"/>
  </r>
  <r>
    <s v="ELIANE SILVEIRA FRANCO"/>
    <s v="8.277.080-3"/>
    <s v="022880048-00"/>
    <s v="11 9 7497-3809"/>
    <s v="RUA AYRES DA MATA MACHADO FILHO N° 115 "/>
    <s v="SANTANA    "/>
    <s v="SÃO PAULO"/>
    <s v="02013-008"/>
    <s v="elianesilveirafranco@gmail.com    "/>
    <s v="BANZÉ"/>
    <n v="1"/>
    <d v="2017-06-27T00:00:00"/>
    <n v="27"/>
    <x v="1"/>
    <x v="8"/>
    <m/>
    <n v="480"/>
    <n v="2880"/>
    <m/>
    <m/>
    <m/>
    <m/>
    <m/>
    <m/>
    <d v="2017-07-10T00:00:00"/>
    <n v="10"/>
    <x v="8"/>
    <x v="2"/>
  </r>
  <r>
    <s v="ESTEVAM MAGALHÃES DE FREITAS"/>
    <s v="37.743.217-9"/>
    <s v="427.739.078-17"/>
    <s v="11 3569-1123 "/>
    <s v="RUA HUMAITA, 349 APTO 24"/>
    <s v="BELA VISTA "/>
    <s v="SÃO PAULO"/>
    <s v="01321-010"/>
    <s v="estevam.mag@gmail.com         "/>
    <s v="THEO"/>
    <n v="1"/>
    <d v="2017-04-26T00:00:00"/>
    <n v="26"/>
    <x v="2"/>
    <x v="8"/>
    <m/>
    <n v="450"/>
    <n v="2700"/>
    <m/>
    <s v="POR 03 MESES JÁ PAGO"/>
    <s v="PAGO ATÉ JULHO - PAGAR EM 26/07"/>
    <m/>
    <m/>
    <m/>
    <d v="2017-07-28T00:00:00"/>
    <n v="28"/>
    <x v="8"/>
    <x v="2"/>
  </r>
  <r>
    <s v="MARIANA GIL FURLANETTI"/>
    <s v="25.483.331-7"/>
    <s v="368.771.618-07"/>
    <s v="11 981794783"/>
    <s v="AVENIDA NOVE DE JULHO 3239 APTO 76"/>
    <s v="JARDIM PAULISTA"/>
    <s v="SÃO PAULO"/>
    <s v="01407-200"/>
    <s v="marianam_gil@hotmail.com      "/>
    <s v="LUCY"/>
    <n v="1"/>
    <d v="2017-01-10T00:00:00"/>
    <n v="10"/>
    <x v="10"/>
    <x v="8"/>
    <m/>
    <n v="480"/>
    <n v="2880"/>
    <m/>
    <m/>
    <s v="EMITIDO BOLETO JUL A DEZ17"/>
    <m/>
    <m/>
    <s v="FORNECE GOLDEN"/>
    <d v="2017-07-28T00:00:00"/>
    <n v="28"/>
    <x v="8"/>
    <x v="2"/>
  </r>
  <r>
    <s v="CRISTIANE MARIA BENVENUTO ANDRADE"/>
    <n v="1082912809"/>
    <s v="764168520-04"/>
    <s v="11 9 7598-7766"/>
    <s v="RUA MANOEL JACINTO, 932 BLC 10 APTO 101"/>
    <s v="VILA MORSE"/>
    <s v="SÃO PAULO"/>
    <s v="05624-001"/>
    <s v="cristianebenvenuto@hotmail.com    "/>
    <s v="CINDY"/>
    <n v="1"/>
    <d v="2016-12-09T00:00:00"/>
    <n v="9"/>
    <x v="11"/>
    <x v="7"/>
    <m/>
    <n v="480"/>
    <n v="2880"/>
    <m/>
    <m/>
    <s v="EMITIDO BOLETO JUL A DEZ17"/>
    <m/>
    <m/>
    <m/>
    <d v="2017-08-09T00:00:00"/>
    <n v="9"/>
    <x v="9"/>
    <x v="2"/>
  </r>
  <r>
    <s v="TANIA MARIA DE OLIVEIRA MOREIRA"/>
    <s v="12300161-4"/>
    <s v="168.896.788-50"/>
    <s v="112035-7972"/>
    <s v="RUA DONA CECILIA SANTANA 72 APTO 52"/>
    <s v="VILA GRANADA"/>
    <s v="SÃO PAULO"/>
    <s v="03622-010"/>
    <s v="tanniamoreira@hotmail.com          "/>
    <s v="JADE"/>
    <n v="1"/>
    <d v="2017-03-08T00:00:00"/>
    <n v="8"/>
    <x v="9"/>
    <x v="8"/>
    <m/>
    <n v="480"/>
    <n v="2880"/>
    <m/>
    <m/>
    <s v="EMITIDO BOLETO JUL A DEZ17"/>
    <m/>
    <m/>
    <m/>
    <d v="2017-08-26T00:00:00"/>
    <n v="26"/>
    <x v="9"/>
    <x v="2"/>
  </r>
  <r>
    <s v="JESSICA CAROLINE BRITTO DA SILVA"/>
    <n v="485195732"/>
    <s v="403.114.898-42"/>
    <s v="11 95550-1642"/>
    <s v="RUA ROLANDO CURTI  301 BLC 3 APTO 11"/>
    <s v="VILA SANTA MARGARIDA"/>
    <s v="SÃO PAULO"/>
    <s v="04414-000"/>
    <s v="carolineb10@hotmail.com"/>
    <s v="PANDORA"/>
    <n v="1"/>
    <d v="2016-10-22T00:00:00"/>
    <n v="22"/>
    <x v="7"/>
    <x v="7"/>
    <m/>
    <n v="480"/>
    <n v="2880"/>
    <m/>
    <m/>
    <s v="EMITIDO BOLETO DE JUL A DEZ 17"/>
    <m/>
    <m/>
    <m/>
    <d v="2017-09-13T00:00:00"/>
    <n v="13"/>
    <x v="10"/>
    <x v="2"/>
  </r>
  <r>
    <s v="PAULO FORTUNATO "/>
    <n v="32494309"/>
    <s v="303.523.628-39"/>
    <s v="22 98509772"/>
    <s v="RUA SALMA 510 PARQUE SÃO JORGE "/>
    <s v="PARQUE SÃO JORGE"/>
    <s v="COTIA"/>
    <s v="06708-090"/>
    <s v="p-fortunato@hotmail.com   "/>
    <s v="ALI"/>
    <n v="1"/>
    <d v="2016-09-18T00:00:00"/>
    <n v="18"/>
    <x v="5"/>
    <x v="7"/>
    <m/>
    <n v="380"/>
    <n v="2280"/>
    <m/>
    <m/>
    <s v="EMITIDO BOLETO JUL A DEZ 17"/>
    <m/>
    <m/>
    <m/>
    <d v="2017-09-30T00:00:00"/>
    <n v="30"/>
    <x v="10"/>
    <x v="2"/>
  </r>
  <r>
    <s v="CRISTINA NAVARRO BARON"/>
    <n v="162230187"/>
    <s v="087.125.328-35"/>
    <s v="11  2918-2473  "/>
    <s v="RUA DANIEL MIRABELO 130 CASA 29"/>
    <s v="VILA EMA"/>
    <s v="SÃO PAULO"/>
    <s v="03275-008"/>
    <s v="cristinabaron@vivointernetdiscada.com.br         "/>
    <s v="MUSTAFFÁ"/>
    <n v="1"/>
    <d v="2017-07-12T00:00:00"/>
    <n v="12"/>
    <x v="8"/>
    <x v="8"/>
    <m/>
    <n v="480"/>
    <n v="2400"/>
    <m/>
    <m/>
    <s v="EMITIDO BOLETO JUL A DEZ17"/>
    <m/>
    <m/>
    <m/>
    <d v="2017-12-15T00:00:00"/>
    <n v="15"/>
    <x v="1"/>
    <x v="2"/>
  </r>
  <r>
    <s v="FABIANA SIKULA DA SILVA"/>
    <s v="47.738.489-4"/>
    <s v="292.534.268-02"/>
    <s v="11 2574-8479"/>
    <s v="Rua dos democratas, 445 ap 91 edificio san remo"/>
    <s v="vila monte alegre"/>
    <s v="SÃO PAULO"/>
    <s v="04305-000"/>
    <s v="emaildasikula@gmail.com   "/>
    <s v="SNOW"/>
    <n v="1"/>
    <d v="2017-08-07T00:00:00"/>
    <n v="7"/>
    <x v="3"/>
    <x v="8"/>
    <m/>
    <n v="480"/>
    <n v="1920"/>
    <m/>
    <m/>
    <s v="EMITIDO BOLETO DE SET A DEZ 17"/>
    <m/>
    <m/>
    <m/>
    <d v="2017-12-10T00:00:00"/>
    <n v="10"/>
    <x v="1"/>
    <x v="2"/>
  </r>
  <r>
    <s v="DANIELA LEITE NUNES"/>
    <s v="45.008.412-7"/>
    <s v="383.938.468-03"/>
    <s v="11 4166-8503"/>
    <s v="RUA URUANA, 215 CHACARA DOS JUNQUEIRAS"/>
    <s v="CARAPICUIBA"/>
    <s v="SÃO PAULO"/>
    <s v="06355-480"/>
    <s v="inumes.daniela@gmail.com"/>
    <s v="JOSUE, MOISES, MEG, NATANAEL"/>
    <n v="4"/>
    <d v="2017-05-15T00:00:00"/>
    <n v="15"/>
    <x v="0"/>
    <x v="8"/>
    <m/>
    <n v="2795.75"/>
    <n v="16774.5"/>
    <m/>
    <m/>
    <s v="EMITIDO BOLETO JUL A DEZ 17"/>
    <m/>
    <m/>
    <m/>
    <d v="2017-12-16T00:00:00"/>
    <n v="16"/>
    <x v="1"/>
    <x v="2"/>
  </r>
  <r>
    <s v="WEVERTON LUIS CORREIA DE OLIVEIRA"/>
    <s v="36.576.451-6"/>
    <s v="389.020.748-03"/>
    <s v="11 2052-1205"/>
    <s v="RUA RUBENS HENRIQUE PICCHI 311 BLC 08 APTO  C34"/>
    <s v="PARQUE CECAP"/>
    <s v="GUARULHOS"/>
    <s v="07190-907"/>
    <s v="weverton.oliver07@gmail.com"/>
    <s v="BORYS"/>
    <n v="1"/>
    <d v="2017-08-31T00:00:00"/>
    <n v="31"/>
    <x v="3"/>
    <x v="8"/>
    <m/>
    <n v="450"/>
    <n v="1800"/>
    <m/>
    <m/>
    <s v="EMITIDO BOLETO DE SET A DEZ 17"/>
    <m/>
    <m/>
    <s v="COM RAÇÃO NERO"/>
    <d v="2017-12-20T00:00:00"/>
    <n v="20"/>
    <x v="1"/>
    <x v="2"/>
  </r>
  <r>
    <s v="JOAO VICENTE PEREYRA JUNIOR"/>
    <n v="50321879"/>
    <s v="015.913.440-42"/>
    <n v="11998007855"/>
    <s v="AVENIDA SEN VERGUEIRO, 608 BLC 03 PLANTEON APTO 172 "/>
    <s v="CENTRO"/>
    <s v="São Bernardo do Campo"/>
    <s v="09750-000"/>
    <s v="joaor66@gmail.com"/>
    <s v="DARTANHA"/>
    <n v="1"/>
    <d v="2017-09-22T00:00:00"/>
    <n v="22"/>
    <x v="5"/>
    <x v="8"/>
    <m/>
    <n v="480"/>
    <n v="1440"/>
    <m/>
    <s v="DDA"/>
    <s v="EMITIDO BOLETO DE OUT A DEZ 17"/>
    <m/>
    <m/>
    <s v="COMPRA NOSSA RAÇÃO"/>
    <d v="2017-12-22T00:00:00"/>
    <n v="22"/>
    <x v="1"/>
    <x v="2"/>
  </r>
  <r>
    <s v="AGLAI DIAS DE MACEDO SOARES"/>
    <n v="22433281"/>
    <s v="117.874.958-41"/>
    <s v="11 34592438"/>
    <s v="RUA DR. BARROS CRUZ, 33 APTO 14 B "/>
    <s v="VILA MARIANA"/>
    <s v="SÃO PAULO"/>
    <s v="04118-130"/>
    <s v="aglaisoares@hotmail.com"/>
    <s v="CACAU"/>
    <n v="1"/>
    <d v="2017-10-04T00:00:00"/>
    <n v="4"/>
    <x v="7"/>
    <x v="8"/>
    <m/>
    <n v="480"/>
    <n v="960"/>
    <m/>
    <m/>
    <m/>
    <m/>
    <m/>
    <m/>
    <d v="2017-10-30T00:00:00"/>
    <n v="30"/>
    <x v="11"/>
    <x v="2"/>
  </r>
  <r>
    <s v="FERNANDO CORDELLI COAN"/>
    <n v="293318682"/>
    <s v="194495388-40"/>
    <s v="11 97995-1010"/>
    <s v="RUA AGOSTINHO DE QUEIROZ 28"/>
    <s v="VILA IPOJUCA"/>
    <s v="SÃO PAULO"/>
    <s v="05057-070"/>
    <s v="fccoan@gmail.com"/>
    <s v="TOKO"/>
    <n v="1"/>
    <d v="2017-08-04T00:00:00"/>
    <n v="4"/>
    <x v="3"/>
    <x v="8"/>
    <m/>
    <n v="480"/>
    <n v="2880"/>
    <m/>
    <s v="DDA"/>
    <m/>
    <m/>
    <m/>
    <m/>
    <d v="2018-01-04T00:00:00"/>
    <n v="4"/>
    <x v="2"/>
    <x v="3"/>
  </r>
  <r>
    <s v="MARISA DE SOUZA SIQUEIRA "/>
    <n v="15923756"/>
    <s v="055798348-70"/>
    <s v="11 3824-0005  "/>
    <s v="RUA DOUTOR SERGIO MEIRA N° 230 APTO 81 - BL. 2 "/>
    <s v="BARRA FUNDA"/>
    <s v="SÃO PAULO"/>
    <s v="01153-010"/>
    <s v="massj@uol.com.br "/>
    <s v="NINA"/>
    <n v="1"/>
    <d v="2010-10-29T00:00:00"/>
    <n v="29"/>
    <x v="7"/>
    <x v="3"/>
    <n v="1064"/>
    <n v="666.35"/>
    <n v="3998.1000000000004"/>
    <m/>
    <m/>
    <m/>
    <m/>
    <m/>
    <m/>
    <d v="2018-01-18T00:00:00"/>
    <n v="18"/>
    <x v="2"/>
    <x v="3"/>
  </r>
  <r>
    <s v="ANDRÉ GEORGE GRUNGLASSE"/>
    <n v="33087354"/>
    <n v="35567704828"/>
    <s v="11 9 9941-8877"/>
    <s v="ALAMEDA MINISTRO ROCHA DE AZEVEDO 545 APTO 61"/>
    <s v="CERQUEIRA CESAR"/>
    <s v="SÃO PAULO"/>
    <s v="01410-001"/>
    <s v="andregrun69@hotmail.com "/>
    <s v="KURA"/>
    <n v="1"/>
    <d v="2017-11-09T00:00:00"/>
    <n v="9"/>
    <x v="4"/>
    <x v="8"/>
    <m/>
    <n v="480"/>
    <m/>
    <m/>
    <m/>
    <s v="EMITIDO JAN"/>
    <m/>
    <m/>
    <m/>
    <d v="2018-02-10T00:00:00"/>
    <n v="10"/>
    <x v="3"/>
    <x v="3"/>
  </r>
  <r>
    <s v="PAULO RENATO BATISTA ALEXANDRE"/>
    <n v="55169007"/>
    <n v="83653740720"/>
    <s v="11 2769-3572                            "/>
    <s v="AV. JANDIRA, 79 BLOCÃO A  APTO 24"/>
    <s v="INDIANAPOLIS"/>
    <s v="SÃO PAULO"/>
    <s v="04080-000"/>
    <s v="paulorenatoba@yahoo.com "/>
    <s v="BILLY E TOBIAS"/>
    <n v="2"/>
    <d v="2017-11-15T00:00:00"/>
    <n v="15"/>
    <x v="4"/>
    <x v="8"/>
    <m/>
    <n v="912"/>
    <m/>
    <m/>
    <s v="POR 03 MESES"/>
    <s v="EMITIDO BOLETO ATE JAN18"/>
    <m/>
    <m/>
    <s v="FORNECE TODAS AS MARCAS NÃO TEM ESPECIFICA"/>
    <d v="2018-02-10T00:00:00"/>
    <n v="10"/>
    <x v="3"/>
    <x v="3"/>
  </r>
  <r>
    <s v="SHEILA MARINHO PAGANO"/>
    <n v="40284211"/>
    <s v="314.297.908-57"/>
    <s v="11 99244-2546"/>
    <s v="RUA FAISÃO 70 CASA"/>
    <s v="VILA MADALENA"/>
    <s v="SÃO PAULO"/>
    <s v="05433-030"/>
    <s v="sheilapaganno@gmail.com"/>
    <s v="HERUS"/>
    <n v="1"/>
    <d v="2018-01-08T00:00:00"/>
    <n v="8"/>
    <x v="10"/>
    <x v="9"/>
    <m/>
    <n v="480"/>
    <n v="2400"/>
    <m/>
    <m/>
    <s v="EMITIDO BOLETO FEV A JUN18"/>
    <m/>
    <m/>
    <m/>
    <d v="2018-02-19T00:00:00"/>
    <n v="19"/>
    <x v="3"/>
    <x v="3"/>
  </r>
  <r>
    <s v="BIANCA BENTO DE OLIVEIRA RIBEIRO"/>
    <n v="32153294"/>
    <s v="291.774.178-36"/>
    <s v="11 2589-2116"/>
    <s v="RUA JOAO GOMES, 1025 CASA "/>
    <s v="BUTANTÃ"/>
    <s v="SÃO PAULO"/>
    <s v="05592-001"/>
    <s v="biancabentoribeiro@gmail.com  "/>
    <s v="BOB"/>
    <n v="1"/>
    <d v="2017-09-02T00:00:00"/>
    <n v="2"/>
    <x v="5"/>
    <x v="8"/>
    <m/>
    <n v="450"/>
    <n v="1350"/>
    <m/>
    <s v="jan e fev"/>
    <s v="EMITIDO DE JAN A FEV/18"/>
    <m/>
    <m/>
    <s v="POR 03 MESES"/>
    <d v="2018-03-20T00:00:00"/>
    <n v="20"/>
    <x v="4"/>
    <x v="3"/>
  </r>
  <r>
    <s v="MARLENE ALVES DA SILVA"/>
    <n v="16231672"/>
    <s v="056.321.558-54"/>
    <s v="11  99612-6805"/>
    <s v="RUA RAFAEL CORREIA SAMPAIO, 410 APTO 152"/>
    <s v="SÃO CAETANO DO SUL "/>
    <s v="SÃO PAULO"/>
    <s v="09541-250"/>
    <s v="departamentopessoal@vitan.com.br "/>
    <s v="MEL"/>
    <n v="1"/>
    <d v="2017-11-17T00:00:00"/>
    <n v="17"/>
    <x v="4"/>
    <x v="8"/>
    <m/>
    <n v="450"/>
    <n v="2250"/>
    <m/>
    <m/>
    <s v="EMITIDOS BOLETOS JAN A JUN18"/>
    <m/>
    <m/>
    <m/>
    <d v="2018-04-11T00:00:00"/>
    <n v="11"/>
    <x v="5"/>
    <x v="3"/>
  </r>
  <r>
    <s v="REGIANE BIONDO PAIVA"/>
    <s v="47192022-8"/>
    <s v="387443718-37"/>
    <s v="11 3815-1574"/>
    <s v="RUA NAVARRO DE ANDRADE, 284 APTO 06"/>
    <s v="PINHEIROS"/>
    <s v="SÃO PAULO"/>
    <s v="05418-020"/>
    <s v="regiane.paiva@escribanet.com.br"/>
    <s v="FREDY"/>
    <n v="1"/>
    <d v="2013-09-07T00:00:00"/>
    <n v="7"/>
    <x v="5"/>
    <x v="2"/>
    <n v="425"/>
    <n v="480"/>
    <n v="2880"/>
    <m/>
    <m/>
    <s v="EMITIDOS BOLETOS JAN A JUN18"/>
    <m/>
    <m/>
    <m/>
    <d v="2018-04-14T00:00:00"/>
    <n v="14"/>
    <x v="5"/>
    <x v="3"/>
  </r>
  <r>
    <s v="ANTONIO FERNANDEZ NIETO"/>
    <n v="163150783"/>
    <s v="259.438.528-08"/>
    <s v="11 97309-0878"/>
    <s v="RUA JOAQUIM FERREIRA, 124 APTO 06"/>
    <s v="POMPEIA"/>
    <s v="SÃO PAULO"/>
    <s v="05033-080"/>
    <s v="toninho@arfernandez.com.br "/>
    <s v="CLIPER"/>
    <n v="1"/>
    <d v="2017-07-13T00:00:00"/>
    <n v="13"/>
    <x v="8"/>
    <x v="8"/>
    <m/>
    <n v="480"/>
    <n v="2880"/>
    <m/>
    <m/>
    <s v="EMITIDOS BOLETOS JAN A JUN18"/>
    <m/>
    <m/>
    <m/>
    <d v="2018-04-27T00:00:00"/>
    <n v="27"/>
    <x v="5"/>
    <x v="3"/>
  </r>
  <r>
    <s v="DEBORA DURANTE PRANDO"/>
    <n v="25393770"/>
    <s v="259495578-75"/>
    <s v="11 2649-1975"/>
    <s v="RUA TUMIARU, 171 APTO 121 "/>
    <s v="VILA MARIANA"/>
    <s v="SÃO PAULO"/>
    <s v="04008-050"/>
    <s v="deoma@uol.com.br "/>
    <s v="DANDI"/>
    <n v="1"/>
    <d v="2015-11-12T00:00:00"/>
    <n v="12"/>
    <x v="4"/>
    <x v="6"/>
    <m/>
    <n v="510"/>
    <n v="3060"/>
    <m/>
    <m/>
    <s v="EMITIDOS BOLETOS JAN A JUN18"/>
    <m/>
    <m/>
    <m/>
    <d v="2018-05-15T00:00:00"/>
    <n v="15"/>
    <x v="6"/>
    <x v="3"/>
  </r>
  <r>
    <s v="RICARDO FORGERINI ABUD"/>
    <n v="34698140"/>
    <s v="316.090.508-00"/>
    <s v="11 2274-3179"/>
    <s v="RUA D. JULIA CESAR FERREIRA 330  APTO 51 BL1 "/>
    <s v="BAETA NEVES"/>
    <s v="São Bernardo do Campo"/>
    <s v="09760-300"/>
    <s v="ricardoabud1@hotmail.com"/>
    <s v="MIKE"/>
    <n v="1"/>
    <d v="2018-01-18T00:00:00"/>
    <n v="18"/>
    <x v="10"/>
    <x v="9"/>
    <m/>
    <n v="480"/>
    <n v="2400"/>
    <m/>
    <m/>
    <s v="EMITIDO BOLETO FEV A JUN18"/>
    <m/>
    <m/>
    <m/>
    <d v="2018-06-07T00:00:00"/>
    <n v="7"/>
    <x v="7"/>
    <x v="3"/>
  </r>
  <r>
    <s v="MARINA HARUKO MORI BIONDO"/>
    <n v="261831173"/>
    <n v="31021170828"/>
    <s v="1199801-9800"/>
    <s v="RUA DOM CONSTANTINO BARRADAS, 130 APTO 12 "/>
    <s v="VILA GUMERCINDO"/>
    <s v="SÃO PAULO"/>
    <s v="04134-110"/>
    <s v="marinahmori@gmail.com       "/>
    <s v="VITO"/>
    <n v="1"/>
    <d v="2018-02-02T00:00:00"/>
    <n v="2"/>
    <x v="6"/>
    <x v="9"/>
    <m/>
    <n v="820"/>
    <n v="3280"/>
    <m/>
    <m/>
    <s v="EMITIDO BOLETO MAR A JUN18"/>
    <m/>
    <m/>
    <m/>
    <d v="2018-06-05T00:00:00"/>
    <n v="5"/>
    <x v="7"/>
    <x v="3"/>
  </r>
  <r>
    <s v="VANESSA MUN HEE KIM"/>
    <s v="V172174U"/>
    <s v="366077308-50"/>
    <s v="11 979134004"/>
    <s v="RUA LUIS ANTONIO DOS SANTOS 196 APTO 24"/>
    <s v="SANTA TEREZINHA"/>
    <s v="SÃO PAULO"/>
    <s v="02460-000"/>
    <s v="v.mhkim@gmail.com        "/>
    <s v="TOMMY"/>
    <n v="1"/>
    <d v="2016-08-20T00:00:00"/>
    <n v="20"/>
    <x v="3"/>
    <x v="7"/>
    <m/>
    <n v="380"/>
    <n v="2280"/>
    <m/>
    <m/>
    <s v="EMITIDOS BOLETOS JAN A JUN18"/>
    <m/>
    <m/>
    <m/>
    <d v="2018-06-10T00:00:00"/>
    <n v="10"/>
    <x v="7"/>
    <x v="3"/>
  </r>
  <r>
    <s v="JULIANA LOPES CAMPANO"/>
    <n v="29689245"/>
    <s v="321.745.838-95"/>
    <s v="11 5510-1600"/>
    <s v="RUA QUARARIBEIA 200 TORRE 3 BLC TOPAZ APT21"/>
    <s v="Vila Isa"/>
    <s v="SÃO PAULO"/>
    <s v="04689-160"/>
    <s v="ju_campano@hotmail.com     "/>
    <s v="SALAME"/>
    <n v="1"/>
    <d v="2018-02-08T00:00:00"/>
    <n v="8"/>
    <x v="6"/>
    <x v="9"/>
    <m/>
    <n v="480"/>
    <n v="1920"/>
    <m/>
    <m/>
    <m/>
    <m/>
    <m/>
    <m/>
    <d v="2018-06-26T00:00:00"/>
    <n v="26"/>
    <x v="7"/>
    <x v="3"/>
  </r>
  <r>
    <s v="FABIANO SOARES DE MORAES BARBOSA"/>
    <s v="26.449.395-2"/>
    <s v="273.717.298-54"/>
    <s v="13 3227-3058    "/>
    <s v="RUA CEL PEDRO ARBUES 186 APTO 32"/>
    <s v="PONTA DA PRAIA"/>
    <s v="SANTOS"/>
    <s v="11035-050"/>
    <s v="moraes63@ig.com.br"/>
    <s v="JONI"/>
    <n v="1"/>
    <d v="2017-08-19T00:00:00"/>
    <n v="19"/>
    <x v="3"/>
    <x v="8"/>
    <m/>
    <n v="600"/>
    <n v="3600"/>
    <m/>
    <m/>
    <m/>
    <m/>
    <m/>
    <m/>
    <d v="2018-06-10T00:00:00"/>
    <n v="10"/>
    <x v="7"/>
    <x v="3"/>
  </r>
  <r>
    <s v="FERNANDO DE CARVALHO GOMES"/>
    <n v="408369164"/>
    <s v="313525408-94"/>
    <s v="11 9 9651-2881"/>
    <s v="RUA MAURO RABANO 105"/>
    <s v="PARQUE IPÊ"/>
    <s v="SÃO PAULO"/>
    <s v="05572-090"/>
    <s v="fcgomes@me.com   "/>
    <s v="LÉO"/>
    <n v="1"/>
    <d v="2018-03-29T00:00:00"/>
    <n v="29"/>
    <x v="9"/>
    <x v="9"/>
    <m/>
    <n v="480"/>
    <n v="2880"/>
    <m/>
    <m/>
    <s v="EMITIDO BOLETO JUL A DEZ18"/>
    <s v="POR 03 MESES"/>
    <m/>
    <m/>
    <d v="2018-06-30T00:00:00"/>
    <n v="30"/>
    <x v="7"/>
    <x v="3"/>
  </r>
  <r>
    <s v="FABIO HIROSHI HABE         "/>
    <s v="29725838-2"/>
    <s v="282.965.638-51"/>
    <s v="11 9 9277-8083"/>
    <s v="AV JACUTINGA  352 APTO 131"/>
    <s v="MOEMA"/>
    <s v="SÃO PAULO"/>
    <s v="04515-030"/>
    <s v="fabio_habe@yahoo.com       "/>
    <s v="AMENDOIM"/>
    <n v="1"/>
    <d v="2018-04-19T00:00:00"/>
    <n v="19"/>
    <x v="2"/>
    <x v="9"/>
    <m/>
    <n v="480"/>
    <n v="2880"/>
    <m/>
    <m/>
    <s v="EMITIDO BOLETO JUL A DEZ18"/>
    <s v="POR 03 MESES"/>
    <m/>
    <m/>
    <d v="2018-07-19T00:00:00"/>
    <n v="19"/>
    <x v="8"/>
    <x v="3"/>
  </r>
  <r>
    <s v="ANA LUZIA MARANINI"/>
    <n v="33980237"/>
    <s v="294.415.128.-26"/>
    <s v="11 3693-7193"/>
    <s v="RUA CONDE DE ITÚ 120"/>
    <s v="ALTO DA BOA VISTA"/>
    <s v="SÃO PAULO"/>
    <s v="04741-000"/>
    <s v="analumara@gmail.com "/>
    <s v="ANA CLARA"/>
    <n v="1"/>
    <d v="2018-04-21T00:00:00"/>
    <n v="21"/>
    <x v="2"/>
    <x v="9"/>
    <m/>
    <n v="480"/>
    <n v="2880"/>
    <m/>
    <m/>
    <s v="EMITIDO BOLETO JUL A DEZ18"/>
    <m/>
    <m/>
    <m/>
    <d v="2018-07-23T00:00:00"/>
    <n v="23"/>
    <x v="8"/>
    <x v="3"/>
  </r>
  <r>
    <s v="VANESSA ANDRADE APARÍCIO"/>
    <n v="283406689"/>
    <s v="284.101.428-21"/>
    <s v="11 982621181"/>
    <s v="RUA SIMÃO ALVARES 479 AP 124"/>
    <s v="PINHEIROS"/>
    <s v="SÃO PAULO"/>
    <s v="05417-030"/>
    <s v="van.aparicio@hotmail.com  "/>
    <s v="TUCA"/>
    <n v="1"/>
    <d v="2016-02-10T00:00:00"/>
    <n v="10"/>
    <x v="6"/>
    <x v="7"/>
    <m/>
    <n v="480"/>
    <n v="2880"/>
    <m/>
    <s v="DDA"/>
    <s v="EMITIDO BOLETO JUL A DEZ18"/>
    <m/>
    <m/>
    <m/>
    <d v="2018-08-07T00:00:00"/>
    <n v="7"/>
    <x v="9"/>
    <x v="3"/>
  </r>
  <r>
    <s v="VANESSA MIGUITA"/>
    <n v="284451277"/>
    <s v="267842378-62"/>
    <s v="11 9 7400-0685"/>
    <s v="R. IGUATEMI, 191 "/>
    <s v="VILA ALICE"/>
    <s v="SANTO ANDRÉ "/>
    <s v="09060-340"/>
    <s v="vanessa.miguita@gmail.com"/>
    <s v="BOB e FIONA"/>
    <n v="2"/>
    <d v="2018-06-11T00:00:00"/>
    <n v="11"/>
    <x v="1"/>
    <x v="9"/>
    <m/>
    <n v="850"/>
    <n v="4866.67"/>
    <m/>
    <m/>
    <s v="EMITIDO BOLETO JUL A DEZ18"/>
    <m/>
    <m/>
    <m/>
    <d v="2018-09-01T00:00:00"/>
    <n v="1"/>
    <x v="10"/>
    <x v="3"/>
  </r>
  <r>
    <s v="LUCIANA SHIMABUKURO"/>
    <n v="353347450"/>
    <s v="225.042.158-78"/>
    <m/>
    <s v="RUA SALVADOR, 4"/>
    <s v="JARDIM THELMA"/>
    <s v="São Bernardo do Campo"/>
    <s v="09853-580"/>
    <m/>
    <s v="JIMMY"/>
    <n v="1"/>
    <d v="2018-07-13T00:00:00"/>
    <n v="13"/>
    <x v="8"/>
    <x v="9"/>
    <m/>
    <n v="480"/>
    <n v="960"/>
    <m/>
    <m/>
    <s v="EMITIDO BOLETO JUL E AGO18"/>
    <s v="POR 03 MESES"/>
    <m/>
    <m/>
    <d v="2018-10-20T00:00:00"/>
    <n v="20"/>
    <x v="11"/>
    <x v="3"/>
  </r>
  <r>
    <s v="BRUNO CASTRO"/>
    <n v="34093060"/>
    <n v="31769755896"/>
    <s v="11 9 8244-4866"/>
    <s v="RUA MONOEL CHEREN N°300 APTO 162B "/>
    <s v="VILA PAULISTA"/>
    <s v="SÃO PAULO"/>
    <s v="04360-03 "/>
    <s v="brcastro.pk2@gmail.com  "/>
    <s v="MOARA"/>
    <n v="1"/>
    <d v="2018-08-08T00:00:00"/>
    <n v="8"/>
    <x v="3"/>
    <x v="9"/>
    <m/>
    <n v="1000"/>
    <m/>
    <m/>
    <m/>
    <m/>
    <m/>
    <m/>
    <m/>
    <d v="2018-11-05T00:00:00"/>
    <n v="5"/>
    <x v="12"/>
    <x v="3"/>
  </r>
  <r>
    <s v="MARIA CAROLINA ALVES RODRIGUES COLOMBO"/>
    <n v="326064977"/>
    <s v="271015728-47"/>
    <s v="11 45619215"/>
    <s v="AV.GIOVANI GRONCH 6829 APTO 242 BEIJO FLOR "/>
    <s v="VILA ANDRADE"/>
    <s v="SÃO PAULO"/>
    <s v="05724-005"/>
    <m/>
    <s v="PIT"/>
    <n v="1"/>
    <d v="2016-09-02T00:00:00"/>
    <n v="2"/>
    <x v="5"/>
    <x v="7"/>
    <m/>
    <n v="380"/>
    <n v="2280"/>
    <m/>
    <m/>
    <s v="EMITIDO BOLETO JUL A DEZ18"/>
    <m/>
    <m/>
    <m/>
    <d v="2018-10-09T00:00:00"/>
    <n v="9"/>
    <x v="11"/>
    <x v="3"/>
  </r>
  <r>
    <s v="ROSELI APARECIDA DE MIRANDA"/>
    <s v="55.606.291-7"/>
    <s v="483.650.331-00"/>
    <s v="11 2013-2147"/>
    <s v="RUA JOSE APOLONIO 36 "/>
    <s v="FAZENDA DA JUTA"/>
    <s v="SÃO PAULO"/>
    <s v="03977-755"/>
    <s v="rosely.miranda@uol.com.br"/>
    <s v="VALENTINA"/>
    <n v="1"/>
    <d v="2017-08-15T00:00:00"/>
    <n v="15"/>
    <x v="3"/>
    <x v="8"/>
    <m/>
    <n v="480"/>
    <n v="2880"/>
    <m/>
    <m/>
    <s v="EMITIDO BOLETO JUL A DEZ18"/>
    <m/>
    <m/>
    <m/>
    <d v="2018-10-04T00:00:00"/>
    <n v="4"/>
    <x v="11"/>
    <x v="3"/>
  </r>
  <r>
    <s v="FRANCISCO DE ASSIS RIBEIRA"/>
    <n v="7560264"/>
    <s v="815.443.088-68"/>
    <s v="11 9 7515-5185"/>
    <s v="RUA SÃO JORGE, 604 APTO 125 B "/>
    <s v="SANTO ANTONIO"/>
    <s v="SÃO CAETANO SO SUL"/>
    <s v="09530-250"/>
    <s v="assiste@assisteconsultoria.com.br"/>
    <s v="TOBY"/>
    <n v="1"/>
    <d v="2018-08-22T00:00:00"/>
    <n v="22"/>
    <x v="3"/>
    <x v="9"/>
    <m/>
    <n v="480"/>
    <n v="1920"/>
    <m/>
    <m/>
    <s v="EMITIDO BOLETO DE SET A DEZ18"/>
    <m/>
    <m/>
    <m/>
    <d v="2018-10-02T00:00:00"/>
    <n v="2"/>
    <x v="11"/>
    <x v="3"/>
  </r>
  <r>
    <s v="FERNANDO VON CHRISTIAN DE SZARAZPATAK"/>
    <n v="33626975"/>
    <s v="221.317.088-66"/>
    <s v="11 985420906       "/>
    <s v="JOAQUIM FLORIANO 1038 APTO 121 "/>
    <s v="ITAIM BIBI"/>
    <s v="SÃO PAULO"/>
    <n v="4534004"/>
    <s v="fvc2000@gmail.com "/>
    <s v="NYMERIA "/>
    <n v="1"/>
    <d v="2018-09-05T00:00:00"/>
    <n v="5"/>
    <x v="5"/>
    <x v="9"/>
    <m/>
    <n v="1000"/>
    <m/>
    <m/>
    <m/>
    <s v="PAGO ATE FINAL DO ADESTRAMENTO"/>
    <m/>
    <m/>
    <m/>
    <d v="2018-12-10T00:00:00"/>
    <n v="10"/>
    <x v="1"/>
    <x v="3"/>
  </r>
  <r>
    <s v="BIANCA BENTO DE OLIVEIRA RIBEIRO"/>
    <n v="32153294"/>
    <s v="291.774.178-36"/>
    <s v="11 2589-2116"/>
    <s v="AVENIDA CORONEL JOSE PIRES DE ANDRADE 847 APTO 707"/>
    <s v="VILA VERA"/>
    <s v="SÃO PAULO"/>
    <s v="04295-001"/>
    <s v="biancabentoribeiro@gmail.com  "/>
    <s v="BOB"/>
    <n v="1"/>
    <d v="2018-07-05T00:00:00"/>
    <n v="5"/>
    <x v="8"/>
    <x v="9"/>
    <m/>
    <n v="480"/>
    <n v="2400"/>
    <m/>
    <m/>
    <s v="EMITIDO BOLETO AGO E SET18"/>
    <s v="POR 03 MESES"/>
    <m/>
    <m/>
    <d v="2018-11-15T00:00:00"/>
    <n v="15"/>
    <x v="12"/>
    <x v="3"/>
  </r>
  <r>
    <s v="FRANKLIN FELICIANO DE LIMA"/>
    <n v="436862256"/>
    <s v="326.188.218-23"/>
    <s v="11 9 6905-3389"/>
    <s v="RUA ENGENHEIRO GUILHERME CRISTIANO FREND 1275 BLC 2 APTO 96"/>
    <s v="VILA ANTONIETA "/>
    <s v="SÃO PAULO"/>
    <s v="03477-000"/>
    <s v="fanfeliciano@hotmail.com    "/>
    <s v="BUD"/>
    <n v="1"/>
    <d v="2018-10-11T00:00:00"/>
    <n v="11"/>
    <x v="7"/>
    <x v="9"/>
    <m/>
    <n v="480"/>
    <m/>
    <m/>
    <s v="POR 03 MESES"/>
    <s v="EMITIDO BOLETO DE NOV E DEZ18"/>
    <m/>
    <m/>
    <m/>
    <d v="2018-12-03T00:00:00"/>
    <n v="3"/>
    <x v="1"/>
    <x v="3"/>
  </r>
  <r>
    <s v="RODRIGO MAGALHÃES GOMES"/>
    <n v="25923864"/>
    <s v="183.482.008-19"/>
    <s v="11 991329202   "/>
    <s v="RUA ANTONIETA 280"/>
    <s v="PICANÇO"/>
    <s v="GUARULHOS"/>
    <s v="07080-120"/>
    <s v="rodrigomagalhaesgomes@hotmail.com"/>
    <s v="DOLLAR"/>
    <n v="1"/>
    <d v="2018-10-30T00:00:00"/>
    <n v="30"/>
    <x v="7"/>
    <x v="9"/>
    <n v="480"/>
    <n v="480"/>
    <n v="2880"/>
    <m/>
    <m/>
    <m/>
    <m/>
    <m/>
    <m/>
    <d v="2019-01-02T00:00:00"/>
    <n v="2"/>
    <x v="2"/>
    <x v="4"/>
  </r>
  <r>
    <s v="EUN KYONG KIM"/>
    <s v="38.479.099-9"/>
    <s v="103.864.218-38"/>
    <s v="11 9 7421-3070"/>
    <s v="RUA NILO 275 APTO 22"/>
    <s v="ACLIMAÇÃO"/>
    <s v="SÃO PAULO"/>
    <s v="01533-010"/>
    <s v="ek-kim@hotmail.com"/>
    <s v="MAX"/>
    <n v="1"/>
    <d v="2018-11-01T00:00:00"/>
    <n v="1"/>
    <x v="4"/>
    <x v="9"/>
    <n v="480"/>
    <n v="480"/>
    <n v="2880"/>
    <m/>
    <s v="POR 03 MESES"/>
    <s v="EMITIDO BOLETO DE JAN19"/>
    <m/>
    <m/>
    <m/>
    <d v="2019-01-18T00:00:00"/>
    <n v="18"/>
    <x v="2"/>
    <x v="4"/>
  </r>
  <r>
    <s v="SORAYA FERREIRA KURY VIARD DE AGUIAR"/>
    <n v="527386"/>
    <s v="185.619.261-04"/>
    <s v="11 9 9958-0120"/>
    <s v="RUA ALBANO EUGENIO DAHMER 247 - CONDOMINIO PINUS PARK "/>
    <s v="GRANJA VIANA"/>
    <s v="SÃO PAULO"/>
    <s v="06710-750"/>
    <s v="sorayakuryaguiar@gmail.com        "/>
    <s v="JOE"/>
    <n v="1"/>
    <d v="2018-03-31T00:00:00"/>
    <n v="31"/>
    <x v="9"/>
    <x v="9"/>
    <n v="480"/>
    <n v="530.00001599999996"/>
    <n v="3130.0000799999998"/>
    <m/>
    <m/>
    <s v="EMITIDO BOLETO DE JAN A JUN19"/>
    <m/>
    <m/>
    <m/>
    <d v="2019-01-30T00:00:00"/>
    <n v="30"/>
    <x v="2"/>
    <x v="4"/>
  </r>
  <r>
    <s v="VANESSA MUN HEE KIM"/>
    <s v="V172174U"/>
    <s v="366077308-50"/>
    <s v="11 9 7913-4004"/>
    <s v="RUA LUIS ANTONIO DOS SANTOS 196 APTO 24"/>
    <s v="SANTA TEREZINHA"/>
    <s v="SÃO PAULO"/>
    <s v="02460-000"/>
    <s v="v.mhkim@gmail.com        "/>
    <s v="TOMMY"/>
    <n v="1"/>
    <d v="2018-08-10T00:00:00"/>
    <n v="10"/>
    <x v="3"/>
    <x v="9"/>
    <n v="480"/>
    <n v="480"/>
    <n v="2880"/>
    <m/>
    <m/>
    <s v="EMITIDO BOLETO DE JAN A JUN19"/>
    <m/>
    <m/>
    <s v="COMPRA NOSSA GOLDEN FRANGO"/>
    <d v="2019-02-04T00:00:00"/>
    <n v="4"/>
    <x v="3"/>
    <x v="4"/>
  </r>
  <r>
    <s v="LOTÚS LOGISTICA INTEGRADA LTDA"/>
    <m/>
    <s v="23.349.580/0001-22"/>
    <m/>
    <s v="RUA ROBERT BOSCH, 544 SALA 34, 3° ANDAR"/>
    <s v="PARQUE INDUSTRIAL TOMAS EDSON"/>
    <s v="SÃO PAULO"/>
    <s v="01141-010"/>
    <m/>
    <s v="TEX"/>
    <n v="1"/>
    <d v="2017-01-10T00:00:00"/>
    <n v="10"/>
    <x v="10"/>
    <x v="8"/>
    <n v="480"/>
    <n v="530.00001599999996"/>
    <n v="3130.0000799999998"/>
    <m/>
    <s v="DDA"/>
    <s v="EMITIDO BOLETO DE JAN A JUN19"/>
    <m/>
    <m/>
    <s v="FORNECE ROYAL CANIN PERFORMANCE"/>
    <d v="2019-03-07T00:00:00"/>
    <n v="7"/>
    <x v="4"/>
    <x v="4"/>
  </r>
  <r>
    <s v="ANTONIO KENTI KUSO"/>
    <n v="33149549"/>
    <n v="5696240887"/>
    <s v="11 9 7077-4608"/>
    <s v="RUA CLAUDIO MANOEL COSTA 126 JD DA INDEPENDENCIA "/>
    <s v="EMBU DAS ARTES"/>
    <s v="SÃO PAULO"/>
    <s v="?"/>
    <s v="?"/>
    <s v="THOR"/>
    <n v="1"/>
    <d v="2018-11-22T00:00:00"/>
    <n v="22"/>
    <x v="4"/>
    <x v="9"/>
    <n v="1000"/>
    <n v="1000"/>
    <m/>
    <m/>
    <s v="POR 03 MESES"/>
    <s v="Pago JAN19 Deposito"/>
    <m/>
    <m/>
    <m/>
    <d v="2019-02-21T00:00:00"/>
    <n v="21"/>
    <x v="3"/>
    <x v="4"/>
  </r>
  <r>
    <s v="KEYNES CHEN"/>
    <n v="35288056"/>
    <s v="221.074.028-25"/>
    <s v="11 9 8131-2383"/>
    <s v="RUA PAULISTANIA, 205 APTO 152 TORRE C"/>
    <s v="SUMAREZINHO"/>
    <s v="SÃO PAULO"/>
    <s v="05440-000"/>
    <s v="keynes.chen@gmail.com    "/>
    <s v="CHEZ"/>
    <n v="1"/>
    <d v="2017-11-12T00:00:00"/>
    <n v="12"/>
    <x v="4"/>
    <x v="8"/>
    <n v="480"/>
    <n v="530.00001599999996"/>
    <n v="3130.0000799999998"/>
    <m/>
    <m/>
    <s v="EMITIDO BOLETO DE JAN A JUN19"/>
    <m/>
    <m/>
    <m/>
    <d v="2019-03-30T00:00:00"/>
    <n v="30"/>
    <x v="4"/>
    <x v="4"/>
  </r>
  <r>
    <s v="VANESSA MIGUITA"/>
    <n v="284451277"/>
    <n v="26784237862"/>
    <s v="11 9 7400-0685"/>
    <s v="R. IGUATEMI, 191 "/>
    <s v="VILA ALICE"/>
    <s v="SANTO ANDRÉ "/>
    <s v="09060-340"/>
    <s v="vanessa.miguita@gmail.com"/>
    <s v="FIONA"/>
    <n v="1"/>
    <d v="2019-03-17T00:00:00"/>
    <n v="17"/>
    <x v="9"/>
    <x v="10"/>
    <m/>
    <n v="510"/>
    <m/>
    <m/>
    <m/>
    <m/>
    <m/>
    <m/>
    <m/>
    <d v="2019-04-15T00:00:00"/>
    <n v="15"/>
    <x v="5"/>
    <x v="4"/>
  </r>
  <r>
    <s v="VANESSA BARBIERI       "/>
    <n v="112594098"/>
    <s v="281205228-77"/>
    <s v="11 32665403    "/>
    <s v="ALAMEDA JOAQUIM EUGENIO DE LIMA, 881 APTO 1307"/>
    <s v="JARDIM PAULISTA"/>
    <s v="SÃO PAULO"/>
    <s v="01403-001"/>
    <s v="farfallablue@uol.com.br      "/>
    <s v="ZICO"/>
    <n v="1"/>
    <d v="2015-04-20T00:00:00"/>
    <n v="20"/>
    <x v="2"/>
    <x v="6"/>
    <n v="480"/>
    <n v="530.00001599999996"/>
    <n v="3130.0000799999998"/>
    <m/>
    <m/>
    <s v="EMITIDO BOLETO DE JAN A JUN19"/>
    <m/>
    <m/>
    <m/>
    <d v="2019-03-10T00:00:00"/>
    <n v="10"/>
    <x v="4"/>
    <x v="4"/>
  </r>
  <r>
    <s v="CAROLINA JUSTI MARTINELLI"/>
    <n v="318099470"/>
    <s v="305.002.798.37"/>
    <s v="11 9 8421-2777"/>
    <s v="RUA FREDERICO ABRANCHES 79 APTO 14"/>
    <s v="VILA BUARQUE"/>
    <s v="SÃO PAULO"/>
    <s v="01225-001"/>
    <s v="caroljusti@hotmail.com"/>
    <s v="JAMES"/>
    <n v="1"/>
    <d v="2018-01-18T00:00:00"/>
    <n v="18"/>
    <x v="10"/>
    <x v="9"/>
    <n v="480"/>
    <n v="530.00001599999996"/>
    <n v="3130.0000799999998"/>
    <m/>
    <m/>
    <s v="EMITIDO BOLETO DE JAN A JUN19"/>
    <m/>
    <m/>
    <m/>
    <d v="2019-04-15T00:00:00"/>
    <n v="15"/>
    <x v="5"/>
    <x v="4"/>
  </r>
  <r>
    <s v="REBECA NEWLANDS PEREYRA"/>
    <n v="35039681"/>
    <s v="378.229.178-62"/>
    <s v="19 9 8253-1993"/>
    <s v="AVENIDA ALDINO PINOTTI, 601 APTO 172 BLC 3"/>
    <s v="CENTRO"/>
    <s v="São Bernardo do Campo"/>
    <n v="9750220"/>
    <s v="rebecanew3@hotmail.com"/>
    <s v="DARTANHA"/>
    <n v="1"/>
    <d v="2018-11-21T00:00:00"/>
    <n v="21"/>
    <x v="4"/>
    <x v="9"/>
    <n v="450"/>
    <n v="450"/>
    <n v="900"/>
    <m/>
    <s v="POR 04 MESES"/>
    <s v="EMITIDO BOLETO DE MAR A ABR19"/>
    <m/>
    <m/>
    <m/>
    <d v="2019-05-21T00:00:00"/>
    <n v="21"/>
    <x v="6"/>
    <x v="4"/>
  </r>
  <r>
    <s v="BERNADETE AP.B.BORGES"/>
    <n v="4434950243"/>
    <n v="10500110"/>
    <s v="11 55816564    "/>
    <s v="RUA APOTRIBÚ N° 150 APTO 181 B"/>
    <s v="SAÚDE"/>
    <s v="SÃO PAULO"/>
    <s v="04302-000"/>
    <s v="bernadete_borges@hotmail.com"/>
    <s v="CHESTER"/>
    <n v="1"/>
    <d v="2019-02-23T00:00:00"/>
    <n v="23"/>
    <x v="6"/>
    <x v="10"/>
    <m/>
    <n v="1000"/>
    <n v="2000"/>
    <m/>
    <m/>
    <s v="EMITIDO BOLETO DE MAR E ABR/19"/>
    <m/>
    <m/>
    <m/>
    <d v="2019-05-30T00:00:00"/>
    <n v="30"/>
    <x v="6"/>
    <x v="4"/>
  </r>
  <r>
    <s v="IVAN DE CASTRO DUARTE MARTINS"/>
    <n v="6234133"/>
    <s v="24945948-55"/>
    <s v="19 9 9787-4729"/>
    <s v="RUA FLORINDA MARTINUCCI ROMANETTI, 11 VILLAGE VISCONDE DE IMATARACÁ "/>
    <s v="RECREIO DOS CAZEZAIS"/>
    <s v="VALINHOS"/>
    <s v="13278-370"/>
    <s v="ivandecastro@terra.com.br"/>
    <s v="BUZZ"/>
    <n v="1"/>
    <d v="2019-03-24T00:00:00"/>
    <n v="24"/>
    <x v="9"/>
    <x v="10"/>
    <m/>
    <n v="530"/>
    <n v="1590"/>
    <m/>
    <s v="POR 03 MESES"/>
    <s v="EMITIDO BOLETO DE ABR A JUN19"/>
    <m/>
    <m/>
    <m/>
    <d v="2019-06-08T00:00:00"/>
    <n v="8"/>
    <x v="7"/>
    <x v="4"/>
  </r>
  <r>
    <s v="JULIA DUARTE BORGES COELHO"/>
    <s v="9026767-9"/>
    <s v="034.996.238-38"/>
    <s v="11 2362-3726"/>
    <s v="RUA CAMANDULAS 112 APTO 91 "/>
    <s v="VILA LEOPOLDINA"/>
    <s v="SÃO PAULO"/>
    <s v="05303-030"/>
    <s v="judbcoelho@gmail.com"/>
    <s v="PRINCESA"/>
    <n v="1"/>
    <d v="2019-04-05T00:00:00"/>
    <n v="5"/>
    <x v="2"/>
    <x v="10"/>
    <m/>
    <n v="530"/>
    <n v="1060"/>
    <m/>
    <m/>
    <s v="EMITIDO BOLETO DE MAI A JUN19"/>
    <m/>
    <m/>
    <m/>
    <d v="2019-06-08T00:00:00"/>
    <n v="8"/>
    <x v="7"/>
    <x v="4"/>
  </r>
  <r>
    <s v="CARLOS ALBERTO XAVIER DA CUNHA "/>
    <n v="2000031111697"/>
    <s v="054787604-12"/>
    <s v="11 9 87860660"/>
    <s v="ALAMEDA MONTE PASCOAL 109 RESIDENCIAL ALPHASITO"/>
    <s v="TAMBORE"/>
    <s v="SANTANA DE PARNAIBA"/>
    <s v="06544-420"/>
    <s v="carlosxcunha@hotmail.com"/>
    <s v="SEBASTIAN E MAYA"/>
    <n v="2"/>
    <d v="2019-03-21T00:00:00"/>
    <n v="21"/>
    <x v="9"/>
    <x v="10"/>
    <m/>
    <n v="1900"/>
    <n v="3800"/>
    <m/>
    <m/>
    <s v="EMITIDO BOLETO DE ABR E MAI19"/>
    <m/>
    <m/>
    <m/>
    <d v="2019-07-08T00:00:00"/>
    <n v="8"/>
    <x v="8"/>
    <x v="4"/>
  </r>
  <r>
    <s v="SILVIA REGINA RIVITI"/>
    <s v="23371028-0"/>
    <s v="123.967.398-16"/>
    <m/>
    <s v="RUA RIO GRANDE DO SUL 89 APTO 15 "/>
    <s v="CARAPICUIBA"/>
    <s v="SÃO PAULO"/>
    <s v="06325-050"/>
    <s v="juliana.riviti@gmail.com      "/>
    <s v="OZZY"/>
    <n v="1"/>
    <d v="2019-02-21T00:00:00"/>
    <n v="21"/>
    <x v="6"/>
    <x v="10"/>
    <m/>
    <n v="645"/>
    <n v="3870"/>
    <m/>
    <s v="COM RAÇÃO "/>
    <s v="EMITIDO BOLETO DE JUL A DEZ 19"/>
    <m/>
    <m/>
    <m/>
    <d v="2019-07-20T00:00:00"/>
    <n v="20"/>
    <x v="8"/>
    <x v="4"/>
  </r>
  <r>
    <s v="DANIEL ROLIM SAHAGOFF"/>
    <s v=" 7.735.462-X"/>
    <s v="014.714.808-10"/>
    <s v="11 30783445"/>
    <s v="RUA MANOEL GUEDES 474"/>
    <s v="ITAIM BIBI"/>
    <s v="SÃO PAULO"/>
    <s v="04536-070"/>
    <s v="daniel@cantaloup.com.br"/>
    <s v="OLIVER E SAM"/>
    <n v="2"/>
    <d v="2017-10-06T00:00:00"/>
    <n v="6"/>
    <x v="7"/>
    <x v="8"/>
    <n v="850"/>
    <n v="938.541695"/>
    <n v="5631.2501700000003"/>
    <m/>
    <n v="88.541695000000004"/>
    <s v="EMITIDO BOLETO DE JUL A DEZ19"/>
    <m/>
    <m/>
    <m/>
    <d v="2019-07-13T00:00:00"/>
    <n v="13"/>
    <x v="8"/>
    <x v="4"/>
  </r>
  <r>
    <s v="VANESSA MUN HEE KIM"/>
    <s v="V172174U"/>
    <s v="366.077.308-50"/>
    <s v="11 99727-8050"/>
    <s v="RUA LUIS ANTONIO DOS SANTOS 196 APTO 24"/>
    <s v="SANTA TEREZINHA"/>
    <s v="SÃO PAULO"/>
    <s v="02460-000"/>
    <s v="v.mhkim@gmail.com        "/>
    <s v="TOMMY"/>
    <n v="1"/>
    <d v="2019-03-30T00:00:00"/>
    <n v="30"/>
    <x v="9"/>
    <x v="10"/>
    <m/>
    <n v="510"/>
    <n v="3060"/>
    <m/>
    <m/>
    <s v="EMITIDO BOLETO DE JUL A DEZ19"/>
    <m/>
    <m/>
    <s v="COMPRA NOSSA GOLDEN FRANGO"/>
    <d v="2019-07-13T00:00:00"/>
    <n v="13"/>
    <x v="8"/>
    <x v="4"/>
  </r>
  <r>
    <s v="FRANKLIN FELICIANO DE LIMA"/>
    <n v="436862256"/>
    <s v="326.188.218-23"/>
    <s v="11 9 6905-3389"/>
    <s v="RUA ENGENHEIRO GUILHERME CRISTIANO FREND 1275 BLC 2 APTO 96"/>
    <s v="VILA ANTONIETA "/>
    <s v="SÃO PAULO"/>
    <n v="3477000"/>
    <s v="fanfeliciano@hotmail.com    "/>
    <s v="BUD"/>
    <n v="1"/>
    <d v="2018-10-11T00:00:00"/>
    <n v="11"/>
    <x v="7"/>
    <x v="9"/>
    <m/>
    <n v="530"/>
    <m/>
    <m/>
    <m/>
    <m/>
    <m/>
    <m/>
    <m/>
    <d v="2019-07-18T00:00:00"/>
    <n v="18"/>
    <x v="8"/>
    <x v="4"/>
  </r>
  <r>
    <s v="OSVALDO AOYAGUI"/>
    <s v="8.602.760-8"/>
    <s v="528.980.918-04"/>
    <s v="11 25396626"/>
    <s v="RUA GUIBATINGA 1088 APTO 61 "/>
    <s v="CHACARA INGLESA"/>
    <s v="SÃO PAULO"/>
    <s v="04141-001"/>
    <m/>
    <s v="IGOR"/>
    <n v="1"/>
    <d v="2016-07-23T00:00:00"/>
    <n v="23"/>
    <x v="8"/>
    <x v="7"/>
    <n v="495"/>
    <n v="534.58000000000004"/>
    <n v="3207.4800000000005"/>
    <m/>
    <m/>
    <s v="EMITIDO BOLETO DE JUL A DEZ 19"/>
    <m/>
    <m/>
    <m/>
    <d v="2019-08-07T00:00:00"/>
    <n v="7"/>
    <x v="9"/>
    <x v="4"/>
  </r>
  <r>
    <s v="EDVALDO RODRIGO TOFOLO"/>
    <n v="25836697"/>
    <s v="137.804.048-18"/>
    <s v="11 9 8536-5239"/>
    <s v="AV. DOS PIONEIROS, 455 CA 30"/>
    <s v="PQ. VILLA FLORES"/>
    <s v="SUMARÉ/SP"/>
    <s v="13175-668"/>
    <s v="elaine.tofolo@bosch.com"/>
    <s v="KATE"/>
    <n v="1"/>
    <d v="2018-05-12T00:00:00"/>
    <n v="12"/>
    <x v="0"/>
    <x v="9"/>
    <n v="480"/>
    <n v="530.00001599999996"/>
    <n v="3180.0000959999998"/>
    <m/>
    <m/>
    <s v="EMITIDO BOLETO DE JUL A DEZ19"/>
    <m/>
    <m/>
    <m/>
    <d v="2019-08-07T00:00:00"/>
    <n v="7"/>
    <x v="9"/>
    <x v="4"/>
  </r>
  <r>
    <s v="ALAN ROBERTO DOS SANTOS LEME"/>
    <n v="34902877"/>
    <s v="403.551.638-45"/>
    <s v="11 99622860"/>
    <s v="RUA MANOEL DA NOBREGA 435 APTO 122 A CENTRO"/>
    <s v="DIADEMA"/>
    <s v="SÃO PAULO"/>
    <s v="09910-720"/>
    <s v="leme-alan@gmail.com"/>
    <s v="LUKE"/>
    <n v="1"/>
    <d v="2017-03-13T00:00:00"/>
    <n v="13"/>
    <x v="9"/>
    <x v="8"/>
    <n v="555.5"/>
    <n v="605.5"/>
    <n v="3633"/>
    <m/>
    <m/>
    <s v="AGUARDANDO DEFINIÇÃO SE IRA SAIR EM JULHO"/>
    <m/>
    <m/>
    <m/>
    <d v="2019-07-15T00:00:00"/>
    <n v="15"/>
    <x v="8"/>
    <x v="4"/>
  </r>
  <r>
    <s v="DANILO AUGUSTO DA COSTA CRUZ"/>
    <n v="43749652"/>
    <s v="334.994.918-50"/>
    <s v="11 39832183"/>
    <s v="RUA FERNANDO PESSOA 505"/>
    <s v="VILA DIONISIA "/>
    <s v="SÃO PAULO"/>
    <s v="02670-000"/>
    <s v="dekabi0816@hotmail.com"/>
    <s v="PAÇOCA"/>
    <n v="1"/>
    <d v="2019-03-02T00:00:00"/>
    <n v="2"/>
    <x v="9"/>
    <x v="10"/>
    <m/>
    <n v="530"/>
    <n v="3180"/>
    <m/>
    <m/>
    <s v="EMITIDO BOLETO DE JUL A DEZ19"/>
    <m/>
    <m/>
    <m/>
    <d v="2019-08-20T00:00:00"/>
    <n v="20"/>
    <x v="9"/>
    <x v="4"/>
  </r>
  <r>
    <s v="CARLOS ALBERTO XAVIER DA CUNHA "/>
    <n v="2000031111697"/>
    <s v="054787604-12"/>
    <s v="11 9 87860660"/>
    <s v="ALAMEDA MONTE PASCOAL 109 RESIDENCIAL ALPHASITO"/>
    <s v="TAMBORE"/>
    <s v="SANTANA DE PARNAIBA"/>
    <s v="06544-420"/>
    <s v="carlosxcunha@hotmail.com"/>
    <s v="SEBASTIAN"/>
    <n v="1"/>
    <d v="2019-08-06T00:00:00"/>
    <n v="6"/>
    <x v="3"/>
    <x v="10"/>
    <m/>
    <n v="500"/>
    <n v="1500"/>
    <m/>
    <m/>
    <s v="EMITIDO BOLETO AGO a OUT 19"/>
    <m/>
    <m/>
    <m/>
    <d v="2019-10-08T00:00:00"/>
    <n v="8"/>
    <x v="11"/>
    <x v="4"/>
  </r>
  <r>
    <s v="EDUARDO NUNES VILARINHO"/>
    <n v="436982444"/>
    <s v="339678418-98"/>
    <s v="11 9276-4942    "/>
    <s v="AVENIDA ANGELICA N°2190 APTO 125  "/>
    <s v="CONSOLAÇÃO"/>
    <s v="SÃO PAULO"/>
    <s v="01228-200"/>
    <s v="eduardvilarinho@uol.com.br  "/>
    <s v="BACO"/>
    <n v="1"/>
    <d v="2012-06-16T00:00:00"/>
    <n v="16"/>
    <x v="1"/>
    <x v="1"/>
    <n v="608.05999999999995"/>
    <n v="671.39960360199996"/>
    <n v="4028.397621612"/>
    <m/>
    <s v="DDA"/>
    <s v="EMITIDO BOLETO DE JUL A DEZ19"/>
    <m/>
    <m/>
    <m/>
    <d v="2019-10-11T00:00:00"/>
    <n v="11"/>
    <x v="11"/>
    <x v="4"/>
  </r>
  <r>
    <s v="MARCOS NÓLL BARBOZA"/>
    <s v="55.656.151-X"/>
    <s v="665.731.140/00"/>
    <s v="21 99384-4459"/>
    <s v="AV. DIOGENES RIBEIRO DE LIMA, 2361/ BLC1 A61"/>
    <s v="ALTO DE  PINHEIROS"/>
    <s v="SÃO PAULO"/>
    <s v="05458-001"/>
    <s v="noll1803@gmail.com"/>
    <s v="Ziggy"/>
    <n v="1"/>
    <d v="2019-07-22T00:00:00"/>
    <n v="22"/>
    <x v="8"/>
    <x v="10"/>
    <m/>
    <n v="530"/>
    <n v="2650"/>
    <m/>
    <m/>
    <s v="EMITIDO BOLETO DE AGO A DEZ19"/>
    <m/>
    <m/>
    <m/>
    <d v="2019-10-19T00:00:00"/>
    <n v="19"/>
    <x v="11"/>
    <x v="4"/>
  </r>
  <r>
    <s v="RENATA CRISTINA MARCILIO"/>
    <n v="229287864"/>
    <s v="191250328-01"/>
    <s v="11 3563-9037   "/>
    <s v="RUA FILIPINAS n°235 apto 2304"/>
    <s v="ALTO DA LAPA"/>
    <s v="SÃO PAULO"/>
    <s v="05083-120"/>
    <s v="renata_mar@hotmail.com    "/>
    <s v="GODOFREDO"/>
    <n v="1"/>
    <d v="2012-04-29T00:00:00"/>
    <n v="29"/>
    <x v="2"/>
    <x v="1"/>
    <n v="480"/>
    <n v="530.00001599999996"/>
    <n v="3180.0000959999998"/>
    <m/>
    <m/>
    <s v="EMITIDO BOLETO DE JUL A DEZ19"/>
    <m/>
    <m/>
    <m/>
    <d v="2019-10-25T00:00:00"/>
    <n v="25"/>
    <x v="11"/>
    <x v="4"/>
  </r>
  <r>
    <s v="FELIPE PEREIRA DA ROSA"/>
    <n v="28146792"/>
    <n v="31170973841"/>
    <s v="11 97047-9079"/>
    <s v="RUA CIPRIANO BARATA 201 APTO 56 BL 4"/>
    <s v="IPIRANGA"/>
    <s v="SÃO PAULO"/>
    <s v="04205-000"/>
    <s v="felipepereirarosa@live.com"/>
    <s v="ÁGATA"/>
    <n v="1"/>
    <d v="2019-09-06T00:00:00"/>
    <n v="6"/>
    <x v="5"/>
    <x v="10"/>
    <m/>
    <n v="530"/>
    <n v="3180"/>
    <m/>
    <m/>
    <s v="EMITIDO BOLETOS JAN A JUN20"/>
    <m/>
    <m/>
    <m/>
    <d v="2020-01-10T00:00:00"/>
    <n v="10"/>
    <x v="2"/>
    <x v="5"/>
  </r>
  <r>
    <s v="ALINE AMAND"/>
    <n v="44064069"/>
    <s v="433.536.318-44"/>
    <s v="11 997776104"/>
    <s v="RUA MOTUCA, 71 "/>
    <s v="ACLIMAÇÃO"/>
    <s v="SÃO PAULO"/>
    <s v="04109-100"/>
    <s v="alineamand13@gmail.com.br"/>
    <s v="BROWNIE"/>
    <n v="1"/>
    <d v="2017-02-15T00:00:00"/>
    <n v="15"/>
    <x v="6"/>
    <x v="8"/>
    <n v="480"/>
    <n v="530.00001599999996"/>
    <n v="3180.0000959999998"/>
    <m/>
    <m/>
    <s v="EMITIDO BOLETOS JAN A JUN20"/>
    <m/>
    <m/>
    <m/>
    <d v="2020-01-13T00:00:00"/>
    <n v="13"/>
    <x v="2"/>
    <x v="5"/>
  </r>
  <r>
    <s v="GIULIA RESENDE PINELLO"/>
    <n v="40245246"/>
    <s v="429625758-70"/>
    <s v="11 98740-0663"/>
    <s v="RUA JORGE TIBIRICA, 77 APTO 18 "/>
    <s v="VILA MARIANA"/>
    <s v="SÃO PAULO"/>
    <s v="04126-000"/>
    <s v="giuliarpinello@gmail.com"/>
    <s v="STILL"/>
    <n v="1"/>
    <d v="2019-11-15T00:00:00"/>
    <n v="15"/>
    <x v="4"/>
    <x v="10"/>
    <m/>
    <n v="450"/>
    <n v="2830"/>
    <m/>
    <m/>
    <s v="EMITIDO BOLETOS JAN A JUN20"/>
    <s v="COM COLEIRA"/>
    <m/>
    <m/>
    <d v="2020-01-20T00:00:00"/>
    <n v="20"/>
    <x v="2"/>
    <x v="5"/>
  </r>
  <r>
    <s v="RUTH KLINGENHOFF"/>
    <n v="14198867"/>
    <s v="066.204.138-03"/>
    <s v="11 4426-4095/4901-3484"/>
    <s v="RUA MURITIBA, 569 APTO 12 "/>
    <s v="VILA SCARPELLI"/>
    <s v="Santo André"/>
    <n v="9050170"/>
    <s v="salaoalegria2016@gmail.com"/>
    <s v="BOB"/>
    <n v="1"/>
    <d v="2019-09-02T00:00:00"/>
    <n v="2"/>
    <x v="5"/>
    <x v="10"/>
    <m/>
    <n v="530"/>
    <n v="3180"/>
    <m/>
    <m/>
    <s v="EMITIDO BOLETOS JAN A JUN20"/>
    <m/>
    <m/>
    <m/>
    <d v="2020-02-01T00:00:00"/>
    <n v="1"/>
    <x v="3"/>
    <x v="5"/>
  </r>
  <r>
    <s v="MAURICIO SANGER"/>
    <n v="2371429"/>
    <s v="005.868.548-00"/>
    <s v="119 8616-9327"/>
    <s v="rua paraguassu, 435 apto 121"/>
    <s v="PERDIZES          "/>
    <s v="SÃO PAULO"/>
    <s v="05006-011"/>
    <s v="mauricio.sanger1979@gmail.com"/>
    <s v="BAMBAM"/>
    <n v="1"/>
    <d v="2019-07-27T00:00:00"/>
    <n v="27"/>
    <x v="8"/>
    <x v="10"/>
    <m/>
    <n v="530"/>
    <n v="3180"/>
    <m/>
    <m/>
    <s v="EMITIDO BOLETOS JAN A JUN20"/>
    <m/>
    <m/>
    <m/>
    <d v="2020-02-07T00:00:00"/>
    <n v="7"/>
    <x v="3"/>
    <x v="5"/>
  </r>
  <r>
    <s v="LUCAS DAMIÃO MADEIRA"/>
    <n v="590129570"/>
    <s v="054.531.993-50"/>
    <s v="11 55224353 "/>
    <s v="Rua Tamandaré, 655 Ap 165"/>
    <s v="LIBERDADE"/>
    <s v="SÃO PAULO"/>
    <s v="01525-001"/>
    <s v="lucasdamiao@hotmail.com"/>
    <s v="JUNINHO"/>
    <n v="1"/>
    <d v="2018-11-05T00:00:00"/>
    <n v="5"/>
    <x v="4"/>
    <x v="9"/>
    <n v="480"/>
    <n v="530"/>
    <n v="3180"/>
    <m/>
    <m/>
    <s v="EMITIDO BOLETOS JAN A JUN20"/>
    <m/>
    <m/>
    <m/>
    <d v="2020-02-11T00:00:00"/>
    <n v="11"/>
    <x v="3"/>
    <x v="5"/>
  </r>
  <r>
    <s v="ALEXANDRE SERRÃO DE FILIPPO   "/>
    <s v="M-5.743.   "/>
    <s v="927.135.216-53"/>
    <s v="11 8134-8840  "/>
    <s v="RUA ANTONIO PACHECO VALENTE, 60 APTO 232"/>
    <s v="BROOKLIN     "/>
    <s v="SÃO PAULO"/>
    <s v="04710-130"/>
    <s v="a_filippo@uol.com.br"/>
    <s v="WILLIAN SHAKESPEARE"/>
    <n v="1"/>
    <d v="2019-12-17T00:00:00"/>
    <n v="17"/>
    <x v="11"/>
    <x v="10"/>
    <m/>
    <n v="450"/>
    <n v="2700"/>
    <m/>
    <m/>
    <s v="EMITIDO BOLETOS JAN A JUN20"/>
    <s v="POR 03 MESES"/>
    <m/>
    <m/>
    <d v="2020-02-13T00:00:00"/>
    <n v="13"/>
    <x v="3"/>
    <x v="5"/>
  </r>
  <r>
    <s v="VALQUIRIA TEIXEIRA PEREIRA"/>
    <n v="24981399"/>
    <s v="163.720.518-00"/>
    <s v="11 9 9864-9256"/>
    <s v="RUA DOMINGTON 169 PQ DELFIM VERDE"/>
    <s v="ITAPECIRICA DA SERRA"/>
    <s v="SÃO PAULO"/>
    <s v="06872-106"/>
    <s v="dravalquiria@hotmail.com    "/>
    <s v="BRISA"/>
    <n v="1"/>
    <d v="2020-01-07T00:00:00"/>
    <n v="7"/>
    <x v="10"/>
    <x v="11"/>
    <m/>
    <n v="450"/>
    <m/>
    <m/>
    <m/>
    <m/>
    <m/>
    <m/>
    <m/>
    <d v="2020-03-04T00:00:00"/>
    <n v="4"/>
    <x v="4"/>
    <x v="5"/>
  </r>
  <r>
    <s v="DEBORA GARCIA NOGUEIRA TYBA"/>
    <n v="17110905"/>
    <s v="023.264.788-78"/>
    <s v="11 99844-3392"/>
    <s v="RUA MORGADO DE MATEUS 481 APTO 21 "/>
    <s v="VILA MARIANA"/>
    <s v="SÃO PAULO"/>
    <s v="04015-051"/>
    <s v="mdturismo@terra.com.br"/>
    <s v="DEXTER E THOR"/>
    <n v="2"/>
    <d v="2019-12-07T00:00:00"/>
    <n v="7"/>
    <x v="11"/>
    <x v="10"/>
    <m/>
    <n v="1900"/>
    <n v="3800"/>
    <m/>
    <m/>
    <s v="EMITIDO BOLETOS JAN A FEV20"/>
    <s v="POR 03 MESES"/>
    <m/>
    <m/>
    <d v="2020-03-08T00:00:00"/>
    <n v="8"/>
    <x v="4"/>
    <x v="5"/>
  </r>
  <r>
    <s v="AMANDA SEQUEIRA VOCI"/>
    <s v="28.823.850-3"/>
    <s v="279.802.958-97"/>
    <s v="11 9 7397-0840"/>
    <s v="RUA CABINDA, 87 CASA 5"/>
    <s v="VILA LUCIA"/>
    <s v="SÃO PAULO"/>
    <s v="03144-040"/>
    <s v="amandavoci@uol.com.br"/>
    <s v="SUMMER"/>
    <n v="1"/>
    <d v="2019-11-04T00:00:00"/>
    <n v="4"/>
    <x v="4"/>
    <x v="10"/>
    <m/>
    <n v="530"/>
    <n v="3180"/>
    <m/>
    <m/>
    <s v="EMITIDO BOLETOS JAN A JUN20"/>
    <s v="COM RAÇÃO E COLEIRA"/>
    <m/>
    <m/>
    <d v="2020-06-05T00:00:00"/>
    <n v="5"/>
    <x v="7"/>
    <x v="5"/>
  </r>
  <r>
    <s v="DANIELE FAÇANHA DE SÁ"/>
    <n v="943797"/>
    <s v="573.713.261.72"/>
    <s v="11 9 5108-3811"/>
    <s v="RUA FREDERICO ABRANCHES 406 APTO 11"/>
    <s v="VILA BUARQUE"/>
    <s v="SÃO PAULO"/>
    <s v="01225-000"/>
    <s v="danielefacanha@gmail.com   "/>
    <s v="PIPOCA E FAROFA"/>
    <n v="2"/>
    <d v="2020-01-17T00:00:00"/>
    <n v="17"/>
    <x v="10"/>
    <x v="11"/>
    <m/>
    <n v="855"/>
    <n v="5130"/>
    <m/>
    <m/>
    <m/>
    <m/>
    <m/>
    <m/>
    <d v="2020-05-18T00:00:00"/>
    <n v="18"/>
    <x v="6"/>
    <x v="5"/>
  </r>
  <r>
    <s v="MARIA ISABEL LUCAS DIAS AFONSO"/>
    <n v="89877871"/>
    <s v="214.100.588-40"/>
    <s v="1198204-1987"/>
    <s v="RUA COM. ANGELO RINALDI   227 CASA 2        "/>
    <s v="CAMPO LIMPO "/>
    <s v="SÃO PAULO"/>
    <s v="05785-080"/>
    <s v="belafonso@hotmail.com"/>
    <s v="CINDY"/>
    <n v="1"/>
    <d v="2019-12-18T00:00:00"/>
    <n v="18"/>
    <x v="11"/>
    <x v="10"/>
    <m/>
    <n v="450"/>
    <n v="2700"/>
    <m/>
    <m/>
    <s v="EMITIDO BOLETOS JAN A JUN20"/>
    <s v="POR 03 MESES"/>
    <m/>
    <m/>
    <d v="2020-03-19T00:00:00"/>
    <n v="19"/>
    <x v="4"/>
    <x v="5"/>
  </r>
  <r>
    <s v="KELSEY KATHERINE FRIZZELL"/>
    <s v="G198741-P"/>
    <s v="237.912.778-63"/>
    <s v="11 9 20075324"/>
    <s v="RUA AGOSTINHO GOMES ,00972 BLC 04 APTO 4142"/>
    <s v="IPIRANGA"/>
    <s v="SÃO PAULO"/>
    <n v="4205050"/>
    <s v="kelsey.frizzell@gmail.com  "/>
    <s v="LEONA"/>
    <n v="1"/>
    <d v="2020-01-31T00:00:00"/>
    <n v="31"/>
    <x v="10"/>
    <x v="11"/>
    <m/>
    <n v="500"/>
    <s v="PAGO POR 03 MESES"/>
    <m/>
    <m/>
    <m/>
    <m/>
    <m/>
    <m/>
    <d v="2020-03-16T00:00:00"/>
    <n v="16"/>
    <x v="4"/>
    <x v="5"/>
  </r>
  <r>
    <s v="REBECA NEWLANDS PEREYRA"/>
    <n v="35039681"/>
    <s v="378.229.178-62"/>
    <s v="19 9 8253-1993"/>
    <s v="AVENIDA ALDINO PINOTTI, 601 APTO 172 BLC 3"/>
    <s v="CENTRO"/>
    <s v="São Bernardo do Campo"/>
    <n v="9750220"/>
    <s v="rebecanew3@hotmail.com"/>
    <s v="DARTANHA"/>
    <n v="1"/>
    <d v="2019-11-18T00:00:00"/>
    <n v="18"/>
    <x v="4"/>
    <x v="10"/>
    <m/>
    <n v="450"/>
    <n v="2700"/>
    <m/>
    <m/>
    <s v="EMITIDO BOLETOS JAN A JUN20"/>
    <s v="POR 06 MESES"/>
    <m/>
    <m/>
    <d v="2020-05-05T00:00:00"/>
    <n v="5"/>
    <x v="6"/>
    <x v="5"/>
  </r>
  <r>
    <s v="DENIS CAMARGO GAMBARO"/>
    <n v="407516165"/>
    <s v="315165448-70"/>
    <s v="11 97777-1982"/>
    <s v="AVENIDA PROFESSOR LUIZ IGNÁCIO ANHAIA MELLO 3800 APTO 163 BLC A"/>
    <s v="JARDIM INDEPENDENCIA "/>
    <s v="SÃO PAULO"/>
    <n v="3294100"/>
    <s v="denisgambaro@bol.com.br"/>
    <s v="ZYON "/>
    <n v="1"/>
    <d v="2019-11-05T00:00:00"/>
    <n v="5"/>
    <x v="4"/>
    <x v="10"/>
    <m/>
    <n v="530"/>
    <n v="3180"/>
    <m/>
    <m/>
    <s v="EMITIDO BOLETOS JAN A JUN20"/>
    <s v="COM RAÇÃO E COLEIRA"/>
    <m/>
    <m/>
    <d v="2020-06-05T00:00:00"/>
    <n v="5"/>
    <x v="7"/>
    <x v="5"/>
  </r>
  <r>
    <s v="ROBERTO THIELE"/>
    <n v="32251583"/>
    <s v="214.976.748-16"/>
    <s v="119 9484-4203"/>
    <s v="AV HORACIO LAFER 621 APTO 91"/>
    <s v="ITAIM BIBI  "/>
    <s v="SÃO PAULO"/>
    <s v="04538-083"/>
    <s v="bob.thiele@gmail.com"/>
    <s v="WILLY"/>
    <n v="1"/>
    <d v="2019-12-14T00:00:00"/>
    <n v="14"/>
    <x v="11"/>
    <x v="10"/>
    <m/>
    <n v="1000"/>
    <n v="2000"/>
    <m/>
    <m/>
    <s v="EMITIDO BOLETOS JAN A FEV20"/>
    <s v="POR 03 MESES"/>
    <m/>
    <m/>
    <d v="2020-06-13T00:00:00"/>
    <n v="13"/>
    <x v="7"/>
    <x v="5"/>
  </r>
  <r>
    <s v="ANA PAULA ALVES LIMEIRA "/>
    <n v="34696046"/>
    <s v="344.213.098-00"/>
    <s v="11 9 7623-2814"/>
    <s v="AV DOS OURIVES 530 BLC 7 APTO 32 "/>
    <s v="JARDIM SÃO SAVERIO"/>
    <s v="SÃO PAULO"/>
    <n v="4194260"/>
    <s v="aplimeira@yahoo.com.br"/>
    <s v="BILLY"/>
    <n v="1"/>
    <d v="2020-03-22T00:00:00"/>
    <n v="22"/>
    <x v="9"/>
    <x v="11"/>
    <m/>
    <n v="500"/>
    <s v="PAGO POR 03 MESES"/>
    <m/>
    <m/>
    <m/>
    <m/>
    <m/>
    <m/>
    <d v="2020-06-21T00:00:00"/>
    <n v="21"/>
    <x v="7"/>
    <x v="5"/>
  </r>
  <r>
    <s v="GILBERTO TAKEO SATO"/>
    <n v="6254741"/>
    <s v="038.071.378-07"/>
    <s v="11 9 8771-7521"/>
    <s v="RUA INHAMBU, 666"/>
    <s v="MOEMA"/>
    <s v="SÃO PAULO"/>
    <s v=" 04520012"/>
    <s v="karolinepaes@outlook.com.br"/>
    <s v="SUKI E LUCKY"/>
    <n v="2"/>
    <d v="2020-05-16T00:00:00"/>
    <n v="16"/>
    <x v="0"/>
    <x v="11"/>
    <m/>
    <n v="900"/>
    <m/>
    <m/>
    <m/>
    <m/>
    <m/>
    <m/>
    <m/>
    <d v="2020-08-03T00:00:00"/>
    <n v="3"/>
    <x v="9"/>
    <x v="5"/>
  </r>
  <r>
    <s v="MARCIA DO AMARAL LOURENÇO"/>
    <n v="7730784"/>
    <s v="931.128.157-34"/>
    <s v="11 3683-5251"/>
    <s v="ALAMEDA TERRAS ALTAS, 433 CASA 74"/>
    <s v="SANTANA DO PARNAIBA        "/>
    <s v="TAMBORÉ"/>
    <s v="06544-515"/>
    <s v="marcia_mastec@hotmail.com"/>
    <s v="BISBI"/>
    <n v="1"/>
    <d v="2016-04-27T00:00:00"/>
    <n v="27"/>
    <x v="2"/>
    <x v="7"/>
    <n v="480"/>
    <n v="530.00001599999996"/>
    <n v="6360.0001919999995"/>
    <m/>
    <s v="POR 12 MESES"/>
    <s v="EMITIDO DE ABR/19 A MAR/20"/>
    <m/>
    <m/>
    <m/>
    <d v="2020-08-20T00:00:00"/>
    <n v="20"/>
    <x v="9"/>
    <x v="5"/>
  </r>
  <r>
    <s v="ROSEMARY YOOKO NAKABAYASHI KRAMER ESQUILLARO"/>
    <s v="8.543.148-5"/>
    <s v="057.181.018-76"/>
    <s v="11 991574660"/>
    <s v="RUA REGO BARROS 1208 BLC 1 APTO 53"/>
    <s v="VILA ANTONIETA "/>
    <s v="SÃO PAULO "/>
    <s v="03460-000"/>
    <s v="rosemary.esquillaro@hotmail.com    "/>
    <s v="NEGO"/>
    <n v="1"/>
    <d v="2016-12-29T00:00:00"/>
    <n v="29"/>
    <x v="11"/>
    <x v="7"/>
    <n v="480"/>
    <n v="530.00001599999996"/>
    <n v="3180.0000959999998"/>
    <m/>
    <m/>
    <s v="EMITIDO BOLETOS JAN A JUN20"/>
    <m/>
    <m/>
    <s v="FORNECE GOLDEN "/>
    <d v="2020-09-15T00:00:00"/>
    <n v="15"/>
    <x v="10"/>
    <x v="5"/>
  </r>
  <r>
    <s v="DANIELA LUCAS PEDRO"/>
    <s v="47.599.094-8"/>
    <s v="403647498-73"/>
    <s v="11 56773454 "/>
    <s v="RUA BELMIRO ZANETTI ESTEVES, 223 CASA 2"/>
    <s v="VILA MIRA"/>
    <s v="SÃO PAULO"/>
    <s v="04377-060"/>
    <s v="danishadowcat@yahoo.com.br"/>
    <s v="SUZI"/>
    <n v="1"/>
    <d v="2013-11-15T00:00:00"/>
    <n v="15"/>
    <x v="4"/>
    <x v="2"/>
    <n v="480"/>
    <n v="530.00001599999996"/>
    <n v="3180.0000959999998"/>
    <m/>
    <m/>
    <s v="EMITIDO BOLETOS JAN A JUN20"/>
    <m/>
    <m/>
    <m/>
    <d v="2020-10-03T00:00:00"/>
    <n v="3"/>
    <x v="11"/>
    <x v="5"/>
  </r>
  <r>
    <s v="CESAR AUGUSTO TRINDADE"/>
    <s v="8101353X"/>
    <s v="817.266.948-87"/>
    <s v="11 9 9979-3301"/>
    <s v="AV RAIMUNDO PEREIRA DE MAGALHÃES 3363 BLC 1 A132"/>
    <s v="JARDIM IRIS"/>
    <s v="SÃO PAULO"/>
    <s v="05145-200"/>
    <s v="catarine@uol.com.br            "/>
    <s v="NEGÃO"/>
    <n v="1"/>
    <d v="2020-04-11T00:00:00"/>
    <n v="11"/>
    <x v="2"/>
    <x v="11"/>
    <m/>
    <n v="480"/>
    <n v="2880"/>
    <m/>
    <m/>
    <m/>
    <m/>
    <m/>
    <m/>
    <d v="2020-10-13T00:00:00"/>
    <n v="13"/>
    <x v="11"/>
    <x v="5"/>
  </r>
  <r>
    <s v="FELIPE CAROLO"/>
    <n v="448965161"/>
    <s v="356.626.678-70"/>
    <s v="11 9 6310-0003    "/>
    <s v="RUA DOS INGLESES, 222 APTO 61 "/>
    <s v="MORRO DOS INGLESES"/>
    <s v="SÃO PAULO"/>
    <n v="1329000"/>
    <s v="ffcarolo@gmail.com   "/>
    <s v="BALTAZAR"/>
    <n v="1"/>
    <d v="2020-07-13T00:00:00"/>
    <n v="13"/>
    <x v="8"/>
    <x v="11"/>
    <m/>
    <n v="480"/>
    <n v="2880"/>
    <m/>
    <m/>
    <m/>
    <m/>
    <m/>
    <m/>
    <d v="2020-10-13T00:00:00"/>
    <n v="13"/>
    <x v="11"/>
    <x v="5"/>
  </r>
  <r>
    <s v="VICTOR CEBIN REGES"/>
    <s v=" 214079543"/>
    <n v="10603672701"/>
    <n v="11986666311"/>
    <s v="RUA SERRA DE BRAGAN 791 APTO 1001- "/>
    <s v="VILA GOMES CARDIM"/>
    <s v="SÃO PAULO"/>
    <s v="01529-000"/>
    <s v=" vreges@gmail.com"/>
    <s v="PRETO"/>
    <n v="1"/>
    <d v="2020-05-10T00:00:00"/>
    <n v="10"/>
    <x v="0"/>
    <x v="11"/>
    <m/>
    <n v="510"/>
    <n v="3060"/>
    <m/>
    <m/>
    <m/>
    <m/>
    <m/>
    <m/>
    <d v="2020-10-24T00:00:00"/>
    <n v="24"/>
    <x v="11"/>
    <x v="5"/>
  </r>
  <r>
    <s v="MARIA HELENA PAZ DE LIMA"/>
    <n v="79324058"/>
    <s v="861.682.668-87"/>
    <s v="112883-5028"/>
    <s v="RUA EMILIO GOELDI 00545 BLC 2 APTO 151"/>
    <s v="LAPA DE BAIXO"/>
    <s v="SÃO PAULO"/>
    <s v="05065-110"/>
    <s v="melenalima@gmail.com  "/>
    <s v="GAEL"/>
    <n v="1"/>
    <d v="2020-09-28T00:00:00"/>
    <n v="28"/>
    <x v="5"/>
    <x v="11"/>
    <m/>
    <n v="450"/>
    <n v="2700"/>
    <m/>
    <m/>
    <m/>
    <s v="SEM RAÇÃO, COM COLEIRA E VERMIFUGO"/>
    <m/>
    <m/>
    <d v="2020-11-29T00:00:00"/>
    <n v="29"/>
    <x v="12"/>
    <x v="5"/>
  </r>
  <r>
    <s v="YE LIN KIM"/>
    <s v="V3684009DIREXSP"/>
    <s v="440.618.998-05"/>
    <s v="11 9 63938309"/>
    <s v="ALAMEDA RIBEIRÃO PRETO 86 APTO 31 "/>
    <s v="BELA VISTA"/>
    <s v="SÃO PAULO"/>
    <s v="01331-000"/>
    <s v="fyelink@gmail.com    "/>
    <s v="NEMO"/>
    <n v="1"/>
    <d v="2020-11-20T00:00:00"/>
    <n v="20"/>
    <x v="4"/>
    <x v="11"/>
    <m/>
    <n v="580"/>
    <n v="580"/>
    <m/>
    <m/>
    <s v="EMITIDO BOLETO DEZ20"/>
    <s v="INCLUSO RAÇÃO MAX, COLEIRA E VERMIFUGO"/>
    <m/>
    <m/>
    <d v="2020-12-14T00:00:00"/>
    <n v="14"/>
    <x v="1"/>
    <x v="5"/>
  </r>
  <r>
    <s v="LUCIA HELENA MOURA XAVIER GARCIA"/>
    <s v="18.432.729-5"/>
    <s v="183942698-50"/>
    <s v="11 9 8100-5756"/>
    <s v="RUA DA PAZ N° 2150 APTO 104A "/>
    <s v="CHACARA SANTO ANTONIO"/>
    <s v="SÃO PAULO"/>
    <s v="04713-002"/>
    <s v="luciaxaviergarcia@gmail.com"/>
    <s v="MAGALI E CIDO"/>
    <n v="2"/>
    <d v="2015-09-17T00:00:00"/>
    <n v="17"/>
    <x v="5"/>
    <x v="6"/>
    <n v="1656.2500499999999"/>
    <n v="1750.0000468926883"/>
    <n v="10500.00028135613"/>
    <m/>
    <m/>
    <s v="EMITIDO BOLETOS JUL A DEZ20"/>
    <m/>
    <m/>
    <m/>
    <d v="2020-12-15T00:00:00"/>
    <n v="15"/>
    <x v="1"/>
    <x v="5"/>
  </r>
  <r>
    <s v="JULIANA HIBARI DOS SANTOS MORITA"/>
    <n v="43512646"/>
    <s v="318.742.448-12"/>
    <s v="11 9 7110-5541"/>
    <s v="RUA SENADOR FEIJÓ 162 "/>
    <s v="CENTRO "/>
    <s v="COTIA"/>
    <s v="06700-075"/>
    <s v="juliana_hibari@hotmail.com"/>
    <s v="TOMBA"/>
    <n v="1"/>
    <d v="2019-09-11T00:00:00"/>
    <n v="11"/>
    <x v="5"/>
    <x v="10"/>
    <n v="500"/>
    <n v="528.30188499999997"/>
    <n v="3169.81131"/>
    <m/>
    <m/>
    <s v="EMITIDO BOLETOS JUL A DEZ20"/>
    <m/>
    <m/>
    <m/>
    <d v="2020-12-18T00:00:00"/>
    <n v="18"/>
    <x v="1"/>
    <x v="5"/>
  </r>
  <r>
    <s v="LIZ ALEXANDRITA DE SOUZA BARRETO"/>
    <s v="30706867-5"/>
    <s v="355.298.618/90"/>
    <s v="11 9 7411-9191"/>
    <s v="RUA JOSE PIRAGIBE, 34 CASAB "/>
    <s v="VILA INDIANA"/>
    <s v="SÃO PAULO"/>
    <n v="5585040"/>
    <s v="l.alexandrita@gmail.com"/>
    <s v="CÉRBERUS"/>
    <n v="1"/>
    <d v="2019-11-23T00:00:00"/>
    <n v="23"/>
    <x v="4"/>
    <x v="10"/>
    <n v="500"/>
    <n v="528.30188499999997"/>
    <n v="3169.81131"/>
    <m/>
    <m/>
    <s v="EMITIDO BOLETOS JUL A DEZ20"/>
    <s v="com ração  e coleira"/>
    <m/>
    <m/>
    <d v="2020-12-21T00:00:00"/>
    <n v="21"/>
    <x v="1"/>
    <x v="5"/>
  </r>
  <r>
    <s v="WAGNER FARIAS DE ANDRADE   "/>
    <s v="8.946.325-0  "/>
    <s v="941442148-34"/>
    <s v="11 2097-3959"/>
    <s v="RUA TEIXEIRA DE MELO  n°225  APTO 224    "/>
    <s v="TATUAPE"/>
    <s v="SÃO PAULO"/>
    <s v="03067-000"/>
    <s v="andrade.nesp@gmail.com"/>
    <s v="PLUG"/>
    <n v="1"/>
    <d v="2010-10-26T00:00:00"/>
    <n v="26"/>
    <x v="7"/>
    <x v="3"/>
    <n v="618.33000000000004"/>
    <n v="653.32980910410004"/>
    <n v="3919.9788546246"/>
    <m/>
    <s v="DDA"/>
    <s v="EMITIDO BOLETOS JAN E FEV21"/>
    <m/>
    <m/>
    <m/>
    <d v="2020-12-21T00:00:00"/>
    <n v="21"/>
    <x v="1"/>
    <x v="5"/>
  </r>
  <r>
    <s v="DAIANE BATISTA FERREIRA"/>
    <n v="34945132"/>
    <s v="416.241.298-70"/>
    <s v="11 94632-5811"/>
    <s v="RUA MANAIAS 180 APTO 102 "/>
    <s v="PARQUE PRUDENT"/>
    <s v="SÃO PAULO"/>
    <s v="03140-040"/>
    <s v="financeiro.mecanicaferreira@gmail.com   "/>
    <s v="BENJAMIM"/>
    <n v="1"/>
    <d v="2020-11-19T00:00:00"/>
    <n v="19"/>
    <x v="4"/>
    <x v="11"/>
    <n v="580"/>
    <n v="580"/>
    <n v="3480"/>
    <m/>
    <m/>
    <s v="EMITIDO BOLETO JAN A JUN21"/>
    <s v="INCLUSO RAÇÃO MAX, COLEIRA E VERMIFUGO"/>
    <m/>
    <m/>
    <d v="2021-02-17T00:00:00"/>
    <n v="17"/>
    <x v="3"/>
    <x v="6"/>
  </r>
  <r>
    <s v="JULIANA BERTO SANCHEZ"/>
    <n v="505186457"/>
    <s v="442.055.748-60"/>
    <s v="1199561-7876"/>
    <s v="RUA FLÁVIO DE MELO, 00180 APTO 141 "/>
    <s v="VILA MARIANA"/>
    <s v="SÃO PAULO"/>
    <s v="04117-130"/>
    <s v="juliana.bsanchez@gmail.com"/>
    <s v="KUZCO E BABI"/>
    <n v="2"/>
    <d v="2020-12-11T00:00:00"/>
    <n v="11"/>
    <x v="11"/>
    <x v="11"/>
    <m/>
    <m/>
    <n v="960"/>
    <m/>
    <n v="1920"/>
    <m/>
    <s v="EMITIDO BOLETOS JAN E FEV21"/>
    <s v="SEM O FORNECIMENTO DE PRODUTOS"/>
    <m/>
    <d v="2021-02-26T00:00:00"/>
    <n v="26"/>
    <x v="3"/>
    <x v="6"/>
  </r>
  <r>
    <s v="ALEXANDRE SERRÃO DE FILIPPO   "/>
    <s v="M-5.743.   "/>
    <s v="927.135.216-53"/>
    <s v="11 8134-8840  "/>
    <s v="RUA ANTONIO PACHECO VALENTE, 60 APTO 232"/>
    <s v="BROOKLIN     "/>
    <s v="SÃO PAULO"/>
    <s v="04710-130"/>
    <s v="a_filippo@uol.com.br"/>
    <s v="WILLIAN SHAKESPEARE"/>
    <n v="1"/>
    <d v="2020-12-14T00:00:00"/>
    <n v="14"/>
    <x v="11"/>
    <x v="11"/>
    <m/>
    <m/>
    <n v="480"/>
    <m/>
    <n v="960"/>
    <m/>
    <s v="EMITIDO BOLETOS JAN E FEV21"/>
    <s v="SEM O FORNECIMENTO DE PRODUTOS"/>
    <m/>
    <d v="2021-03-15T00:00:00"/>
    <n v="15"/>
    <x v="4"/>
    <x v="6"/>
  </r>
  <r>
    <s v="WILLIAM SOARES REIS"/>
    <n v="43867381"/>
    <s v="355.623.728-86"/>
    <s v="11 98128-2429"/>
    <s v="AV, GUARAPIRANGA 2616 JD DAS FLORES "/>
    <s v="PARQUE ALVES DE LIMA"/>
    <s v="SÃO PAULO"/>
    <s v="04904-904"/>
    <s v="willsore@hotmail.com"/>
    <s v="ZAEL"/>
    <n v="1"/>
    <d v="2019-12-05T00:00:00"/>
    <n v="5"/>
    <x v="11"/>
    <x v="10"/>
    <m/>
    <n v="450"/>
    <n v="475.47169649999995"/>
    <m/>
    <n v="2852.8301789999996"/>
    <m/>
    <s v="EMITIDO BOLETO JAN A JUN21"/>
    <s v="Previsto sair dia 30/03"/>
    <m/>
    <d v="2021-03-30T00:00:00"/>
    <n v="30"/>
    <x v="4"/>
    <x v="6"/>
  </r>
  <r>
    <s v="ANA JULIA BERNARDES WEICKERT"/>
    <n v="552649077"/>
    <s v="056.503349-27"/>
    <s v="11 9 7575-9104"/>
    <s v="RUA FERNANDES DE ABREU 9 APTO 191"/>
    <s v="ITAIM BIBI"/>
    <s v="SÃO PAULO"/>
    <s v="04543-070"/>
    <s v="ajuliab28@gmail.com"/>
    <s v="GAIA"/>
    <n v="1"/>
    <d v="2021-03-23T00:00:00"/>
    <n v="23"/>
    <x v="9"/>
    <x v="12"/>
    <m/>
    <m/>
    <n v="480"/>
    <m/>
    <n v="1440"/>
    <s v="POR 03 MESES"/>
    <s v="EMITIDO BOLETO DE ABR A MAI21"/>
    <s v="SEM O FORNECIMENTO DE PRODUTOS"/>
    <m/>
    <d v="2021-03-29T00:00:00"/>
    <n v="29"/>
    <x v="4"/>
    <x v="6"/>
  </r>
  <r>
    <s v="ANA PAULA DE OLIVEIRA VIEIRA"/>
    <s v="50320046-3"/>
    <s v="042486506-81"/>
    <s v="11 3763-3068"/>
    <s v="RUA EULO MARONI N°171 BLC05 APTO 31"/>
    <s v="VILA LAGEADO"/>
    <s v="SÃO PAULO"/>
    <s v="05338-100"/>
    <s v="apovieira@yahoo.com"/>
    <s v="BILLY"/>
    <n v="1"/>
    <d v="2011-06-21T00:00:00"/>
    <n v="21"/>
    <x v="1"/>
    <x v="0"/>
    <n v="975.88"/>
    <n v="1077.5341991959999"/>
    <n v="1138.5266971744245"/>
    <m/>
    <n v="6831.160183046547"/>
    <m/>
    <s v="EMITIDO BOLETO JAN A JUN21"/>
    <m/>
    <m/>
    <d v="2021-04-13T00:00:00"/>
    <n v="13"/>
    <x v="5"/>
    <x v="6"/>
  </r>
  <r>
    <s v="DANIEL SIQUEIRA LOPES"/>
    <n v="437437826"/>
    <s v="223310228-28"/>
    <s v="119 8626-6996"/>
    <s v="RUA DAVID MATARAZZO 77 APTO 126 "/>
    <s v="JARDIM MONTE KEMEL "/>
    <s v="SÃO PAULO"/>
    <s v="05633-090"/>
    <s v="danielsiqueiralopes@gmail.com"/>
    <s v="FRED E ELZA"/>
    <n v="2"/>
    <d v="2019-12-28T00:00:00"/>
    <n v="28"/>
    <x v="11"/>
    <x v="10"/>
    <m/>
    <n v="900"/>
    <n v="950.9433929999999"/>
    <m/>
    <n v="5705.6603579999992"/>
    <m/>
    <s v="EMITIDO BOLETO JAN A JUN21"/>
    <m/>
    <m/>
    <d v="2021-05-03T00:00:00"/>
    <n v="3"/>
    <x v="6"/>
    <x v="6"/>
  </r>
  <r>
    <s v="DANIEL MACHADO RODRIGUES"/>
    <n v="2265206"/>
    <s v="000.441.281-85"/>
    <s v="11 9 9135-3773"/>
    <s v="AV GIOVANNI GRONCHI, 4381 APTO 176 "/>
    <s v="VILA ANDRADE"/>
    <s v="SÃO PAULO"/>
    <s v="05724-005"/>
    <s v="daniel.m.rodrigues@outlook.com"/>
    <s v="CAETANO"/>
    <n v="1"/>
    <d v="2021-04-20T00:00:00"/>
    <n v="20"/>
    <x v="2"/>
    <x v="12"/>
    <m/>
    <m/>
    <n v="480"/>
    <m/>
    <n v="960"/>
    <m/>
    <s v="EMITIDO BOLETO MAI A JUN21"/>
    <m/>
    <m/>
    <d v="2021-05-15T00:00:00"/>
    <n v="15"/>
    <x v="6"/>
    <x v="6"/>
  </r>
  <r>
    <s v="ARLINDO GUIMARÃES NETO"/>
    <n v="4960480"/>
    <s v="255.012.088-49"/>
    <s v="11 3079-5182"/>
    <s v="RUA PEDROSO ALVARENGA, 85 APTO 123 "/>
    <s v="ITAIM BIBI"/>
    <s v="SÃO PAULO"/>
    <s v="04531-010"/>
    <s v="mlsg4583@hotmail.com"/>
    <s v="FREDERICO"/>
    <n v="1"/>
    <d v="2018-05-30T00:00:00"/>
    <n v="30"/>
    <x v="0"/>
    <x v="9"/>
    <n v="480"/>
    <n v="530.00001599999996"/>
    <n v="560.0000150056602"/>
    <m/>
    <n v="3360.000090033961"/>
    <m/>
    <s v="EMITIDO BOLETO JAN A JUN21"/>
    <m/>
    <m/>
    <d v="2021-05-26T00:00:00"/>
    <n v="26"/>
    <x v="6"/>
    <x v="6"/>
  </r>
  <r>
    <s v="DALVA MARIA DE CARVALHO"/>
    <n v="13608006"/>
    <s v="012.631.778.08"/>
    <s v="11 9 9943-5233"/>
    <s v="AL. DOS ANAPURUS 1370 APTO 92"/>
    <s v="INDIANAPOLIS"/>
    <s v="SÃO PAULO"/>
    <s v="04087-004"/>
    <s v="dalva_mcar@yahoo.com.br"/>
    <s v="CARAMELO"/>
    <n v="1"/>
    <d v="2018-02-16T00:00:00"/>
    <n v="16"/>
    <x v="6"/>
    <x v="9"/>
    <n v="480"/>
    <n v="530.00001599999996"/>
    <n v="560.0000150056602"/>
    <m/>
    <n v="3360.000090033961"/>
    <m/>
    <s v="EMITIDO BOLETO JAN A JUN21"/>
    <m/>
    <m/>
    <d v="2021-05-30T00:00:00"/>
    <n v="30"/>
    <x v="6"/>
    <x v="6"/>
  </r>
  <r>
    <s v="AMANDA GONÇALVES MATTOS DOS SANTOS "/>
    <n v="44954355"/>
    <n v="37834352857"/>
    <s v="1197994-6697"/>
    <s v="RUA EUGENIO DE FREITAS, 371 BLC A APTO 105"/>
    <s v="VILA GUILHERME "/>
    <s v="SÃO PAULO"/>
    <n v="2060000"/>
    <s v="amanda_demattos@hotmail.com"/>
    <s v="PATRICK"/>
    <n v="1"/>
    <d v="2018-01-02T00:00:00"/>
    <n v="2"/>
    <x v="10"/>
    <x v="9"/>
    <n v="480"/>
    <n v="516.25"/>
    <n v="545.47169626250002"/>
    <m/>
    <n v="3272.8301775750001"/>
    <m/>
    <s v="Pago semestre a vista"/>
    <m/>
    <m/>
    <d v="2021-06-08T00:00:00"/>
    <n v="8"/>
    <x v="7"/>
    <x v="6"/>
  </r>
  <r>
    <s v="AMANDA SEQUEIRA VOCI"/>
    <n v="28823580"/>
    <s v="279.802.958/97"/>
    <s v="11 97397-0840"/>
    <s v="RUA CABINDA, 87 CASA 5 "/>
    <s v="VILA LUCIA"/>
    <s v="SÃO PAULO"/>
    <s v="03144-040"/>
    <s v="amandavoci@uol.com.br"/>
    <s v="SUMMER"/>
    <n v="1"/>
    <d v="2020-12-05T00:00:00"/>
    <n v="5"/>
    <x v="11"/>
    <x v="11"/>
    <m/>
    <n v="480"/>
    <n v="480"/>
    <m/>
    <n v="2880"/>
    <m/>
    <s v="EMITIDO BOLETO JAN A JUN21"/>
    <s v="SEM O FORNECIMENTO DE PRODUTOS"/>
    <m/>
    <d v="2021-06-08T00:00:00"/>
    <n v="8"/>
    <x v="7"/>
    <x v="6"/>
  </r>
  <r>
    <s v="MARCO ANTONIO DE CARVALHO"/>
    <n v="539229"/>
    <s v="625.743.618-49"/>
    <s v=" 61 9976-5149"/>
    <s v="RUA OSVALDO CRUZ 447 CASA 07 "/>
    <s v="BOQUEIRÃO"/>
    <s v="SANTOS"/>
    <s v="11045-101"/>
    <s v="marcocarvalho0203@gmail.com"/>
    <s v="GATÃO"/>
    <n v="1"/>
    <d v="2018-10-25T00:00:00"/>
    <n v="25"/>
    <x v="7"/>
    <x v="9"/>
    <n v="480"/>
    <n v="780"/>
    <n v="824.1509405999999"/>
    <m/>
    <n v="4944.9056435999992"/>
    <m/>
    <m/>
    <s v="COM RAÇÃO ROYAL CANIN INCLUSO"/>
    <m/>
    <d v="2021-06-28T00:00:00"/>
    <n v="28"/>
    <x v="7"/>
    <x v="6"/>
  </r>
  <r>
    <s v="LIGIA FUMIKO MINAMI"/>
    <n v="9676700"/>
    <s v="879622258-15"/>
    <s v="11 3341-7598 "/>
    <s v="Rua Loureiro da Cruz, 354 apto 22-Aclimação"/>
    <s v="ACLIMAÇÃO"/>
    <s v="SÃO PAULO"/>
    <s v="01529-020"/>
    <s v="ligia.gepe@gmail.com&gt;"/>
    <s v="MILLIE"/>
    <n v="1"/>
    <d v="2010-11-05T00:00:00"/>
    <n v="5"/>
    <x v="4"/>
    <x v="3"/>
    <n v="912"/>
    <n v="530"/>
    <n v="559.99999809999997"/>
    <m/>
    <n v="3359.9999885999996"/>
    <m/>
    <s v="EMITIDO BOLETO JUL A DEZ21"/>
    <m/>
    <m/>
    <d v="2021-07-03T00:00:00"/>
    <n v="3"/>
    <x v="8"/>
    <x v="6"/>
  </r>
  <r>
    <s v="BRUNO HENRIQUE PATARO DE OLIVEIRA   "/>
    <n v="482013758"/>
    <s v="406.478.748-06"/>
    <s v="11 97260-1386 "/>
    <s v="AVENIDA SARAH VELOSO  BLOCO 11, AP 92 CONDOMINIO ELDORADO  "/>
    <s v="JARDIM VELOSO   "/>
    <s v="SÃO PAULO"/>
    <n v="6150000"/>
    <s v="bruno.pataro@hotmail.com         "/>
    <s v="TEVEZ"/>
    <n v="1"/>
    <d v="2020-06-16T00:00:00"/>
    <n v="16"/>
    <x v="1"/>
    <x v="11"/>
    <m/>
    <n v="480"/>
    <n v="507.16980959999995"/>
    <m/>
    <n v="3043.0188575999996"/>
    <m/>
    <s v="EMITIDO BOLETO JUL A DEZ21"/>
    <m/>
    <m/>
    <d v="2021-07-10T00:00:00"/>
    <n v="10"/>
    <x v="8"/>
    <x v="6"/>
  </r>
  <r>
    <s v="CAROLINE XAVIER ADESCENCO"/>
    <n v="495103317"/>
    <n v="40683721879"/>
    <s v="11 9 8605-7708"/>
    <s v="RUA SERRA DO JAPI 320  BLC 1 APTO 123    "/>
    <s v="VILA GOMES CARDIM"/>
    <s v="SÃO PAULO"/>
    <n v="3309000"/>
    <s v="caroline.adescenco@gmail.com     "/>
    <s v="CHOCOLATE"/>
    <n v="1"/>
    <d v="2020-04-18T00:00:00"/>
    <n v="18"/>
    <x v="2"/>
    <x v="11"/>
    <m/>
    <n v="460"/>
    <n v="486.03773419999999"/>
    <m/>
    <n v="2916.2264052"/>
    <m/>
    <s v="EMITIDO BOLETO JUL A DEZ21"/>
    <m/>
    <m/>
    <d v="2021-07-16T00:00:00"/>
    <n v="16"/>
    <x v="8"/>
    <x v="6"/>
  </r>
  <r>
    <s v="LILIA RITA CLAROS MERCADO GARDIANO"/>
    <n v="180650075"/>
    <s v="028.475.678-44"/>
    <s v="11 98224-2219"/>
    <s v="RUA VITORINO ALVES MOITINHO 50 CASA 31"/>
    <s v="VILA SÃO SILVESTRE"/>
    <s v="SÃO PAULO"/>
    <s v="05386-340"/>
    <s v="liligardiano@gmail.com    "/>
    <s v="CHARLES PIPO"/>
    <n v="1"/>
    <d v="2020-11-07T00:00:00"/>
    <n v="7"/>
    <x v="4"/>
    <x v="11"/>
    <m/>
    <n v="560"/>
    <n v="560"/>
    <m/>
    <n v="3360"/>
    <m/>
    <s v="EMITIDO BOLETO JUL A DEZ21"/>
    <s v="INCLUSO RAÇÃO MAX E VERMIFUGO"/>
    <m/>
    <d v="2021-09-04T00:00:00"/>
    <n v="4"/>
    <x v="10"/>
    <x v="6"/>
  </r>
  <r>
    <s v="ELISANGELA T. DE ARAUJO TOLOSA"/>
    <n v="25067839"/>
    <s v="190.693.078-39"/>
    <s v="11 99497-9467"/>
    <s v="RUA MOISES MARX 220 CS 04 "/>
    <s v="VL ARICANDUVA"/>
    <s v="SÃO PAULO"/>
    <s v="03507-000"/>
    <s v="ellisaraujo@hotmail.com"/>
    <s v="LOLO"/>
    <n v="1"/>
    <d v="2021-06-22T00:00:00"/>
    <n v="22"/>
    <x v="1"/>
    <x v="12"/>
    <m/>
    <m/>
    <n v="560"/>
    <m/>
    <n v="3476"/>
    <s v="POR 03 MESES"/>
    <m/>
    <s v="SEM O FORNECIMENTO DE PRODUTOS"/>
    <m/>
    <d v="2021-09-17T00:00:00"/>
    <n v="17"/>
    <x v="10"/>
    <x v="6"/>
  </r>
  <r>
    <s v="JONAS EDUARDO PEREIRA"/>
    <n v="39968212"/>
    <s v="388.849.948-88"/>
    <m/>
    <s v="RUA DAS PALMEIRAS, 215 APTO 143 TORRE 1 "/>
    <s v="GOPOAVA"/>
    <s v="GUARULHOS "/>
    <s v="07022-000"/>
    <s v="jonasepereira6@gmail.com                                    "/>
    <s v="NICK"/>
    <n v="1"/>
    <d v="2021-04-25T00:00:00"/>
    <n v="25"/>
    <x v="2"/>
    <x v="12"/>
    <m/>
    <m/>
    <n v="480"/>
    <m/>
    <n v="2880"/>
    <m/>
    <s v="EMITIDO BOLETO JUL A DEZ21"/>
    <m/>
    <m/>
    <d v="2021-09-25T00:00:00"/>
    <n v="25"/>
    <x v="10"/>
    <x v="6"/>
  </r>
  <r>
    <s v="GEORGIA PIGHINI PACHECO"/>
    <n v="141896760"/>
    <s v="148.586.928-50"/>
    <s v="11 3812-2049"/>
    <s v="RUA AGISSÊ 268 APTO 92 "/>
    <s v="JARDIM DAS BANDEIRAS"/>
    <s v="SÃO PAULO"/>
    <s v=" 05439-010"/>
    <s v="georgia.chieco@gmail.com "/>
    <s v="ZUCA"/>
    <n v="1"/>
    <d v="2016-10-13T00:00:00"/>
    <n v="13"/>
    <x v="7"/>
    <x v="7"/>
    <n v="380"/>
    <n v="419.58334600000001"/>
    <n v="443.33334521281438"/>
    <m/>
    <n v="2660.000071276886"/>
    <m/>
    <s v="EMITIDO BOLETO JUL A DEZ21"/>
    <m/>
    <m/>
    <d v="2021-09-21T00:00:00"/>
    <n v="21"/>
    <x v="10"/>
    <x v="6"/>
  </r>
  <r>
    <s v="DEISE COELHO DE ANDRADE"/>
    <n v="174668764"/>
    <s v="057.612.928-31"/>
    <s v="11 9 8427-9903"/>
    <s v="ESTRADA VICINAL SEICHO NOIE 1350 CASA 5"/>
    <s v="Paiol Pequeno"/>
    <s v="Ibiuna"/>
    <s v="18150-000"/>
    <s v="deise.c.a@hotmail.com"/>
    <s v="KOBALT"/>
    <n v="1"/>
    <d v="2021-02-24T00:00:00"/>
    <n v="24"/>
    <x v="6"/>
    <x v="12"/>
    <m/>
    <m/>
    <n v="480"/>
    <m/>
    <n v="2880"/>
    <m/>
    <s v="EMITIDO BOLETO JUL A DEZ21"/>
    <m/>
    <m/>
    <d v="2021-10-27T00:00:00"/>
    <n v="27"/>
    <x v="11"/>
    <x v="6"/>
  </r>
  <r>
    <s v="ALEJANDRO QUIROGA GARAFULIC"/>
    <n v="663702331"/>
    <s v="233.066.678-03"/>
    <s v="11 3739-3612"/>
    <s v="RUA DAVID PIMENTEL, 1077 CASA 1 "/>
    <s v="MORUMBI"/>
    <s v="SÃO PAULO"/>
    <s v="05657-010"/>
    <s v="alequiroga94@gmail.com"/>
    <s v="PATO"/>
    <n v="1"/>
    <d v="2021-04-06T00:00:00"/>
    <n v="6"/>
    <x v="2"/>
    <x v="12"/>
    <m/>
    <m/>
    <n v="480"/>
    <m/>
    <n v="960"/>
    <s v="POR 03 MESES"/>
    <s v="EMITIDO BOLETO SET21"/>
    <s v="SEM O FORNECIMENTO DE PRODUTOS"/>
    <m/>
    <d v="2021-10-08T00:00:00"/>
    <n v="8"/>
    <x v="11"/>
    <x v="6"/>
  </r>
  <r>
    <s v="JULIAN SHINOBU AKINAGA"/>
    <n v="43696603"/>
    <s v="347.654.808-28"/>
    <s v="41 9 9917-0026"/>
    <s v="RUA TABAJARAS, 226 ÚNICO-202 "/>
    <s v="VILA ISABEL "/>
    <s v="CURITIBA"/>
    <s v="80320-310"/>
    <s v="julian.akinaga@gmail.com"/>
    <s v="LANA"/>
    <n v="1"/>
    <d v="2020-12-08T00:00:00"/>
    <n v="8"/>
    <x v="11"/>
    <x v="11"/>
    <m/>
    <n v="580"/>
    <n v="580"/>
    <m/>
    <n v="3480"/>
    <m/>
    <s v="EMITIDO BOLETO JUL A DEZ21"/>
    <s v="INCLUSO RAÇÃO MAX, COLEIRA E VERMIFUGO"/>
    <m/>
    <d v="2021-08-01T00:00:00"/>
    <n v="1"/>
    <x v="9"/>
    <x v="6"/>
  </r>
  <r>
    <s v="MARÍLIA DE TOLEDO ALMEIDA"/>
    <s v="26.656.044-1"/>
    <s v="152.996.348-62"/>
    <s v="11 50813161 "/>
    <s v="RUA JULIO VERNE, 185"/>
    <s v="JARDIM HIPICO"/>
    <s v="SÃO PAULO"/>
    <s v="04725-060"/>
    <s v="mariliadetoledo@gmail.com"/>
    <s v="MARTELO"/>
    <n v="1"/>
    <d v="2017-09-23T00:00:00"/>
    <n v="23"/>
    <x v="5"/>
    <x v="8"/>
    <n v="1040"/>
    <n v="530"/>
    <n v="559.99999809999997"/>
    <m/>
    <n v="3359.9999885999996"/>
    <s v="DDA"/>
    <s v="EMITIDO BOLETO JUL A DEZ21"/>
    <m/>
    <m/>
    <d v="2021-11-20T00:00:00"/>
    <n v="20"/>
    <x v="12"/>
    <x v="6"/>
  </r>
  <r>
    <s v="ANA JULIA BERNARDES WEICKERT"/>
    <n v="552649077"/>
    <s v="056.503349-27"/>
    <s v="11 9 7575-9104"/>
    <s v="RUA FERNANDES DE ABREU 9 APTO 191"/>
    <s v="ITAIM BIBI"/>
    <s v="SÃO PAULO"/>
    <s v="04543-070"/>
    <s v="ajuliab28@gmail.com"/>
    <s v="GAIA"/>
    <n v="1"/>
    <d v="2021-07-08T00:00:00"/>
    <n v="8"/>
    <x v="8"/>
    <x v="12"/>
    <m/>
    <m/>
    <n v="560"/>
    <m/>
    <n v="1680"/>
    <s v="PAGO POR 03 MESES"/>
    <s v="EMITIDO BOLETO OUT A DEZ21"/>
    <s v="SEM O FORNECIMENTO DE PRODUTOS"/>
    <m/>
    <d v="2021-11-09T00:00:00"/>
    <n v="9"/>
    <x v="12"/>
    <x v="6"/>
  </r>
  <r>
    <s v="EDIMILSON LOPES DE SOUSA"/>
    <n v="38895441"/>
    <s v="297.344.168-47"/>
    <s v="11 94003-8441"/>
    <s v="RUA PADRE ORLANDO NOGUEIRA, 18 CASA "/>
    <s v="LIMOEIRO "/>
    <s v="SÃO PAULO"/>
    <s v="08051-560"/>
    <s v="lojaspodecrer@hotmail.com"/>
    <s v="TARZAN"/>
    <n v="1"/>
    <d v="2021-07-27T00:00:00"/>
    <n v="27"/>
    <x v="8"/>
    <x v="12"/>
    <m/>
    <m/>
    <n v="560"/>
    <m/>
    <n v="1120"/>
    <s v="POR 03 MESES"/>
    <s v="EMITIDO BOLETO AGO A DEZ21"/>
    <s v="SEM O FORNECIMENTO DE PRODUTOS"/>
    <m/>
    <d v="2021-11-28T00:00:00"/>
    <n v="28"/>
    <x v="12"/>
    <x v="6"/>
  </r>
  <r>
    <s v="ADRIANA AKUTSU"/>
    <n v="17217195"/>
    <s v="116.683.358-59"/>
    <s v="11 9 9929-2894"/>
    <s v="RUA GUIRATINGA 789"/>
    <s v="VILA GUMERCINDO "/>
    <s v="SÃO PAULO"/>
    <s v="04131-001"/>
    <s v="vet_adriana@hotmail.com"/>
    <s v="ALADIM"/>
    <n v="1"/>
    <d v="2021-08-13T00:00:00"/>
    <n v="13"/>
    <x v="3"/>
    <x v="12"/>
    <m/>
    <m/>
    <n v="560"/>
    <m/>
    <n v="2240"/>
    <m/>
    <s v="EMITIDO BOLETO SET A DEZ21"/>
    <m/>
    <m/>
    <d v="2021-12-09T00:00:00"/>
    <n v="9"/>
    <x v="1"/>
    <x v="6"/>
  </r>
  <r>
    <s v="ROBERTO JEREISSATI"/>
    <n v="4680066"/>
    <s v="854.602.148-15"/>
    <s v="11 9 8346-4641"/>
    <s v="RUA MARACAIBO 39"/>
    <s v="JD EVEREST"/>
    <s v="SÃO PAULO"/>
    <s v="05601-010"/>
    <s v="betojer@gmail.com"/>
    <s v="AMENDOIM, PINCE E FEIJÃO "/>
    <n v="3"/>
    <d v="2021-08-16T00:00:00"/>
    <n v="16"/>
    <x v="3"/>
    <x v="12"/>
    <m/>
    <m/>
    <n v="1550"/>
    <m/>
    <n v="0"/>
    <m/>
    <m/>
    <m/>
    <m/>
    <d v="2021-12-15T00:00:00"/>
    <n v="15"/>
    <x v="1"/>
    <x v="6"/>
  </r>
  <r>
    <s v="MARCELO DA ROSA FERNANDES"/>
    <n v="24655493"/>
    <s v="277935368-60"/>
    <s v="11 9 9501-3130 "/>
    <s v="AV. JACUTINGA 120 APTO 162"/>
    <s v="MOEMA"/>
    <s v="SÃO PAULO"/>
    <s v="04515-030"/>
    <s v="marcelorfernandes@yahoo.com.br"/>
    <s v="ODIE"/>
    <n v="1"/>
    <d v="2018-11-28T00:00:00"/>
    <n v="28"/>
    <x v="4"/>
    <x v="9"/>
    <n v="480"/>
    <n v="480"/>
    <n v="507.16980959999995"/>
    <n v="561.50950450997277"/>
    <n v="3369.0570270598364"/>
    <m/>
    <s v="EMITIDO BOLETO DE JAN A JUN22"/>
    <m/>
    <m/>
    <d v="2022-01-03T00:00:00"/>
    <n v="3"/>
    <x v="2"/>
    <x v="7"/>
  </r>
  <r>
    <s v="SUZY CHANG NERES"/>
    <n v="567396824"/>
    <s v="037.601.739-26"/>
    <s v="11 9 4979-3346"/>
    <s v="RUA TOCANTINS 560 APTO 31"/>
    <s v="NOVA GERTY"/>
    <s v="SÃO CAETANO DO SUL"/>
    <s v="09580-130"/>
    <s v="suzy_chang05@hotmail.com"/>
    <s v="OTTO"/>
    <n v="1"/>
    <d v="2020-12-13T00:00:00"/>
    <n v="13"/>
    <x v="11"/>
    <x v="11"/>
    <m/>
    <m/>
    <n v="480"/>
    <n v="531.42863999999997"/>
    <n v="3188.5718399999996"/>
    <m/>
    <s v="EMITIDO BOLETO DE JAN A JUN22"/>
    <s v="SEM O FORNECIMENTO DE PRODUTOS"/>
    <m/>
    <d v="2022-01-07T00:00:00"/>
    <n v="7"/>
    <x v="2"/>
    <x v="7"/>
  </r>
  <r>
    <s v="RENAN DE CAMPOS BONIFACIO"/>
    <n v="428829387"/>
    <s v="327.138.588-28"/>
    <s v="15 9 9697-8316"/>
    <s v="RUA ITAPIOCA 11 CONDOMINIO PATRIMONIO DO JAÚ"/>
    <s v="CURRAL"/>
    <s v="IBIÚNA"/>
    <n v="18150000"/>
    <s v="renan.campos@outlook.com"/>
    <s v="PIPOCA"/>
    <n v="1"/>
    <d v="2021-01-09T00:00:00"/>
    <n v="9"/>
    <x v="10"/>
    <x v="12"/>
    <m/>
    <m/>
    <n v="450"/>
    <n v="498.21434999999997"/>
    <n v="2989.2860999999998"/>
    <m/>
    <s v="EMITIDO BOLETO DE JAN A JUN22"/>
    <m/>
    <m/>
    <d v="2022-01-08T00:00:00"/>
    <n v="8"/>
    <x v="2"/>
    <x v="7"/>
  </r>
  <r>
    <s v="LUIZ FRANCISCO TORQUATO AVOLIO"/>
    <n v="6329430"/>
    <s v="023116948-55"/>
    <s v="11 3063-4627"/>
    <s v="ALAMEDA CASA BRANCA, 978 APTO 151"/>
    <s v="CERQUEIRA CESAR"/>
    <s v="SÃO PAULO"/>
    <s v="01408-000"/>
    <s v="lfavolio@uol.com.br      "/>
    <s v="CHICO"/>
    <n v="1"/>
    <d v="2016-09-30T00:00:00"/>
    <n v="30"/>
    <x v="5"/>
    <x v="7"/>
    <n v="380"/>
    <n v="419.58334600000001"/>
    <n v="443.33334521281438"/>
    <n v="490.83340981895094"/>
    <n v="2945.0004589137056"/>
    <m/>
    <s v="EMITIDO BOLETO DE JAN A JUN22"/>
    <m/>
    <m/>
    <d v="2022-02-17T00:00:00"/>
    <n v="17"/>
    <x v="3"/>
    <x v="7"/>
  </r>
  <r>
    <s v="PAMELA CRISTINA BARBOSA"/>
    <n v="44796260"/>
    <s v="368.921.058-58"/>
    <s v="11 97407-6876"/>
    <s v="PRAÇA NOSSA SENHORA DE NAZARÉ 52"/>
    <s v="NAZARÉ PAULISTA"/>
    <s v="NAZARÉ PAULISTA"/>
    <s v="12960-000"/>
    <s v="fabioedu1313@gmail.com"/>
    <s v="YAN"/>
    <n v="1"/>
    <d v="2020-05-02T00:00:00"/>
    <n v="2"/>
    <x v="0"/>
    <x v="11"/>
    <m/>
    <n v="450"/>
    <n v="475.47169649999995"/>
    <n v="526.41516047809944"/>
    <n v="3158.4909628685964"/>
    <m/>
    <s v="EMITIDO BOLETO DE JAN A JUN22"/>
    <m/>
    <m/>
    <d v="2022-02-21T00:00:00"/>
    <n v="21"/>
    <x v="3"/>
    <x v="7"/>
  </r>
  <r>
    <s v="GESSICA MONIZE MONTOVANI TRIAS VILAR"/>
    <n v="284024466"/>
    <s v="374.840.638-00"/>
    <s v="11 9 7078-1803"/>
    <s v="RUA MANUEL SILVA NETO 146 "/>
    <s v="VILA MACEDOPOLIS"/>
    <s v="SÃO PAULO"/>
    <s v="03237-000"/>
    <s v="gessica_monize@hotmail.com"/>
    <s v="PEPÉ"/>
    <n v="1"/>
    <d v="2021-12-18T00:00:00"/>
    <n v="18"/>
    <x v="11"/>
    <x v="12"/>
    <m/>
    <m/>
    <n v="560"/>
    <n v="620"/>
    <n v="2480"/>
    <m/>
    <s v="EMITIDO BOLETO FEV A JUN22"/>
    <m/>
    <m/>
    <d v="2022-03-10T00:00:00"/>
    <n v="10"/>
    <x v="4"/>
    <x v="7"/>
  </r>
  <r>
    <s v="JOSE RILIARDE AGOSTINHO IRINEU"/>
    <n v="56554006"/>
    <s v="052.288.303-67"/>
    <s v="11 9 8518-9185     "/>
    <s v="RUA ABOLIÇÃO, 217 AP 42 EDIFICIO ALFREDO POLI"/>
    <s v="BELA VISTA"/>
    <s v="SÃO PAULO"/>
    <s v="01319-010"/>
    <s v="riliardeirineu@gmail.com    "/>
    <s v="BILLY"/>
    <n v="1"/>
    <d v="2020-11-19T00:00:00"/>
    <n v="19"/>
    <x v="4"/>
    <x v="11"/>
    <m/>
    <n v="580"/>
    <n v="580"/>
    <n v="642.14293999999995"/>
    <n v="3852.8576399999997"/>
    <m/>
    <s v="EMITIDO BOLETO DE JAN A JUN22"/>
    <s v="INCLUSO RAÇÃO MAX, COLEIRA E VERMIFUGO"/>
    <m/>
    <d v="2022-03-19T00:00:00"/>
    <n v="19"/>
    <x v="4"/>
    <x v="7"/>
  </r>
  <r>
    <s v="RODRIGO CALDAS DE TOLEDO AGUIAR "/>
    <n v="99283761"/>
    <s v="084.600.558-17"/>
    <s v="11 98522-3344"/>
    <s v="RUA DOMENICO PEROTTI 50 APTO 131"/>
    <s v="PANAMBY"/>
    <s v="SÃO PAULO"/>
    <s v="05704-080"/>
    <s v="rctaguiar@gmail.com"/>
    <s v="BILLY"/>
    <n v="1"/>
    <d v="2021-04-15T00:00:00"/>
    <n v="15"/>
    <x v="2"/>
    <x v="12"/>
    <m/>
    <m/>
    <n v="480"/>
    <n v="531.42863999999997"/>
    <n v="3188.5718399999996"/>
    <m/>
    <s v="EMITIDO BOLETO DE JAN A JUN22"/>
    <m/>
    <m/>
    <d v="2022-04-04T00:00:00"/>
    <n v="4"/>
    <x v="5"/>
    <x v="7"/>
  </r>
  <r>
    <s v="RENATA ANUNCIAÇÃO PEREIRA"/>
    <n v="42064501"/>
    <s v="319.649.148-09"/>
    <s v="11 94074-8027"/>
    <s v="RUA JOÃO RIBEIRO 134 APTO 192"/>
    <s v="CAMPESTRE"/>
    <s v="SANTO ANDRÉ "/>
    <s v="09070-250"/>
    <s v="renata_chyrus@hotmail.com"/>
    <s v="NEGUINHA"/>
    <n v="1"/>
    <d v="2021-09-13T00:00:00"/>
    <n v="13"/>
    <x v="5"/>
    <x v="12"/>
    <m/>
    <m/>
    <n v="560"/>
    <n v="620.00008000000003"/>
    <n v="3720.0004800000002"/>
    <m/>
    <s v="EMITIDO BOLETO DE JAN A JUN22"/>
    <m/>
    <m/>
    <d v="2022-04-05T00:00:00"/>
    <n v="5"/>
    <x v="5"/>
    <x v="7"/>
  </r>
  <r>
    <s v="MARCIA REGINA CUNHA"/>
    <n v="30600641"/>
    <n v="28940804848"/>
    <s v="11 9 5912-1224"/>
    <s v="RUA CANDEEIRO, 299 CASA 7 "/>
    <s v="VILA MAZZEI "/>
    <s v="SÃO PAULO"/>
    <s v="02314-060"/>
    <s v="babicunha04@gmail.com"/>
    <s v="THOR"/>
    <n v="1"/>
    <d v="2021-08-11T00:00:00"/>
    <n v="11"/>
    <x v="3"/>
    <x v="12"/>
    <m/>
    <m/>
    <n v="560"/>
    <n v="620.00008000000003"/>
    <n v="3720.0004800000002"/>
    <m/>
    <s v="EMITIDO BOLETO DE JAN A JUN22"/>
    <m/>
    <m/>
    <d v="2022-04-07T00:00:00"/>
    <n v="7"/>
    <x v="5"/>
    <x v="7"/>
  </r>
  <r>
    <s v="MARINA HARUKO MORI BIONDO     "/>
    <n v="261831173"/>
    <s v="310.211.708-28"/>
    <s v="11 99801-9800"/>
    <s v="RUA DOM CONSTANTINO BARRADAS, 130 APTO 92"/>
    <s v="VILA GUMERCINDO"/>
    <s v="SÃO PAULO"/>
    <s v="04134-110"/>
    <s v="marinahmori@gmail.com"/>
    <s v="VITO"/>
    <n v="1"/>
    <d v="2021-11-12T00:00:00"/>
    <n v="12"/>
    <x v="4"/>
    <x v="12"/>
    <m/>
    <m/>
    <n v="560"/>
    <n v="620"/>
    <n v="1860"/>
    <m/>
    <s v="EMITIDO BOLETO DE JAN A JUN22"/>
    <m/>
    <m/>
    <d v="2022-04-02T00:00:00"/>
    <n v="2"/>
    <x v="5"/>
    <x v="7"/>
  </r>
  <r>
    <s v="LUKAS RAPOSO DA SILVA"/>
    <n v="209664564"/>
    <s v="139.499.917-86"/>
    <s v="11 9 9194-5169"/>
    <s v="ALAMEDA MINISTRO ROCHA AZEVEDO 915 BLC 01 APTO 62"/>
    <s v="CERQUEIRA CESAR"/>
    <s v="SÃO PAULO"/>
    <s v="01410-003"/>
    <s v="lukasraposo@live.com"/>
    <s v="KIN DIN"/>
    <n v="1"/>
    <d v="2021-12-19T00:00:00"/>
    <n v="19"/>
    <x v="11"/>
    <x v="12"/>
    <m/>
    <m/>
    <m/>
    <n v="620"/>
    <n v="2480"/>
    <s v="3 MESES"/>
    <s v="EMITIDO BOLETO DE JAN A JUN22"/>
    <m/>
    <m/>
    <d v="2022-04-19T00:00:00"/>
    <n v="19"/>
    <x v="5"/>
    <x v="7"/>
  </r>
  <r>
    <s v="CÍNTIA PIRES DE AGUIAR      "/>
    <n v="261972698"/>
    <s v="294.432.138-26"/>
    <s v="11 9 9260-9372"/>
    <s v="RUA HENRIQUE CHAVES 238 "/>
    <s v="JARDIM ESTER"/>
    <s v="SÃO PAULO"/>
    <s v="05372-050"/>
    <s v="cintia.paguiar@gmail.com"/>
    <s v="COTOCO"/>
    <n v="1"/>
    <d v="2021-12-05T00:00:00"/>
    <n v="5"/>
    <x v="11"/>
    <x v="12"/>
    <m/>
    <m/>
    <n v="560"/>
    <n v="620"/>
    <n v="1860"/>
    <m/>
    <s v="EMITIDO BOLETO DE JAN A JUN22"/>
    <m/>
    <m/>
    <d v="2022-05-23T00:00:00"/>
    <n v="23"/>
    <x v="6"/>
    <x v="7"/>
  </r>
  <r>
    <s v="LUCAS HENRIQUE  NASCIMENTO GUIMARÃES"/>
    <n v="465275072"/>
    <s v="391.676.848-40"/>
    <s v="11 994749034"/>
    <s v=" AVENIDA HENRIQUE GONÇALVES BAPTISTA, 2245 TORRE 6 APTO 26"/>
    <s v="JARDIM BELVAL"/>
    <s v="BARUERI"/>
    <s v="06420-130"/>
    <s v="lucas_meme@hotmail.com"/>
    <s v="BUTCH"/>
    <n v="1"/>
    <d v="2021-03-06T00:00:00"/>
    <n v="6"/>
    <x v="9"/>
    <x v="12"/>
    <m/>
    <m/>
    <n v="480"/>
    <n v="531.42863999999997"/>
    <n v="3188.5718399999996"/>
    <m/>
    <s v="EMITIDO BOLETO DE JAN A JUN22"/>
    <s v="SEM O FORNECIMENTO DE PRODUTOS"/>
    <m/>
    <d v="2022-05-22T00:00:00"/>
    <n v="22"/>
    <x v="6"/>
    <x v="7"/>
  </r>
  <r>
    <s v="ROBERTO NAVARRO MAIURI"/>
    <m/>
    <s v="283.396.238.00"/>
    <s v="11 9 5041-2607"/>
    <s v="RUA MAESTRO ZEFERINO SANTANA 232 APTO 81"/>
    <s v="VILA AUGUSTA"/>
    <s v="SOROCABA"/>
    <s v="18040-010"/>
    <s v="rnm@aasp.org.br"/>
    <s v="CONAN"/>
    <n v="1"/>
    <d v="2022-04-13T00:00:00"/>
    <n v="13"/>
    <x v="2"/>
    <x v="13"/>
    <m/>
    <m/>
    <m/>
    <n v="620"/>
    <n v="3720"/>
    <m/>
    <s v="EMITIDO BOLETO DE JUL A DEZ22"/>
    <m/>
    <m/>
    <d v="2022-08-07T00:00:00"/>
    <n v="7"/>
    <x v="9"/>
    <x v="7"/>
  </r>
  <r>
    <s v="MICHAEL HUMBERTO CASTILLO GRANADOS "/>
    <n v="54606721"/>
    <s v="059.230.807-37"/>
    <s v="11 9 7323-0234"/>
    <s v="AV. UNIVERSITARIO 585 TORRE B4  65"/>
    <s v="ALPHAVILLE"/>
    <s v="SANTANA DE PARNAIBA"/>
    <s v="06542-089"/>
    <s v="michaelgranados@gmail.com  "/>
    <s v="RUBÍ"/>
    <n v="1"/>
    <d v="2022-06-24T00:00:00"/>
    <n v="24"/>
    <x v="1"/>
    <x v="13"/>
    <m/>
    <m/>
    <m/>
    <n v="620"/>
    <n v="3720"/>
    <m/>
    <s v="EMITIDO BOLETO DE JUL A DEZ22"/>
    <m/>
    <m/>
    <d v="2022-08-20T00:00:00"/>
    <n v="20"/>
    <x v="9"/>
    <x v="7"/>
  </r>
  <r>
    <s v="MARTIN SAGRANICHINY GARCIA     "/>
    <n v="283749362"/>
    <s v="357.249.938-05"/>
    <s v="11 9 4193-4170   "/>
    <s v="RUA DINIEPER, 338  CASA 3"/>
    <s v="VILA IPOJUCA       "/>
    <s v="SÃO PAULO "/>
    <s v="05057-030"/>
    <s v="martin_sgarcia@yahoo.com.br"/>
    <s v="BRAVA E SHURI"/>
    <n v="2"/>
    <d v="2022-05-21T00:00:00"/>
    <n v="21"/>
    <x v="0"/>
    <x v="13"/>
    <m/>
    <m/>
    <m/>
    <n v="1200"/>
    <n v="7200"/>
    <m/>
    <s v="EMITIDO BOLETO DE JUL A DEZ22"/>
    <m/>
    <m/>
    <d v="2022-08-23T00:00:00"/>
    <n v="23"/>
    <x v="9"/>
    <x v="7"/>
  </r>
  <r>
    <s v="FLAVIO ALVES BERNARDINO"/>
    <n v="33772313"/>
    <s v="221.645.868-67"/>
    <s v="119 7575-7273    "/>
    <s v="AV. SÃO PAULO PARANÁ , 10100 TORRE B APTO 163     "/>
    <s v="JD PIRAJUSSARA    "/>
    <s v="SÃO PAULO "/>
    <s v="05574-001"/>
    <s v="flaviobalves@gmail.com"/>
    <s v="BOLINHA"/>
    <n v="1"/>
    <d v="2022-05-26T00:00:00"/>
    <n v="26"/>
    <x v="0"/>
    <x v="13"/>
    <m/>
    <m/>
    <m/>
    <n v="620"/>
    <n v="3720"/>
    <m/>
    <s v="EMITIDO BOLETO DE JUL A DEZ22"/>
    <m/>
    <m/>
    <d v="2022-08-24T00:00:00"/>
    <n v="24"/>
    <x v="9"/>
    <x v="7"/>
  </r>
  <r>
    <s v="ANDRE BORGES DE GODOY   "/>
    <s v="27123133-6   "/>
    <s v="290.842.128-35"/>
    <n v="1130623453"/>
    <s v="RUA CAPITÃO MACEDO, 333 apto 124 "/>
    <s v="VILA CLEMENTINO  "/>
    <s v="SÃO PAULO "/>
    <s v="04021-020"/>
    <s v="andre.godoy@atentocredito.com.br"/>
    <s v="GIRAFA"/>
    <n v="1"/>
    <d v="2022-06-02T00:00:00"/>
    <n v="2"/>
    <x v="1"/>
    <x v="13"/>
    <m/>
    <m/>
    <m/>
    <n v="620"/>
    <n v="3720"/>
    <s v="por 03 meses "/>
    <s v="EMITIDO BOLETO DE JUL A AGO22"/>
    <m/>
    <m/>
    <d v="2022-07-11T00:00:00"/>
    <n v="11"/>
    <x v="8"/>
    <x v="7"/>
  </r>
  <r>
    <s v="JULIAN SHINOBU AKINAGA"/>
    <n v="43696603"/>
    <s v="347.654.808-28"/>
    <s v="41 9 9917-0026"/>
    <s v="RUA TABAJARAS, 226 ÚNICO-202 "/>
    <s v="VILA ISABEL "/>
    <s v="CURITIBA"/>
    <s v="80320-310"/>
    <s v="julian.akinaga@gmail.com"/>
    <s v="FILÓ"/>
    <n v="1"/>
    <d v="2020-12-08T00:00:00"/>
    <n v="8"/>
    <x v="11"/>
    <x v="11"/>
    <m/>
    <n v="1160"/>
    <n v="1160"/>
    <n v="1284.2858799999999"/>
    <n v="7705.7152799999994"/>
    <m/>
    <s v="EMITIDO BOLETO DE JUL A DEZ22"/>
    <s v="INCLUSO RAÇÃO MAX, COLEIRA E VERMIFUGO"/>
    <m/>
    <d v="2022-09-03T00:00:00"/>
    <n v="3"/>
    <x v="10"/>
    <x v="7"/>
  </r>
  <r>
    <s v="FERNANDA FRANÇA BARBOSA RIBEIRO"/>
    <n v="221483998"/>
    <s v="183.542.228.45"/>
    <s v="11 9 68312422"/>
    <s v="AVENIDA PAULO AYRES 75 BL 25 APTO 12"/>
    <s v="PARQUE PINHEIROS"/>
    <s v="SÃO PAULO"/>
    <s v="06767-900"/>
    <s v="ffbr74@gmail.com       "/>
    <s v="ITUBAINA"/>
    <n v="1"/>
    <d v="2022-01-08T00:00:00"/>
    <n v="8"/>
    <x v="10"/>
    <x v="13"/>
    <m/>
    <m/>
    <m/>
    <n v="620"/>
    <n v="3720"/>
    <m/>
    <s v="EMITIDO BOLETO DE JUL A DEZ22"/>
    <m/>
    <m/>
    <d v="2022-09-23T00:00:00"/>
    <n v="23"/>
    <x v="10"/>
    <x v="7"/>
  </r>
  <r>
    <s v="ALESSANDRA YUKIE TOKUMOTO "/>
    <n v="7729555"/>
    <s v="041.594.269-13"/>
    <n v="11981754456"/>
    <s v="RUA MARIE NADER CALFAT  APTO 82 B 2"/>
    <s v="JARDIM AMPLIAÇÃO"/>
    <s v="SÃO PAULO"/>
    <s v="05713-520"/>
    <s v="alessandra.med@gmail.com"/>
    <s v="LUIGI"/>
    <n v="1"/>
    <d v="2020-05-31T00:00:00"/>
    <n v="31"/>
    <x v="0"/>
    <x v="11"/>
    <m/>
    <n v="480"/>
    <n v="537.16980960000001"/>
    <n v="594.72379450997278"/>
    <n v="3568.3427670598367"/>
    <m/>
    <s v="EMITIDO BOLETO DE JUL A DEZ22"/>
    <m/>
    <m/>
    <d v="2022-09-23T00:00:00"/>
    <n v="23"/>
    <x v="10"/>
    <x v="7"/>
  </r>
  <r>
    <s v="MAYRA CHINELLATO PACHECO DO AMARAL     "/>
    <n v="349903773"/>
    <s v="311.266.478-70"/>
    <n v="11991101724"/>
    <s v="PRAÇA BURITAMA 48  APTO 01                          "/>
    <s v="JARDIM EUROPA          "/>
    <s v="SÃO PAULO       "/>
    <s v="01450-100"/>
    <s v="mayra.chinellato@fasano.com.br"/>
    <s v="PITANGA E AMORA"/>
    <n v="2"/>
    <d v="2022-03-09T00:00:00"/>
    <n v="9"/>
    <x v="9"/>
    <x v="13"/>
    <m/>
    <m/>
    <m/>
    <n v="1180"/>
    <n v="7080"/>
    <m/>
    <s v="EMITIDO BOLETO DE JUL A DEZ22"/>
    <m/>
    <m/>
    <d v="2022-10-10T00:00:00"/>
    <n v="10"/>
    <x v="11"/>
    <x v="7"/>
  </r>
  <r>
    <s v="ALVARO MONTEIRO DA CUNHA NETO"/>
    <n v="18610977"/>
    <s v="082.450.758-41"/>
    <s v="11 3313-8415"/>
    <s v="RUA VIANOPOLIS 655"/>
    <s v="VILA MARIA "/>
    <s v="SÃO PAULO"/>
    <s v="02131-050"/>
    <s v="afbijouterias@uol.com.br"/>
    <s v="BRUTUS"/>
    <n v="1"/>
    <d v="2022-02-21T00:00:00"/>
    <n v="21"/>
    <x v="6"/>
    <x v="13"/>
    <m/>
    <m/>
    <m/>
    <n v="620"/>
    <n v="3720"/>
    <m/>
    <s v="EMITIDO BOLETO DE JUL A DEZ22"/>
    <m/>
    <m/>
    <d v="2022-12-19T00:00:00"/>
    <n v="19"/>
    <x v="1"/>
    <x v="7"/>
  </r>
  <r>
    <s v="LUCIANA MADEIRA GONÇAVES "/>
    <m/>
    <s v="248.059.088-74"/>
    <s v="11 99138-8650"/>
    <s v="VIA TRANSVERSAL SUL, 169 APTO 35 T3"/>
    <s v="JD NOVO OSASCO"/>
    <s v="SÃO PAULO"/>
    <s v="06045-420"/>
    <s v="lucianamadeiragt@hotmail.com"/>
    <s v="TITO"/>
    <n v="1"/>
    <d v="2022-11-22T00:00:00"/>
    <n v="22"/>
    <x v="4"/>
    <x v="13"/>
    <m/>
    <m/>
    <m/>
    <n v="620"/>
    <n v="620"/>
    <m/>
    <s v="EMITIDO BOLETO DEZ22"/>
    <m/>
    <m/>
    <d v="2022-12-02T00:00:00"/>
    <n v="2"/>
    <x v="1"/>
    <x v="7"/>
  </r>
  <r>
    <s v="ROBERTO NAVARRO MAIURI"/>
    <m/>
    <s v="283.396.238.00"/>
    <s v="11 9 5041-2607"/>
    <s v="RUA MAESTRO ZEFERINO SANTANA 232 APTO 81"/>
    <s v="VILA AUGUSTA"/>
    <s v="SOROCABA"/>
    <s v="18040-010"/>
    <s v="rnm@aasp.org.br"/>
    <s v="DORA"/>
    <n v="1"/>
    <d v="2022-04-13T00:00:00"/>
    <n v="13"/>
    <x v="2"/>
    <x v="13"/>
    <m/>
    <m/>
    <m/>
    <n v="620"/>
    <n v="3720"/>
    <m/>
    <s v="EMITIDO BOLETO DE JUL A DEZ22"/>
    <m/>
    <m/>
    <d v="2022-12-09T00:00:00"/>
    <n v="9"/>
    <x v="1"/>
    <x v="7"/>
  </r>
  <r>
    <s v="MARIA SEVERINA ALVES MACIEL"/>
    <n v="323209695"/>
    <s v="955728648-20"/>
    <s v="11 98951-7361"/>
    <s v="RUA FELISBERTO FREIRE , 523 CASA 03"/>
    <s v="VL BELA VISTA "/>
    <s v="SÃO PAULO"/>
    <s v="02616-090"/>
    <s v="robertoamaciel@hotmail.com      "/>
    <s v="BOB"/>
    <n v="1"/>
    <d v="2020-02-22T00:00:00"/>
    <n v="22"/>
    <x v="6"/>
    <x v="11"/>
    <m/>
    <n v="480"/>
    <n v="567.16980960000001"/>
    <n v="627.93808450997278"/>
    <n v="3767.6285070598369"/>
    <m/>
    <s v="EMITIDO BOLETO DE JUL A DEZ22"/>
    <m/>
    <m/>
    <d v="2022-12-09T00:00:00"/>
    <n v="9"/>
    <x v="1"/>
    <x v="7"/>
  </r>
  <r>
    <s v="NEIVA DOURADO MARTINS MENDES"/>
    <n v="18420741"/>
    <s v="030283108-80"/>
    <s v="11 4121-7832     "/>
    <s v="RUA DOMICIANO ROSSI 600 APTO193 H"/>
    <s v="SÃO BERNARDO DO CAMPO"/>
    <s v="São Bernardo do Campo"/>
    <s v="09726-121"/>
    <s v="neiva.mendes@uol.com.br"/>
    <s v="FEDOR"/>
    <n v="1"/>
    <d v="2014-04-02T00:00:00"/>
    <n v="2"/>
    <x v="2"/>
    <x v="4"/>
    <m/>
    <m/>
    <m/>
    <m/>
    <m/>
    <m/>
    <m/>
    <m/>
    <m/>
    <d v="2023-01-10T00:00:00"/>
    <n v="10"/>
    <x v="2"/>
    <x v="8"/>
  </r>
  <r>
    <s v="CAMILA NOGUEIRA LUCCATS BONIFACIO"/>
    <m/>
    <s v="278.626.268-26"/>
    <s v="11 98346-0623  "/>
    <s v="RUA ARTUR RAMOS PROF, 222 APTO 131 "/>
    <s v="JARDIM PAULISTANO "/>
    <s v="SÃO PAULO"/>
    <n v="1454010"/>
    <s v="camila@pantera.com.br       "/>
    <s v="DRY"/>
    <n v="1"/>
    <d v="2022-11-19T00:00:00"/>
    <n v="19"/>
    <x v="4"/>
    <x v="13"/>
    <m/>
    <m/>
    <m/>
    <m/>
    <n v="0"/>
    <m/>
    <m/>
    <m/>
    <m/>
    <d v="2023-01-12T00:00:00"/>
    <n v="12"/>
    <x v="2"/>
    <x v="8"/>
  </r>
  <r>
    <s v="EDIMILSON LOPES DE SOUSA"/>
    <n v="38895441"/>
    <s v="297.344.168-47"/>
    <s v="11 94003-8441"/>
    <s v="R DEP LAERCIO CORTE 1350 APTO 191"/>
    <s v="PARAISO MORUMBI"/>
    <s v="SÃO PAULO"/>
    <s v="05706-290"/>
    <s v="lojaspodecrer@hotmail.com"/>
    <s v="TARZAN"/>
    <n v="1"/>
    <d v="2021-12-02T00:00:00"/>
    <n v="2"/>
    <x v="11"/>
    <x v="12"/>
    <m/>
    <m/>
    <n v="560"/>
    <n v="620.00008000000003"/>
    <n v="679.99748774160003"/>
    <n v="4080.0049264496001"/>
    <m/>
    <s v="EMITIDO BOLETOS DE JAN A JUN23"/>
    <m/>
    <d v="2023-01-30T00:00:00"/>
    <n v="30"/>
    <x v="2"/>
    <x v="8"/>
  </r>
  <r>
    <s v="TULIO BALDASSIN CAMARGO E SOUZA"/>
    <m/>
    <s v="409.841.148-23"/>
    <s v="11 9 7187-9929"/>
    <s v="ALAMEDA DAS DALIAS, 56 "/>
    <s v="ALDEIA DA SERRA"/>
    <s v="SANTANA DE PARNAIBA"/>
    <s v="06519-400"/>
    <s v="tuliobcs@gmail.com"/>
    <s v="MENINA"/>
    <n v="1"/>
    <d v="2022-12-07T00:00:00"/>
    <n v="7"/>
    <x v="11"/>
    <x v="13"/>
    <m/>
    <m/>
    <m/>
    <n v="620"/>
    <n v="620"/>
    <n v="1240"/>
    <m/>
    <s v="EMITIDO BOLETOS DE JAN E FEV23"/>
    <m/>
    <d v="2023-02-04T00:00:00"/>
    <n v="4"/>
    <x v="3"/>
    <x v="8"/>
  </r>
  <r>
    <s v="MARIA APARECIDA DA CONCEIÇÃO"/>
    <n v="26225822"/>
    <s v="205.376.288-86"/>
    <s v="11 9 71976955"/>
    <s v="JOSÉ ALVES DE ALMEIRA 130 APTO 144 BLC 2"/>
    <s v="JARDIM CELESTE"/>
    <s v="SÃO PAULO "/>
    <n v="5527080"/>
    <s v="cida@macambiental.com.br"/>
    <s v="NAIRÓBI"/>
    <n v="1"/>
    <d v="2022-02-01T00:00:00"/>
    <n v="1"/>
    <x v="6"/>
    <x v="13"/>
    <m/>
    <m/>
    <m/>
    <n v="620"/>
    <n v="679.99739999999997"/>
    <n v="4080.0043999999998"/>
    <m/>
    <s v="EMITIDO BOLETOS DE JAN A JUN23"/>
    <m/>
    <d v="2023-02-28T00:00:00"/>
    <n v="28"/>
    <x v="3"/>
    <x v="8"/>
  </r>
  <r>
    <s v="ANA GABRIELLY DE ALMEIDA MARTIN"/>
    <n v="393931006"/>
    <s v="455;051.248-28"/>
    <s v="11 9 7975-3925"/>
    <s v="RUA GIOVANNI BATTISTA PIRELLI 1463 APTO 124 BLC G "/>
    <s v="HOMERO THON"/>
    <s v="SANTO ANDRÉ "/>
    <s v="09111-340"/>
    <s v="gabriellyamartin@gmail.com"/>
    <s v="CLAUDINHO"/>
    <n v="1"/>
    <d v="2022-03-01T00:00:00"/>
    <n v="1"/>
    <x v="9"/>
    <x v="13"/>
    <m/>
    <m/>
    <m/>
    <n v="600"/>
    <n v="658.06200000000001"/>
    <n v="3948.3720000000003"/>
    <m/>
    <s v="EMITIDO BOLETOS DE JAN A JUN23"/>
    <m/>
    <d v="2023-03-02T00:00:00"/>
    <n v="2"/>
    <x v="4"/>
    <x v="8"/>
  </r>
  <r>
    <s v="DIEGO ARMANDO VIAMONTE PEREIRA"/>
    <m/>
    <s v="061.198.489-08"/>
    <s v="11 99969-7988"/>
    <s v="RUA AFONSO CELSO 1102 APTO 131A ED GANDA"/>
    <s v="VILA MARIANA"/>
    <s v="SÃO PAULO"/>
    <s v="04119-061"/>
    <s v="diego.toboco@gmail.com"/>
    <s v="PUDIM"/>
    <n v="1"/>
    <d v="2023-01-09T00:00:00"/>
    <n v="9"/>
    <x v="10"/>
    <x v="14"/>
    <m/>
    <m/>
    <m/>
    <n v="620"/>
    <n v="620"/>
    <n v="1240"/>
    <m/>
    <s v="EMITIDO BOLETOS DE FEV A MAR23"/>
    <m/>
    <d v="2023-04-06T00:00:00"/>
    <n v="6"/>
    <x v="5"/>
    <x v="8"/>
  </r>
  <r>
    <s v="PAULO DA SILVA CANUTO JUNIOR"/>
    <n v="62150461"/>
    <s v="049.973.479-30"/>
    <s v="11 96378-7537"/>
    <s v="RUA AMOIPIRA, 201 APTO 05 BLC B"/>
    <s v="VILA ISA"/>
    <s v="SÃO PAULO"/>
    <s v="04689-070"/>
    <s v="paulocanutojr@hotmail.com"/>
    <s v="RYU"/>
    <n v="1"/>
    <d v="2020-11-30T00:00:00"/>
    <n v="30"/>
    <x v="4"/>
    <x v="11"/>
    <m/>
    <n v="480"/>
    <n v="480"/>
    <n v="531.42863999999997"/>
    <n v="582.85498949279997"/>
    <n v="3497.1299369567996"/>
    <m/>
    <s v="EMITIDO BOLETOS DE JAN A JUN23"/>
    <s v="SEM NADA INCLUSO"/>
    <d v="2023-04-08T00:00:00"/>
    <n v="8"/>
    <x v="5"/>
    <x v="8"/>
  </r>
  <r>
    <s v="ANA GABRIELLY DE ALMEIDA MARTIN"/>
    <n v="393931006"/>
    <s v="455;051.248-28"/>
    <s v="11 9 7975-3925"/>
    <s v="RUA GIOVANNI BATTISTA PIRELLI 1463 APTO 124 BLC G "/>
    <s v="HOMERO THON"/>
    <s v="SANTO ANDRÉ "/>
    <s v="09111-340"/>
    <s v="gabriellyamartin@gmail.com"/>
    <s v="BOCHECHA"/>
    <n v="1"/>
    <d v="2022-03-01T00:00:00"/>
    <n v="1"/>
    <x v="9"/>
    <x v="13"/>
    <m/>
    <m/>
    <m/>
    <n v="620"/>
    <n v="679.99739999999997"/>
    <n v="4079.9843999999998"/>
    <m/>
    <s v="EMITIDO BOLETOS DE JAN A JUN23"/>
    <m/>
    <d v="2023-05-06T00:00:00"/>
    <n v="6"/>
    <x v="6"/>
    <x v="8"/>
  </r>
  <r>
    <s v="CASSIA ALINE VICENTE BRANCO"/>
    <m/>
    <s v="395.419.628-07"/>
    <s v="11 9 48366504"/>
    <s v="RUA GASPAR LOURENÇO 65 APTO 102"/>
    <s v="VILA MARIANA"/>
    <s v="SÃO PAULO"/>
    <s v="04107-000"/>
    <s v="dracassyaline@gmail.com "/>
    <s v="DUKE"/>
    <n v="1"/>
    <d v="2022-12-08T00:00:00"/>
    <n v="8"/>
    <x v="11"/>
    <x v="13"/>
    <m/>
    <m/>
    <m/>
    <n v="620"/>
    <n v="680"/>
    <n v="2720"/>
    <m/>
    <s v="EMITIDO BOLETOS DE JAN A JUN23"/>
    <m/>
    <d v="2023-05-08T00:00:00"/>
    <n v="8"/>
    <x v="6"/>
    <x v="8"/>
  </r>
  <r>
    <s v="PAULA ODETE BOTÃO"/>
    <n v="32857099"/>
    <n v="22417689871"/>
    <s v="11 9 91437751"/>
    <s v="RUA OJINAGA 70"/>
    <s v="JARDIM SÃO JANÚARIO"/>
    <s v="SÃO PAULO"/>
    <s v="05781-270"/>
    <s v="paulaodete@bol.com.br     "/>
    <s v="THOR"/>
    <n v="1"/>
    <d v="2020-10-28T00:00:00"/>
    <n v="28"/>
    <x v="7"/>
    <x v="11"/>
    <m/>
    <n v="580"/>
    <n v="580"/>
    <n v="642.14293999999995"/>
    <n v="704.28311230379995"/>
    <n v="4225.6986738227997"/>
    <m/>
    <s v="EMITIDO BOLETOS DE JAN A JUN23"/>
    <s v="INCLUSO RAÇÃO MAX, COLEIRA E VERMIFUGO"/>
    <d v="2023-05-19T00:00:00"/>
    <n v="19"/>
    <x v="6"/>
    <x v="8"/>
  </r>
  <r>
    <s v="CAMILA NOGUEIRA LUCCATS BONIFACIO"/>
    <m/>
    <s v="278.626.268-26"/>
    <s v="11 98346-0623  "/>
    <s v="RUA PROF ARTUR RAMOS, 222 APTO 131 "/>
    <s v="JARDIM PAULISTANO "/>
    <s v="SÃO PAULO"/>
    <s v="01454-010"/>
    <s v="camila@pantera.com.br       "/>
    <s v="THEO, GIN, "/>
    <n v="2"/>
    <d v="2022-11-19T00:00:00"/>
    <n v="19"/>
    <x v="4"/>
    <x v="13"/>
    <m/>
    <m/>
    <m/>
    <n v="1209"/>
    <n v="1326"/>
    <n v="7956"/>
    <m/>
    <s v="EMITIDO BOLETOS DE JAN A JUN23"/>
    <m/>
    <d v="2023-05-19T00:00:00"/>
    <n v="19"/>
    <x v="6"/>
    <x v="8"/>
  </r>
  <r>
    <s v="SUELI DI MAURO "/>
    <m/>
    <s v="284.528.128-50"/>
    <s v="11 9 7475-5758"/>
    <s v="RUA ANTONIETA CANELLE DE CAMARGO 148"/>
    <s v="JARDIM DOS LAGOS"/>
    <s v="ITATIBA"/>
    <s v="13257-831"/>
    <s v="suelidimauro@hotmail.com"/>
    <s v="SEBASTIAN, PINGO, CLARA, NIVEA, BIANCA"/>
    <n v="5"/>
    <d v="2022-09-24T00:00:00"/>
    <n v="24"/>
    <x v="5"/>
    <x v="13"/>
    <m/>
    <m/>
    <m/>
    <n v="5600"/>
    <n v="3070.9560000000001"/>
    <n v="9212.8680000000004"/>
    <m/>
    <s v="EMITIDO BOLETOS DE JAN A JUN23"/>
    <m/>
    <d v="2023-05-20T00:00:00"/>
    <n v="20"/>
    <x v="6"/>
    <x v="8"/>
  </r>
  <r>
    <s v="ADRIANA TORRES LARANGEIRA"/>
    <n v="208625732"/>
    <s v="151.113.748-76"/>
    <s v="11 9 7469-2333"/>
    <s v="RUA DAS PALMEIRAS, 647 BLC 1 APTO 1"/>
    <s v="GOPOUVA"/>
    <s v="GUARULHOS "/>
    <s v="07022-000"/>
    <s v="torres.adc@gmail.com"/>
    <s v="THEODORO"/>
    <n v="1"/>
    <d v="2021-10-13T00:00:00"/>
    <n v="13"/>
    <x v="7"/>
    <x v="12"/>
    <m/>
    <m/>
    <n v="560"/>
    <n v="620"/>
    <n v="679.99739999999997"/>
    <n v="4079.9843999999998"/>
    <m/>
    <s v="EMITIDO BOLETOS DE JAN A JUN23"/>
    <m/>
    <d v="2023-06-22T00:00:00"/>
    <n v="22"/>
    <x v="7"/>
    <x v="8"/>
  </r>
  <r>
    <s v="ADRIANA TORRES LARANGEIRA"/>
    <n v="208625732"/>
    <s v="151.113.748-76"/>
    <s v="11 9 7469-2333"/>
    <s v="RUA DAS PALMEIRAS, 647 BLC 1 APTO 1"/>
    <s v="GOPOUVA"/>
    <s v="GUARULHOS "/>
    <s v="07022-000"/>
    <s v="torres.adc@gmail.com"/>
    <s v="DARA"/>
    <n v="1"/>
    <d v="2022-06-28T00:00:00"/>
    <n v="28"/>
    <x v="1"/>
    <x v="13"/>
    <m/>
    <m/>
    <n v="560"/>
    <n v="620"/>
    <n v="679.99739999999997"/>
    <n v="4079.9843999999998"/>
    <m/>
    <s v="EMITIDO BOLETOS DE JAN A JUN23"/>
    <m/>
    <d v="2023-06-22T00:00:00"/>
    <n v="22"/>
    <x v="7"/>
    <x v="8"/>
  </r>
  <r>
    <s v="REGINA MARIA VIGLIZZO "/>
    <s v="V522540-X"/>
    <s v="229.960.028-06"/>
    <s v="11 9 8957-5115"/>
    <s v="AVENIDA VEREADOR JOSÉ DINIZ 3130 APTO 2 A E VG"/>
    <s v="CAMPO BELO "/>
    <s v="SANTO AMARO"/>
    <s v="04604-005"/>
    <s v="regina.viglizzo@gmail.com"/>
    <s v="MARTINA, TCHÊ, VALENTINO"/>
    <n v="3"/>
    <d v="2022-07-26T00:00:00"/>
    <n v="26"/>
    <x v="8"/>
    <x v="13"/>
    <m/>
    <m/>
    <m/>
    <n v="1860"/>
    <n v="2039.9922000000001"/>
    <n v="12239.9532"/>
    <m/>
    <s v="EMITIDO BOLETOS DE JAN A JUN23"/>
    <m/>
    <d v="2023-06-24T00:00:00"/>
    <n v="24"/>
    <x v="7"/>
    <x v="8"/>
  </r>
  <r>
    <s v="LEANDRO SILVA RABELO"/>
    <n v="28071979"/>
    <s v="285.256.978-77"/>
    <s v="11 974266496"/>
    <s v="RUA JOSE DOS SANTOS CASTRO 88"/>
    <s v="JD DENISE"/>
    <s v="SÃO PAULO"/>
    <s v="02375-010"/>
    <s v="leandrosrabelo@hotmail.com"/>
    <s v="JHONNY"/>
    <n v="1"/>
    <d v="2023-02-16T00:00:00"/>
    <n v="16"/>
    <x v="6"/>
    <x v="14"/>
    <m/>
    <m/>
    <m/>
    <n v="680"/>
    <n v="680"/>
    <n v="2720"/>
    <m/>
    <s v="EMITIDO BOLETOS DE MAR A JUN23"/>
    <m/>
    <d v="2023-06-26T00:00:00"/>
    <n v="26"/>
    <x v="7"/>
    <x v="8"/>
  </r>
  <r>
    <s v="SUELI DI MAURO "/>
    <m/>
    <s v="284.528.128-50"/>
    <s v="11 9 7475-5758"/>
    <s v="RUA ANTONIETA CANELLE DE CAMARGO 148"/>
    <s v="JARDIM DOS LAGOS"/>
    <s v="ITATIBA"/>
    <s v="13257-831"/>
    <s v="suelidimauro@hotmail.com"/>
    <s v="DOG"/>
    <n v="1"/>
    <d v="2022-09-24T00:00:00"/>
    <n v="24"/>
    <x v="5"/>
    <x v="13"/>
    <m/>
    <m/>
    <m/>
    <n v="5600"/>
    <n v="3070.9560000000001"/>
    <n v="9212.8680000000004"/>
    <m/>
    <s v="EMITIDO BOLETOS DE JAN A JUN23"/>
    <m/>
    <d v="2023-07-08T00:00:00"/>
    <n v="8"/>
    <x v="8"/>
    <x v="8"/>
  </r>
  <r>
    <s v="DANIEL KATAYAMA KASAI"/>
    <n v="256166134"/>
    <s v="315.337.818-50"/>
    <s v="11 9 9361-8787"/>
    <s v="RUA AFONSO DE FREITAS 716 APTO 12"/>
    <s v="PARAISO"/>
    <s v="SÃO PAULO"/>
    <s v="04006-052"/>
    <s v="danielmid@gmail.com"/>
    <s v="GUS"/>
    <n v="1"/>
    <d v="2021-03-25T00:00:00"/>
    <n v="25"/>
    <x v="9"/>
    <x v="12"/>
    <m/>
    <m/>
    <n v="480"/>
    <n v="531.42863999999997"/>
    <n v="582.85498949279997"/>
    <n v="3497.1299369567996"/>
    <m/>
    <s v="EMITIDO BOLETOS JUL A DEZ23"/>
    <m/>
    <d v="2023-07-24T00:00:00"/>
    <n v="24"/>
    <x v="8"/>
    <x v="8"/>
  </r>
  <r>
    <s v="CARLOS ALBERO SAGRANICHINY"/>
    <s v="Y013137D"/>
    <s v="135.970.158-32"/>
    <n v="11989302370"/>
    <s v="RUA OS SERTÕES 35 "/>
    <s v="JD DA GLORIA"/>
    <s v="SÃO PAULO"/>
    <s v="01547-050"/>
    <s v="martinhernandez@terra.com.br  "/>
    <s v="BRAVA"/>
    <n v="1"/>
    <d v="2023-04-07T00:00:00"/>
    <n v="7"/>
    <x v="2"/>
    <x v="14"/>
    <m/>
    <m/>
    <m/>
    <n v="680"/>
    <n v="680"/>
    <n v="4080"/>
    <m/>
    <s v="EMITIDO BOLETOS JUL A DEZ23"/>
    <m/>
    <d v="2023-08-01T00:00:00"/>
    <n v="1"/>
    <x v="9"/>
    <x v="8"/>
  </r>
  <r>
    <s v="TALLE LINCOLN LOPES"/>
    <n v="3570837"/>
    <s v="080.151.964-00"/>
    <s v="11 99112-8668"/>
    <s v="RUA CUSTODIO DOMINGOS DOS SANTOS 21  AP 2002"/>
    <s v="BRISAMAR"/>
    <s v="JOÃO PESSOA -PB"/>
    <s v="58033-370"/>
    <s v="talleslincoln@gmail.com"/>
    <s v="AUGUSTO"/>
    <n v="1"/>
    <d v="2021-09-08T00:00:00"/>
    <n v="8"/>
    <x v="5"/>
    <x v="12"/>
    <m/>
    <m/>
    <n v="560"/>
    <n v="620.00008000000003"/>
    <n v="679.99748774160003"/>
    <n v="4080.0049264496001"/>
    <m/>
    <s v="EMITIDO BOLETOS JUL A DEZ23"/>
    <m/>
    <d v="2023-08-07T00:00:00"/>
    <n v="7"/>
    <x v="9"/>
    <x v="8"/>
  </r>
  <r>
    <s v="CRISTINA TAVARES DA SILVA"/>
    <s v="W643182-1"/>
    <s v="852.078.618-91"/>
    <s v="11 9 8168-1717"/>
    <s v="RUA MARCOS LOPES 272 APTO 41 E "/>
    <s v="VILA NOVA CONCEIÇÃO"/>
    <s v="SÃO PAULO"/>
    <s v="04513-080"/>
    <s v="cristina.tavares7@gmail.com"/>
    <s v="CATARINA"/>
    <n v="1"/>
    <d v="2021-01-08T00:00:00"/>
    <n v="8"/>
    <x v="10"/>
    <x v="12"/>
    <m/>
    <m/>
    <n v="960"/>
    <n v="1062.8572799999999"/>
    <n v="582.85"/>
    <n v="3497.1000000000004"/>
    <m/>
    <s v="EMITIDO BOLETOS JUL A DEZ23"/>
    <m/>
    <d v="2023-08-07T00:00:00"/>
    <n v="7"/>
    <x v="9"/>
    <x v="8"/>
  </r>
  <r>
    <s v="NEY FERREIRA DE SOUZA GUERRA"/>
    <n v="306529014"/>
    <s v="295675548-03"/>
    <s v="11 9 9384-5291"/>
    <s v="RUA ALVES GUIMARÃES 911 APTO 82 "/>
    <s v="PINHEIROS"/>
    <s v="SÃO PAULO"/>
    <s v="05410-001"/>
    <s v="nguerra229@gmail.com                                        "/>
    <s v="MADALENA"/>
    <n v="1"/>
    <d v="2020-10-23T00:00:00"/>
    <n v="23"/>
    <x v="7"/>
    <x v="11"/>
    <m/>
    <n v="1740"/>
    <n v="1740"/>
    <n v="1926.4288200000001"/>
    <n v="2112.8493369114003"/>
    <n v="12677.096021468402"/>
    <m/>
    <s v="EMITIDO BOLETOS JUL A DEZ23"/>
    <s v="INCLUSO RAÇÃO MAX, COLEIRA E VERMIFUGO"/>
    <d v="2023-09-14T00:00:00"/>
    <n v="14"/>
    <x v="10"/>
    <x v="8"/>
  </r>
  <r>
    <s v="JHONY DA SILVA DAMACENO "/>
    <n v="42200859"/>
    <n v="36087313850"/>
    <s v="11 9 6340-9870"/>
    <s v="RUA EMILIO MALLET 335 "/>
    <s v="VILA GOMES CARDIM"/>
    <s v="SÃO PAULO"/>
    <s v="03320-000"/>
    <s v="jhonysilvadamaceno@gmail.com   "/>
    <s v="THOR"/>
    <n v="1"/>
    <d v="2023-09-16T00:00:00"/>
    <n v="26"/>
    <x v="5"/>
    <x v="14"/>
    <m/>
    <m/>
    <m/>
    <n v="597"/>
    <n v="597"/>
    <n v="1194"/>
    <m/>
    <m/>
    <m/>
    <d v="2023-09-23T00:00:00"/>
    <n v="23"/>
    <x v="10"/>
    <x v="8"/>
  </r>
  <r>
    <s v="MARCELO AUGUSTO B BALABAN          "/>
    <n v="300422271"/>
    <s v="263.900.838-23"/>
    <s v="11 945689994  "/>
    <s v="AVENIDA PADRE ANTONIO JOSE DOS SANTOS, 495 Ap 94 New Style"/>
    <s v="BROOKLIN     "/>
    <s v="SÃO PAULO "/>
    <s v="04563-011"/>
    <s v="mabbalaban@gmail.com"/>
    <s v="TREMOÇO"/>
    <n v="1"/>
    <d v="2022-06-05T00:00:00"/>
    <n v="5"/>
    <x v="1"/>
    <x v="13"/>
    <m/>
    <m/>
    <m/>
    <n v="620"/>
    <n v="679.99739999999997"/>
    <n v="4080.0043999999998"/>
    <m/>
    <s v="EMITIDO BOLETOS JUL A DEZ23"/>
    <m/>
    <d v="2023-09-16T00:00:00"/>
    <n v="16"/>
    <x v="10"/>
    <x v="8"/>
  </r>
  <r>
    <s v="SUELI DI MAURO "/>
    <m/>
    <s v="284.528.128-50"/>
    <s v="11 9 7475-5758"/>
    <s v="RUA ANTONIETA CANELLE DE CAMARGO 148"/>
    <s v="JARDIM DOS LAGOS"/>
    <s v="ITATIBA"/>
    <s v="13257-831"/>
    <s v="suelidimauro@hotmail.com"/>
    <s v="BRAD, PRETINHA, LUCKY, TARZAN"/>
    <n v="4"/>
    <d v="2022-09-24T00:00:00"/>
    <n v="24"/>
    <x v="5"/>
    <x v="13"/>
    <m/>
    <m/>
    <m/>
    <n v="5600"/>
    <n v="3070.9560000000001"/>
    <n v="9212.8680000000004"/>
    <m/>
    <s v="EMITIDO BOLETOS DE JAN A JUN23"/>
    <m/>
    <d v="2023-09-25T00:00:00"/>
    <n v="25"/>
    <x v="10"/>
    <x v="8"/>
  </r>
  <r>
    <s v="JOANITA CRISTINA CALESCO"/>
    <n v="43651422"/>
    <s v="322.163.588.51"/>
    <s v="11 9 8373-4213"/>
    <s v="RUA WERNER GOLDBERG 157 C APTO 211"/>
    <s v="JD TUPANCY"/>
    <s v="BARUERI"/>
    <s v="06414-025"/>
    <s v="jo.criscal@hotmail.com"/>
    <s v="JOAQUIM"/>
    <n v="1"/>
    <d v="2023-02-28T00:00:00"/>
    <n v="28"/>
    <x v="6"/>
    <x v="14"/>
    <m/>
    <m/>
    <m/>
    <n v="680"/>
    <n v="680"/>
    <n v="4080"/>
    <m/>
    <s v="EMITIDO BOLETOS JUL A DEZ23"/>
    <m/>
    <d v="2023-10-02T00:00:00"/>
    <n v="2"/>
    <x v="11"/>
    <x v="8"/>
  </r>
  <r>
    <s v="MARIA BEATRIZ IERVOLINO PACHECO E SILVA"/>
    <n v="6554015"/>
    <s v="157616608-22"/>
    <s v="11 3569-0646"/>
    <s v="AV. LOPES DE AZEVEDO 266 "/>
    <s v="JARDIM GUEDALA"/>
    <s v="SÃO PAULO"/>
    <s v="05603-000"/>
    <s v="biaipacheco@gmail.com"/>
    <s v="BORIS"/>
    <n v="1"/>
    <d v="2023-09-29T00:00:00"/>
    <n v="29"/>
    <x v="5"/>
    <x v="14"/>
    <m/>
    <m/>
    <m/>
    <n v="597"/>
    <n v="597"/>
    <n v="1791"/>
    <m/>
    <s v="EMITIDO BOLETOS OUT A DEZ23"/>
    <m/>
    <d v="2023-10-13T00:00:00"/>
    <n v="13"/>
    <x v="11"/>
    <x v="8"/>
  </r>
  <r>
    <s v="CINTHIA BEZERRA R. DE O. BATALLAS"/>
    <n v="477156502"/>
    <s v="431.613.268-73"/>
    <s v="11 9 4526-8652"/>
    <s v="RUA IPÊS, 305 APARTAMENTO 33 B"/>
    <s v="SUZANO"/>
    <s v="SÃO PAULO"/>
    <s v="08615-060"/>
    <s v="cinthia.rodrigues35@hotmail.com"/>
    <s v="SCOTT"/>
    <n v="1"/>
    <d v="2023-08-19T00:00:00"/>
    <n v="19"/>
    <x v="3"/>
    <x v="14"/>
    <m/>
    <m/>
    <m/>
    <n v="597"/>
    <n v="597"/>
    <n v="2388"/>
    <m/>
    <s v="EMITIDO BOLETOS SET A DEZ23"/>
    <m/>
    <d v="2023-11-07T00:00:00"/>
    <n v="7"/>
    <x v="12"/>
    <x v="8"/>
  </r>
  <r>
    <s v="TALITA TURCO CUSCIANNA"/>
    <s v="35584432-1"/>
    <s v="419.924.128-04"/>
    <s v="11 9 7538-0758"/>
    <s v="RUA SÃO CRISTOVÃO, 80 JD SÃO FRANCISCO"/>
    <s v="CAIEIRAS"/>
    <s v="SÃO PAULO"/>
    <s v="07700-025"/>
    <s v="talitaturco@gmail.com"/>
    <s v="THÉO"/>
    <n v="1"/>
    <d v="2023-08-21T00:00:00"/>
    <n v="21"/>
    <x v="3"/>
    <x v="14"/>
    <m/>
    <m/>
    <m/>
    <n v="597"/>
    <n v="597"/>
    <n v="2388"/>
    <m/>
    <s v="EMITIDO BOLETOS SET A DEZ23"/>
    <m/>
    <d v="2023-11-20T00:00:00"/>
    <n v="20"/>
    <x v="12"/>
    <x v="8"/>
  </r>
  <r>
    <s v="LUCIA HELENA MOURA XAVIER GARCIA"/>
    <s v="18.432.729-5"/>
    <s v="183942698-50"/>
    <s v="11 9 8100-5756"/>
    <s v="RUA DA PAZ N° 2150 APTO 104A "/>
    <s v="CHACARA SANTO ANTONIO"/>
    <s v="SÃO PAULO"/>
    <s v="04713-002"/>
    <s v="luciaxaviergarcia@gmail.com"/>
    <s v="MORENA"/>
    <n v="1"/>
    <d v="2015-09-17T00:00:00"/>
    <n v="17"/>
    <x v="5"/>
    <x v="6"/>
    <n v="1500"/>
    <n v="1656.2500499999999"/>
    <n v="1064"/>
    <n v="1767.0001520000001"/>
    <n v="1937.9927567090401"/>
    <n v="11627.956540254241"/>
    <m/>
    <s v="EMITIDO BOLETOS JUL A DEZ23"/>
    <m/>
    <d v="2023-11-22T00:00:00"/>
    <n v="22"/>
    <x v="12"/>
    <x v="8"/>
  </r>
  <r>
    <s v="JULIAN SHINOBU AKINAGA"/>
    <n v="43696603"/>
    <s v="347.654.808-28"/>
    <s v="41 9 9917-0026"/>
    <s v="RUA TABAJARAS, 226 ÚNICO-202 "/>
    <s v="VILA ISABEL "/>
    <s v="CURITIBA"/>
    <s v="80320-310"/>
    <s v="julian.akinaga@gmail.com"/>
    <s v="PIPOCA"/>
    <n v="1"/>
    <d v="2020-12-08T00:00:00"/>
    <n v="8"/>
    <x v="11"/>
    <x v="11"/>
    <m/>
    <n v="1160"/>
    <n v="1160"/>
    <n v="642.14293999999995"/>
    <n v="704.28311230379995"/>
    <n v="739.5"/>
    <n v="4437"/>
    <m/>
    <s v="EMITIDO BOLETOS JAN A JUN24"/>
    <d v="2023-12-12T00:00:00"/>
    <n v="12"/>
    <x v="1"/>
    <x v="8"/>
  </r>
  <r>
    <s v="TIAGO DA SILVA GATTI"/>
    <n v="401873778"/>
    <s v="399.762.158-60"/>
    <s v="15 99115-4640"/>
    <s v="VEREADOR BATISTA GI 687"/>
    <s v="RECANTO DAS ROSAS "/>
    <s v="CERQUILHO"/>
    <s v="18523-262"/>
    <s v="adriannnagatti@gmail.com"/>
    <s v="CREED"/>
    <n v="1"/>
    <d v="2021-09-08T00:00:00"/>
    <n v="8"/>
    <x v="5"/>
    <x v="12"/>
    <m/>
    <m/>
    <n v="560"/>
    <n v="620.00008000000003"/>
    <n v="679.99748774160003"/>
    <n v="714"/>
    <n v="4284"/>
    <m/>
    <s v="EMITIDO BOLETOS JAN A JUN24"/>
    <d v="2024-01-09T00:00:00"/>
    <n v="9"/>
    <x v="2"/>
    <x v="9"/>
  </r>
  <r>
    <s v="CARLOS ALBERTO SAGRANICHINY"/>
    <s v="Y013137D"/>
    <s v="135.970.158-32"/>
    <s v="11 989302370"/>
    <s v="RUA OS SERTÕES 35 "/>
    <s v="JD DA GLORIA"/>
    <s v="SÃO PAULO"/>
    <s v="01547-050"/>
    <s v="martinhernandez@terra.com.br  "/>
    <s v="BRAVA"/>
    <n v="1"/>
    <d v="2023-10-27T00:00:00"/>
    <n v="27"/>
    <x v="7"/>
    <x v="14"/>
    <m/>
    <m/>
    <m/>
    <n v="680"/>
    <n v="597"/>
    <n v="626.85"/>
    <n v="3761.1000000000004"/>
    <m/>
    <s v="EMITIDO BOLETOS JAN A JUN24"/>
    <d v="2024-01-18T00:00:00"/>
    <n v="18"/>
    <x v="2"/>
    <x v="9"/>
  </r>
  <r>
    <s v="SONIA REGINA SAAD WHITAKER"/>
    <n v="5516744"/>
    <s v="001.467.828-44"/>
    <s v="11 9 9264-3401"/>
    <s v="RUA CASA DO ATOR, 924 1° ANDAR N° 11 "/>
    <s v="VILA OLIMPIA "/>
    <s v="SÃO PAULO"/>
    <s v="04546-003"/>
    <s v="Sonia_rsaad@hotmail.com "/>
    <s v="MANOLO"/>
    <n v="1"/>
    <n v="45230"/>
    <n v="31"/>
    <x v="7"/>
    <x v="14"/>
    <m/>
    <m/>
    <m/>
    <m/>
    <n v="1100"/>
    <n v="1100"/>
    <n v="6600"/>
    <m/>
    <s v="EMITIDO BOLETOS JAN A JUN24"/>
    <d v="2023-12-26T00:00:00"/>
    <n v="26"/>
    <x v="1"/>
    <x v="8"/>
  </r>
  <r>
    <s v="MARIA CECILIA SOBRAL"/>
    <n v="8840476"/>
    <s v="040203438-45"/>
    <s v="11 3887-9767  "/>
    <s v="AV ANTONIO JOAQUIM DE MOURA ANDRADE Nº 320"/>
    <s v="VILA N. CONCEICAO(JD.PAULISTA"/>
    <s v="SÃO PAULO"/>
    <s v="04507-000"/>
    <s v="mcsobral@yahoo.com.br"/>
    <s v="FAISCA"/>
    <n v="1"/>
    <d v="2013-07-31T00:00:00"/>
    <n v="31"/>
    <x v="8"/>
    <x v="2"/>
    <n v="480"/>
    <n v="530.00001599999996"/>
    <n v="560.0000150056602"/>
    <n v="620.00009661341164"/>
    <n v="679.99750596269155"/>
    <n v="714"/>
    <n v="4284"/>
    <m/>
    <s v="NÃO EMITIDO"/>
    <d v="2023-12-13T00:00:00"/>
    <n v="13"/>
    <x v="1"/>
    <x v="8"/>
  </r>
  <r>
    <s v="CAIO DA SILVA PRADO JR"/>
    <s v="26436591 4"/>
    <s v="179.593.678-92"/>
    <s v="1 9 9166-5706"/>
    <s v="RUA CAIUBI 1096 APTO 905"/>
    <s v="PERDIZES          "/>
    <s v="SÃO PAULO"/>
    <s v="05010-000"/>
    <s v="caioprado@me.com"/>
    <s v="PIRATA"/>
    <n v="1"/>
    <d v="2016-09-22T00:00:00"/>
    <n v="22"/>
    <x v="5"/>
    <x v="7"/>
    <n v="380"/>
    <n v="419.58334600000001"/>
    <n v="443.33334521281438"/>
    <n v="490.83340981895094"/>
    <n v="538.33135888713082"/>
    <n v="565.25"/>
    <n v="3391.5"/>
    <m/>
    <s v="EMITIDO BOLETOS JAN A JUN24"/>
    <d v="2024-02-03T00:00:00"/>
    <n v="3"/>
    <x v="3"/>
    <x v="9"/>
  </r>
  <r>
    <s v="CRISLAENE DOS SANTOS DUARTE DE ANDRADE"/>
    <n v="48511847"/>
    <s v="395.267.138-00"/>
    <s v="11 9 7324-5359"/>
    <s v="RODOVIA RAPOSO TAVARES KM 37- CONDOMINIO TERRA NOBRE "/>
    <s v="BOA VISTA"/>
    <s v="COTIA"/>
    <s v="06701-000"/>
    <s v="crislaene.duarte@gmail.com    "/>
    <s v="HANNA"/>
    <n v="1"/>
    <d v="2023-12-01T00:00:00"/>
    <n v="1"/>
    <x v="11"/>
    <x v="14"/>
    <m/>
    <m/>
    <m/>
    <m/>
    <n v="597"/>
    <n v="626.85"/>
    <n v="3761.1000000000004"/>
    <m/>
    <s v="EMITIDO BOLETOS JAN A JUN24"/>
    <d v="2024-01-20T00:00:00"/>
    <n v="20"/>
    <x v="2"/>
    <x v="9"/>
  </r>
  <r>
    <s v="EDUARDO DE LAURENTIS RUSSO"/>
    <n v="3101803520"/>
    <s v="281.299.168-27"/>
    <s v="11 9 9338-6027"/>
    <s v="RUA FABIA, 1050 APTO 205 "/>
    <s v="VILA ROMANA"/>
    <s v="SÃO PAULO"/>
    <s v="05051-030"/>
    <s v="eduardo.russo@ymail.com                           "/>
    <s v="CHICO"/>
    <n v="1"/>
    <d v="2023-08-27T00:00:00"/>
    <n v="27"/>
    <x v="3"/>
    <x v="14"/>
    <m/>
    <m/>
    <m/>
    <n v="597"/>
    <n v="597"/>
    <n v="626.85"/>
    <n v="3761.1000000000004"/>
    <m/>
    <s v="EMITIDO BOLETOS JAN A JUN24"/>
    <d v="2024-02-07T00:00:00"/>
    <n v="7"/>
    <x v="3"/>
    <x v="9"/>
  </r>
  <r>
    <s v="BARBARA SIERRA GONÇALVES"/>
    <n v="379294898"/>
    <s v="448.769.188-56"/>
    <s v="11 9 8543-9886"/>
    <s v="RUA ULISSES CRUZ 668 APTO 125 TORRE STAR "/>
    <s v="TATUAPE"/>
    <s v="SÃO PAULO"/>
    <s v="03077-000"/>
    <s v="barbara-sierra@live.com     "/>
    <s v="ZÉ"/>
    <n v="1"/>
    <d v="2018-01-01T00:00:00"/>
    <n v="1"/>
    <x v="10"/>
    <x v="9"/>
    <n v="588"/>
    <n v="480"/>
    <n v="480"/>
    <n v="531.42863999999997"/>
    <n v="582.85498949279997"/>
    <n v="612"/>
    <n v="3672"/>
    <m/>
    <s v="EMITIDO BOLETOS JAN A JUN24"/>
    <d v="2024-01-13T00:00:00"/>
    <n v="13"/>
    <x v="2"/>
    <x v="9"/>
  </r>
  <r>
    <s v="EVANDRO LUIZ DE SOUZA"/>
    <s v="15707499X"/>
    <s v="125.805448-52"/>
    <s v="11 9 7720-4496"/>
    <s v="AV GUARAPIRANGA 02616 BLC 11/COLIBRI APTO 142"/>
    <s v="JARDIM DAS FLORES"/>
    <s v="SÃO PAULO"/>
    <s v="04904-904"/>
    <s v="audreyrovelli@hotmail.com"/>
    <s v="PANDORA"/>
    <n v="1"/>
    <d v="2020-10-02T00:00:00"/>
    <n v="2"/>
    <x v="7"/>
    <x v="11"/>
    <m/>
    <n v="480"/>
    <n v="480"/>
    <n v="531.42863999999997"/>
    <n v="582.85498949279997"/>
    <n v="612"/>
    <n v="3672"/>
    <m/>
    <s v="EMITIDO BOLETOS JAN A JUN24"/>
    <d v="2024-01-09T00:00:00"/>
    <n v="9"/>
    <x v="2"/>
    <x v="9"/>
  </r>
  <r>
    <s v="ENRIQUE CANDIDO DOS SANTOS MOREIA"/>
    <s v="54067631-7"/>
    <s v="018.016.642-50"/>
    <s v="11 9 9588-0801"/>
    <s v="RUA MÁRIO AUGUSTO DO CARMO 427 "/>
    <s v="JARDIM AVELINO"/>
    <s v="SÃO PAULO"/>
    <s v="03227-070"/>
    <s v="enrique.contato@hotmail.com        "/>
    <s v="APOLLO"/>
    <n v="1"/>
    <d v="2023-12-16T00:00:00"/>
    <n v="16"/>
    <x v="11"/>
    <x v="14"/>
    <m/>
    <m/>
    <m/>
    <m/>
    <n v="597"/>
    <n v="597"/>
    <n v="3582"/>
    <m/>
    <s v="EMITIDO BOLETOS JAN A JUN24"/>
    <d v="2024-03-16T00:00:00"/>
    <n v="16"/>
    <x v="4"/>
    <x v="9"/>
  </r>
  <r>
    <s v="NEIVA DOURADO MARTINS MENDES"/>
    <n v="18420741"/>
    <s v="030283108-80"/>
    <s v="11 4121-7832     "/>
    <s v="RUA DOMICIANO ROSSI 600 APTO193 H"/>
    <s v="SÃO BERNARDO DO CAMPO"/>
    <s v="São Bernardo do Campo"/>
    <s v="09726-121"/>
    <s v="neiva.mendes@uol.com.br"/>
    <s v="BANDA"/>
    <n v="1"/>
    <d v="2014-04-02T00:00:00"/>
    <n v="2"/>
    <x v="2"/>
    <x v="4"/>
    <n v="3020.16"/>
    <n v="3334.7601006719997"/>
    <n v="4017.44"/>
    <n v="4447.8805739199997"/>
    <n v="4268.51"/>
    <n v="4481.9400000000005"/>
    <n v="26891.640000000003"/>
    <s v="DDA"/>
    <s v="EMITIDO BOLETOS JAN A JUN24"/>
    <d v="2024-03-11T00:00:00"/>
    <n v="11"/>
    <x v="4"/>
    <x v="9"/>
  </r>
  <r>
    <s v="SONIA REGINA SAAD WHITAKER"/>
    <n v="5516744"/>
    <s v="001.467.828-44"/>
    <s v="11 9 9264-3401"/>
    <s v="RUA CASA DO ATOR, 924 1° ANDAR N° 11 "/>
    <s v="VILA OLIMPIA "/>
    <s v="SÃO PAULO"/>
    <s v="04546-003"/>
    <s v="Sonia_rsaad@hotmail.com "/>
    <s v="COKITO"/>
    <n v="1"/>
    <d v="2023-10-31T00:00:00"/>
    <n v="31"/>
    <x v="7"/>
    <x v="14"/>
    <m/>
    <m/>
    <m/>
    <m/>
    <n v="550"/>
    <n v="550"/>
    <n v="3300"/>
    <m/>
    <s v="EMITIDO BOLETOS JAN A JUN24"/>
    <d v="2024-04-02T00:00:00"/>
    <n v="2"/>
    <x v="5"/>
    <x v="9"/>
  </r>
  <r>
    <s v="ROBERTO YUKI MEZZARANO"/>
    <n v="436869433"/>
    <s v="369.563.168-62"/>
    <n v="11963579160"/>
    <s v="RUA GAIOLA 12 CASA 13 "/>
    <s v="RECREIO"/>
    <s v="IBIÚNA"/>
    <s v="18150-000"/>
    <s v="roberto.cog@hotmail.com"/>
    <s v="NINA"/>
    <n v="1"/>
    <d v="2022-04-13T00:00:00"/>
    <n v="13"/>
    <x v="2"/>
    <x v="13"/>
    <m/>
    <m/>
    <m/>
    <n v="620"/>
    <n v="679.99739999999997"/>
    <n v="714"/>
    <n v="4284"/>
    <m/>
    <s v="EMITIDO BOLETOS JAN A JUN24"/>
    <d v="2024-04-10T00:00:00"/>
    <n v="10"/>
    <x v="5"/>
    <x v="9"/>
  </r>
  <r>
    <s v="GABRIELA LEMES DILBURT "/>
    <m/>
    <s v="346.667..408-56"/>
    <s v="11 9 8963-9799"/>
    <s v="RUA JOSÉ GOMES FALCÃO, 215 APTO 124 "/>
    <s v="BARRA FUNDA"/>
    <s v="SÃO PAULO"/>
    <s v="01139-010"/>
    <s v="gabriela.lemes@gmail.com  "/>
    <s v="MERLOT"/>
    <n v="1"/>
    <d v="2022-11-02T00:00:00"/>
    <n v="2"/>
    <x v="4"/>
    <x v="13"/>
    <m/>
    <m/>
    <m/>
    <n v="620"/>
    <n v="680"/>
    <n v="714"/>
    <n v="4284"/>
    <m/>
    <s v="EMITIDO BOLETOS JAN A JUN24"/>
    <d v="2024-05-01T00:00:00"/>
    <n v="1"/>
    <x v="6"/>
    <x v="9"/>
  </r>
  <r>
    <s v="LUCIANO DE JESUS DA ROCHA"/>
    <n v="205220708"/>
    <s v="115.671.768-01"/>
    <s v="11 9 8468-1401"/>
    <s v="RUA GABRIEL ORIFICE, 26"/>
    <s v="VILA ISOLINA MAZZEI"/>
    <s v="SÃO PAULO"/>
    <s v="02084-090"/>
    <s v="lucjero@hotmail.com"/>
    <s v="MAX"/>
    <n v="1"/>
    <d v="2022-01-08T00:00:00"/>
    <n v="8"/>
    <x v="10"/>
    <x v="13"/>
    <m/>
    <m/>
    <m/>
    <n v="620"/>
    <n v="679.99739999999997"/>
    <n v="714"/>
    <n v="4284"/>
    <m/>
    <s v="EMITIDO BOLETOS JAN A JUN24"/>
    <d v="2024-05-12T00:00:00"/>
    <n v="12"/>
    <x v="6"/>
    <x v="9"/>
  </r>
  <r>
    <s v="ISABELA GUINÉ DE SOUZA"/>
    <n v="39102373"/>
    <s v="442.192.058-45"/>
    <s v="11 989655803"/>
    <s v="RUA EUGENE CARRIERE 30 APTO 92 TORRE 3 "/>
    <s v="JARDIM DAS VERTENTES "/>
    <s v="SÃO PAULO"/>
    <s v="05541-100"/>
    <s v="isabelaguine@hotmail.com"/>
    <s v="KATRA"/>
    <n v="1"/>
    <d v="2022-08-06T00:00:00"/>
    <n v="6"/>
    <x v="3"/>
    <x v="13"/>
    <m/>
    <m/>
    <m/>
    <n v="620"/>
    <n v="679.99739999999997"/>
    <n v="714"/>
    <n v="4284"/>
    <m/>
    <s v="EMITIDO BOLETOS JAN A JUN24"/>
    <d v="2024-05-18T00:00:00"/>
    <n v="18"/>
    <x v="6"/>
    <x v="9"/>
  </r>
  <r>
    <s v="FRANKLIN A. RIBEIRO DE SOUZA"/>
    <s v="40931096-7"/>
    <s v="320.221.358-06"/>
    <s v="11 981518506"/>
    <s v="RUA NOSSA SENHORA DO BOM CONSELHO 320"/>
    <s v="CHACARA NOSSA SENHORA DO BOM CONSELHO "/>
    <s v="SÃO PAULO"/>
    <s v="05763-470"/>
    <s v="franklin.dtr@gmail.com"/>
    <s v="LOLA"/>
    <n v="1"/>
    <d v="2021-10-22T00:00:00"/>
    <n v="22"/>
    <x v="7"/>
    <x v="12"/>
    <m/>
    <m/>
    <n v="560"/>
    <n v="620"/>
    <n v="679.99739999999997"/>
    <n v="714"/>
    <n v="4284"/>
    <m/>
    <s v="EMITIDO BOLETOS JAN A JUN24"/>
    <d v="2024-06-06T00:00:00"/>
    <n v="6"/>
    <x v="7"/>
    <x v="9"/>
  </r>
  <r>
    <s v="PALOMA TOZZI CARLINI"/>
    <n v="500562052"/>
    <s v="355.633.588-36"/>
    <s v="11 9 7112-1518"/>
    <s v="RUA DOUTOR RAMIRO DE AZEVEDO 110"/>
    <s v="JARDIM SANTO AMARO"/>
    <s v="SÃO PAULO"/>
    <s v="04741-110"/>
    <s v="paloma.tozzi@projetoecia.com.br   "/>
    <s v="BRUCE"/>
    <n v="1"/>
    <d v="2023-12-07T00:00:00"/>
    <n v="7"/>
    <x v="11"/>
    <x v="14"/>
    <m/>
    <m/>
    <m/>
    <m/>
    <n v="597"/>
    <n v="626.85"/>
    <n v="3761.1000000000004"/>
    <m/>
    <s v="EMITIDO BOLETOS JAN A JUN24"/>
    <d v="2024-06-08T00:00:00"/>
    <n v="8"/>
    <x v="7"/>
    <x v="9"/>
  </r>
  <r>
    <s v="JACQUELINE NASCIMENTO"/>
    <n v="507132166"/>
    <s v="467.859.268.74"/>
    <s v="11 9 5185-9619"/>
    <s v="RUA JACINTO, 47"/>
    <s v="PLANALTO DE COTIA"/>
    <s v="COTIA"/>
    <s v="06728-335"/>
    <s v="contato.jacquenascimento@gmail.com"/>
    <s v="MARCELO"/>
    <n v="1"/>
    <d v="2024-02-18T00:00:00"/>
    <n v="18"/>
    <x v="6"/>
    <x v="15"/>
    <m/>
    <m/>
    <m/>
    <m/>
    <m/>
    <n v="680"/>
    <n v="2720"/>
    <m/>
    <s v="EMITIDO BOLETOS MAR A JUN24"/>
    <d v="2024-06-17T00:00:00"/>
    <n v="17"/>
    <x v="7"/>
    <x v="9"/>
  </r>
  <r>
    <s v="NEY FERREIRA DE SOUZA GUERRA"/>
    <n v="306529014"/>
    <s v="295675548-03"/>
    <s v="11 9 9384-5291"/>
    <s v="RUA ALVES GUIMARÃES 911 APTO 82 "/>
    <s v="PINHEIROS"/>
    <s v="SÃO PAULO"/>
    <s v="05410-001"/>
    <s v="nguerra229@gmail.com                                        "/>
    <s v="BOAZ E LIA"/>
    <n v="2"/>
    <d v="2020-10-23T00:00:00"/>
    <n v="23"/>
    <x v="7"/>
    <x v="11"/>
    <m/>
    <n v="1740"/>
    <n v="1740"/>
    <n v="1926.4288200000001"/>
    <n v="1408.57"/>
    <n v="1479"/>
    <n v="8874"/>
    <m/>
    <s v="EMITIDO BOLETOS JUL A DEZ24"/>
    <d v="2024-07-25T00:00:00"/>
    <n v="25"/>
    <x v="8"/>
    <x v="9"/>
  </r>
  <r>
    <s v="TERESA CRISTINA MOURA XAVIER"/>
    <n v="4319076"/>
    <s v="159.574.018-03"/>
    <s v="11 9 8100-5756"/>
    <s v="AVENIDA PAVÃO 231 APTO 164 B"/>
    <s v="MOEMA"/>
    <s v="SÃO PAULO"/>
    <s v="04516-010"/>
    <s v="tcmxavier@gmail.com"/>
    <s v="MARGARIDA"/>
    <n v="1"/>
    <d v="2024-02-21T00:00:00"/>
    <n v="21"/>
    <x v="6"/>
    <x v="15"/>
    <m/>
    <m/>
    <m/>
    <m/>
    <m/>
    <n v="678.3"/>
    <n v="4069.7999999999997"/>
    <m/>
    <s v="EMITIDO BOLETOS JUL A DEZ24"/>
    <d v="2024-08-05T00:00:00"/>
    <n v="5"/>
    <x v="9"/>
    <x v="9"/>
  </r>
  <r>
    <s v="MARCIA DE PINHO VIEIRA"/>
    <n v="172619014"/>
    <s v="102.004.198-62"/>
    <s v="11 9 9918-8301"/>
    <s v="AV. WASHINGTON LUÍS 1576 APTO 264 A"/>
    <s v="SANTO AMARO"/>
    <s v="SÃO PAULO"/>
    <s v="04662-902"/>
    <s v="marciapvieira@hotmail.com"/>
    <s v="BOLINHA"/>
    <n v="1"/>
    <d v="2022-12-19T00:00:00"/>
    <n v="19"/>
    <x v="11"/>
    <x v="13"/>
    <m/>
    <m/>
    <m/>
    <m/>
    <m/>
    <n v="630"/>
    <n v="7560"/>
    <m/>
    <s v="EMITIDO BOLETOS JUL A DEZ 24"/>
    <d v="2024-08-15T00:00:00"/>
    <n v="15"/>
    <x v="9"/>
    <x v="9"/>
  </r>
  <r>
    <s v="THAIS MAGALHÃES "/>
    <n v="43615241"/>
    <n v="43191715860"/>
    <s v="11 9 4713-2083"/>
    <s v="RUA DO CAMPO, 830 ARUJAZINHO I,II e III "/>
    <s v="JARDIM CAIUBÍ"/>
    <s v="ARUJA "/>
    <s v="07435-460"/>
    <s v="taizmaga@gmail.com"/>
    <s v="NICK"/>
    <n v="1"/>
    <d v="2024-06-30T00:00:00"/>
    <n v="30"/>
    <x v="1"/>
    <x v="15"/>
    <m/>
    <m/>
    <m/>
    <m/>
    <n v="1360"/>
    <n v="680"/>
    <n v="4080"/>
    <m/>
    <s v="EMITIDO BOLETOS JUN A DEZ24"/>
    <d v="2024-07-09T00:00:00"/>
    <n v="9"/>
    <x v="8"/>
    <x v="9"/>
  </r>
  <r>
    <s v="CLAUDIA CARDOSO RODRIGUES "/>
    <n v="32513727"/>
    <s v="223721908-73"/>
    <s v="11 9 7650-1340"/>
    <s v="RUA CARLOS GOMES 263 APTO 41"/>
    <s v="CENTRO "/>
    <s v="São Bernardo do Campo"/>
    <s v="09715-130"/>
    <s v="claudiarod.sp@gmail.com"/>
    <s v="COLITA E CHOLO"/>
    <n v="2"/>
    <d v="2019-10-19T00:00:00"/>
    <n v="19"/>
    <x v="7"/>
    <x v="10"/>
    <m/>
    <n v="1007"/>
    <n v="1063.99999639"/>
    <n v="1178.0001480032138"/>
    <n v="1291.9952223254847"/>
    <n v="1356.6"/>
    <n v="8139.5999999999995"/>
    <m/>
    <s v="EMITIDO BOLETOS JUL A DEZ 24"/>
    <d v="2024-10-16T00:00:00"/>
    <n v="16"/>
    <x v="11"/>
    <x v="9"/>
  </r>
  <r>
    <s v="SUELEN CINTIA TARGINO NETO"/>
    <n v="44863210"/>
    <s v="379.547.588-00"/>
    <s v="11 9 7987-0883"/>
    <s v="RUA ANTONIETA LEITÃO 161 "/>
    <s v="FREGUESIA DO Ó"/>
    <s v="SÃO PAULO"/>
    <s v="02925-160"/>
    <s v="suelen.targino@hotmail.com"/>
    <s v="Jully"/>
    <n v="1"/>
    <d v="2021-05-29T00:00:00"/>
    <n v="29"/>
    <x v="0"/>
    <x v="12"/>
    <m/>
    <m/>
    <n v="1900"/>
    <n v="2103.5717"/>
    <n v="2307.1343334090002"/>
    <n v="605.62"/>
    <n v="3633.7200000000003"/>
    <m/>
    <s v="EMITIDO BOLETOS JUL A DEZ24"/>
    <d v="2024-10-28T00:00:00"/>
    <n v="28"/>
    <x v="11"/>
    <x v="9"/>
  </r>
  <r>
    <s v="MILENA DAHER MACEDO"/>
    <m/>
    <s v="311.337.148-11"/>
    <s v="11 99233-1611"/>
    <s v="RUA RAUL POMPEIA, 229 APTO 113 "/>
    <s v="VILA POMPEIA"/>
    <s v="SÃO PAULO"/>
    <s v="05025-010"/>
    <s v="milenadaher@hotmail.com"/>
    <s v="SHEIKE"/>
    <n v="1"/>
    <d v="2022-08-31T00:00:00"/>
    <n v="31"/>
    <x v="3"/>
    <x v="13"/>
    <m/>
    <m/>
    <m/>
    <n v="660"/>
    <n v="723.8682"/>
    <n v="760.06999999999994"/>
    <n v="4560.42"/>
    <m/>
    <s v="EMITIDO BOLETOS JUL A DEZ24"/>
    <d v="2024-10-26T00:00:00"/>
    <n v="26"/>
    <x v="11"/>
    <x v="9"/>
  </r>
  <r>
    <s v="MONICA CESAR GAMA PEREIRA"/>
    <n v="32256499"/>
    <s v="303249998-44"/>
    <s v="11 9 9393-7665"/>
    <s v="RUA JOSE DO PATROCINIO 570 APTO 24 "/>
    <s v="ACLIMAÇÃO"/>
    <s v="SÃO PAULO"/>
    <s v="04108-001"/>
    <s v="monicacesar1@gmail.com"/>
    <s v="ALBERTA"/>
    <n v="1"/>
    <d v="2018-12-13T00:00:00"/>
    <n v="13"/>
    <x v="11"/>
    <x v="9"/>
    <n v="912"/>
    <n v="530"/>
    <n v="559.99999809999997"/>
    <n v="620.00007789642825"/>
    <n v="679.9974854344656"/>
    <n v="714"/>
    <n v="4284"/>
    <m/>
    <s v="EMITIDO BOLETOS JUL A DEZ 24"/>
    <d v="2024-11-19T00:00:00"/>
    <n v="19"/>
    <x v="12"/>
    <x v="9"/>
  </r>
  <r>
    <s v="MAURICIO PEREIRA COSTA"/>
    <n v="40857432"/>
    <s v="299.631.698-30"/>
    <s v="11 9 7288-8902"/>
    <s v="AV GIOVANI ATTILIO TOLAINE 99 "/>
    <s v="VOTUPOCA"/>
    <s v="BARUERI"/>
    <s v="06445-000"/>
    <s v="mauricioaeb@icloud.com"/>
    <s v="FREDERICO"/>
    <n v="1"/>
    <d v="2021-04-20T00:00:00"/>
    <n v="20"/>
    <x v="2"/>
    <x v="12"/>
    <m/>
    <m/>
    <n v="480"/>
    <n v="531.42863999999997"/>
    <n v="582.85498949279997"/>
    <n v="612"/>
    <n v="3672"/>
    <m/>
    <s v="EMITIDO BOLETOS JUL A DEZ 24"/>
    <d v="2024-11-27T00:00:00"/>
    <n v="27"/>
    <x v="12"/>
    <x v="9"/>
  </r>
  <r>
    <s v="VANESSA MAKITA DE SOUZA SILVA"/>
    <n v="297847417"/>
    <s v="289.591.878-36"/>
    <s v="11 9 5840-0084"/>
    <s v="AVENIDA CARDEAL MOTTA, 545 APTO 71 B "/>
    <s v="CITY AMERICA "/>
    <s v="SÃO PAULO"/>
    <s v="05101-210"/>
    <s v="vanessamakita@gmail.com"/>
    <s v="MIKE"/>
    <n v="1"/>
    <d v="2024-02-17T00:00:00"/>
    <n v="17"/>
    <x v="6"/>
    <x v="15"/>
    <m/>
    <m/>
    <m/>
    <m/>
    <m/>
    <n v="680"/>
    <n v="4080"/>
    <m/>
    <s v="EMITIDO BOLETOS JUL A DEZ 24"/>
    <d v="2024-11-24T00:00:00"/>
    <n v="24"/>
    <x v="12"/>
    <x v="9"/>
  </r>
  <r>
    <s v="NEIVA DOURADO MARTINS MENDES"/>
    <n v="18420741"/>
    <s v="030283108-80"/>
    <s v="11 4121-7832     "/>
    <s v="RUA DOMICIANO ROSSI 600 APTO193 H"/>
    <s v="SÃO BERNARDO DO CAMPO"/>
    <s v="São Bernardo do Campo"/>
    <s v="09726-121"/>
    <s v="neiva.mendes@uol.com.br"/>
    <s v="COSTELINHA"/>
    <n v="1"/>
    <d v="2014-04-02T00:00:00"/>
    <n v="2"/>
    <x v="2"/>
    <x v="4"/>
    <n v="3334.7601006719997"/>
    <n v="4017.44"/>
    <n v="4447.8805739199997"/>
    <n v="4268.51"/>
    <n v="3841.66"/>
    <n v="4033.75"/>
    <n v="23049.96"/>
    <s v="DDA"/>
    <s v="EMITIDO BOLETOS JUL A DEZ24"/>
    <d v="2025-01-03T00:00:00"/>
    <n v="3"/>
    <x v="2"/>
    <x v="10"/>
  </r>
  <r>
    <s v="BEATRIZ LEAL DE ARAUJO BARBOSA DA SILVA"/>
    <n v="634118134"/>
    <s v="463593698-85"/>
    <s v="13 9 91047178"/>
    <s v="AVENIDA BRIGADEIRO LUIS ANTONIO, 566 Apto 203"/>
    <s v="BELA VISTA"/>
    <s v="SÃO PAULO"/>
    <s v="01318-000"/>
    <s v="blealaraujo@gmail.com"/>
    <s v="LANA"/>
    <n v="1"/>
    <d v="2024-08-29T00:00:00"/>
    <n v="29"/>
    <x v="3"/>
    <x v="15"/>
    <m/>
    <m/>
    <m/>
    <m/>
    <n v="1360"/>
    <n v="714"/>
    <n v="4284"/>
    <m/>
    <s v="EMITIDO BOLETOS DE JAN A JUL25"/>
    <d v="2025-01-18T00:00:00"/>
    <n v="18"/>
    <x v="2"/>
    <x v="10"/>
  </r>
  <r>
    <s v="MARISA BORBA GARCIA"/>
    <s v="002.856.013-25"/>
    <s v="292.395.418-10"/>
    <s v="11 98069-8866"/>
    <s v="Avenida Brasil 1598 Ap 12 torre 12"/>
    <s v="Monte santo"/>
    <s v="COTIA"/>
    <s v="06700-300"/>
    <s v="marisaborbagarcia@gmail.com"/>
    <s v="LUPI"/>
    <n v="1"/>
    <d v="2021-05-15T00:00:00"/>
    <n v="15"/>
    <x v="0"/>
    <x v="12"/>
    <m/>
    <n v="480"/>
    <n v="531.42863999999997"/>
    <n v="582.85498949279997"/>
    <n v="612"/>
    <n v="642.6"/>
    <n v="3855.6000000000004"/>
    <m/>
    <s v="EMITIDO BOLETOS DE JAN A JUN25"/>
    <d v="2025-01-10T00:00:00"/>
    <n v="10"/>
    <x v="2"/>
    <x v="10"/>
  </r>
  <r>
    <s v="CESIRA BERTONI JARDIM"/>
    <n v="2643165411"/>
    <n v="24769975104"/>
    <s v="61 9164-9126"/>
    <s v="ALAMEDA BARROS, 418 APTO 122 "/>
    <s v="SANTA CECILIA "/>
    <s v="SÃO PAULO"/>
    <s v="01232-000"/>
    <s v="jardim.cesira@gmail.com"/>
    <s v="LUNA"/>
    <n v="1"/>
    <d v="2024-12-13T00:00:00"/>
    <n v="13"/>
    <x v="11"/>
    <x v="15"/>
    <m/>
    <m/>
    <m/>
    <m/>
    <n v="680"/>
    <n v="714"/>
    <n v="4284"/>
    <m/>
    <s v="EMITIDO BOLETOS DE JAN A JUN25"/>
    <d v="2025-02-11T00:00:00"/>
    <n v="11"/>
    <x v="3"/>
    <x v="10"/>
  </r>
  <r>
    <m/>
    <m/>
    <m/>
    <m/>
    <m/>
    <m/>
    <m/>
    <m/>
    <m/>
    <m/>
    <m/>
    <m/>
    <m/>
    <x v="12"/>
    <x v="16"/>
    <m/>
    <m/>
    <m/>
    <m/>
    <m/>
    <m/>
    <m/>
    <m/>
    <m/>
    <m/>
    <m/>
    <x v="13"/>
    <x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ANA PAULA DE OLIVEIRA VIEIRA"/>
    <s v="50320046-3"/>
    <s v="042486506-81"/>
    <s v="11 3763-3068"/>
    <s v="RUA EULO MARONI N°171 BLC05 APTO 31"/>
    <s v="VILA LAGEADO"/>
    <s v="São Paulo"/>
    <s v="05338-100"/>
    <s v="apovieira@yahoo.com"/>
    <s v="LUNA"/>
    <n v="1"/>
    <d v="2011-06-21T00:00:00"/>
    <n v="21"/>
    <x v="0"/>
    <x v="0"/>
  </r>
  <r>
    <s v="NEIVA DOURADO MARTINS MENDES"/>
    <n v="18420741"/>
    <s v="030283108-80"/>
    <s v="11 4121-7832     "/>
    <s v="RUA DOMICIANO ROSSI 600 APTO193 H"/>
    <s v="SÃO BERNARDO DO CAMPO"/>
    <s v="SÃO BERNARDO DO CAMPO"/>
    <s v="09726-121"/>
    <s v="neiva.mendes@uol.com.br"/>
    <s v="BELINHA , LEIA, FAROFA,  PIPOCA E NINA"/>
    <n v="5"/>
    <d v="2014-04-02T00:00:00"/>
    <n v="2"/>
    <x v="1"/>
    <x v="1"/>
  </r>
  <r>
    <s v="KARINA ROLIM PEREIRA DOS SANTOS"/>
    <n v="43618716"/>
    <s v="316771568-56"/>
    <s v="11 2309-9402 "/>
    <s v="RUA ANTONIO AGGIO,400 APTO 41 "/>
    <s v="JARDIM AMPLIAÇÃO"/>
    <s v="São Paulo"/>
    <s v="05713-420"/>
    <s v="karinarolim@hotmail.com "/>
    <s v="VALENTINO"/>
    <n v="1"/>
    <d v="2015-05-30T00:00:00"/>
    <n v="30"/>
    <x v="2"/>
    <x v="2"/>
  </r>
  <r>
    <s v="LUCIA HELENA MOURA XAVIER GARCIA"/>
    <s v="18.432.729-5"/>
    <s v="183942698-50"/>
    <s v="11 9 8100-5756"/>
    <s v="RUA DA PAZ N° 2150 APTO 104A "/>
    <s v="CHACARA SANTO ANTONIO"/>
    <s v="São Paulo"/>
    <s v="04713-002"/>
    <s v="luciaxaviergarcia@gmail.com"/>
    <s v="DUDA E FILO"/>
    <n v="2"/>
    <d v="2015-09-17T00:00:00"/>
    <n v="17"/>
    <x v="3"/>
    <x v="2"/>
  </r>
  <r>
    <s v="SAMANTHA SARAIVA"/>
    <s v="MG2087209"/>
    <s v="011750776-82"/>
    <s v="11 942492977"/>
    <s v="RUA PEIXOTO GOMIDE, 1769 APTO 31"/>
    <s v="JARDIM PAULISTA"/>
    <s v="São Paulo"/>
    <s v="01409-000"/>
    <s v="samantha.saraiva@gmail.com"/>
    <s v="VIVIAN"/>
    <n v="1"/>
    <d v="2015-11-14T00:00:00"/>
    <n v="14"/>
    <x v="4"/>
    <x v="2"/>
  </r>
  <r>
    <s v="CECILIA MARIA GRANATO DE ANDRADE"/>
    <n v="35079126"/>
    <s v="007.326.738-44"/>
    <s v="11 99183-8895"/>
    <s v="RUA FERNANDES MOREIRA, 582 APTO 142"/>
    <s v="CHACARA SANTO ANTONIO"/>
    <s v="São Paulo"/>
    <s v="04716-001"/>
    <s v="ceciliagranato@gmail.com"/>
    <s v="HOMER"/>
    <n v="1"/>
    <d v="2016-01-24T00:00:00"/>
    <n v="24"/>
    <x v="5"/>
    <x v="3"/>
  </r>
  <r>
    <s v="GILBERTO ARMENTANO CLARK REIS"/>
    <n v="777892"/>
    <s v="083.748.368-90"/>
    <s v="11 31293591  "/>
    <s v="RUA AUGUSTA 1460 APTO 32 "/>
    <s v="CONSOLAÇÃO"/>
    <s v="São Paulo"/>
    <s v="01304-001"/>
    <s v="garmentano@uol.com.br"/>
    <s v="LOLLA"/>
    <n v="1"/>
    <d v="2016-10-13T00:00:00"/>
    <n v="13"/>
    <x v="6"/>
    <x v="3"/>
  </r>
  <r>
    <s v="VITOR BARBANTI PAZIN"/>
    <s v="46.517.691-4"/>
    <s v="400.762.228-02"/>
    <s v="11 2682 9229  "/>
    <s v="RUA GUARAS 17"/>
    <s v="VILA ARAGUAIA"/>
    <s v="São Paulo"/>
    <s v="03735-120"/>
    <s v="vitor.pazin@gmail.com"/>
    <s v="BOLT"/>
    <n v="1"/>
    <d v="2017-05-12T00:00:00"/>
    <n v="12"/>
    <x v="2"/>
    <x v="4"/>
  </r>
  <r>
    <s v="ANA CLAUDIA CUNHA TRAVASSOS"/>
    <n v="141308254"/>
    <s v="245768928-78"/>
    <s v="11-982446128 "/>
    <s v="AV. GUILHERME DUMONT VILLARES, 2001 APTO 13 "/>
    <s v="JD LONDRINA"/>
    <s v="São Paulo"/>
    <s v="05640-003"/>
    <s v="acctravassos@gmail.com"/>
    <s v="MEL"/>
    <n v="1"/>
    <d v="2017-08-25T00:00:00"/>
    <n v="25"/>
    <x v="7"/>
    <x v="4"/>
  </r>
  <r>
    <s v="MONICA DOS SANTOS COUTINHO"/>
    <s v="18870928-9"/>
    <s v="091.175.968-90"/>
    <s v="11 9 856-8838"/>
    <s v="RUA PROFESSOR JOAO ARRUDA 134 APTO 54"/>
    <s v="PERDIZES          "/>
    <s v="São Paulo"/>
    <s v="05012-000"/>
    <s v="monicascoutinho@live.com"/>
    <s v="FAÍSCA"/>
    <n v="1"/>
    <d v="2018-01-13T00:00:00"/>
    <n v="13"/>
    <x v="5"/>
    <x v="5"/>
  </r>
  <r>
    <s v="ANTONIO CARLOS SOBRINHO"/>
    <n v="205114313"/>
    <s v="146395318-69"/>
    <s v="1198457-4196"/>
    <s v="SILVEIRA RODRIGUES, 23 APTO 32 B "/>
    <s v="SILICIANO"/>
    <s v="São Paulo"/>
    <s v="05048-070"/>
    <s v="acsobrinho@gmail.com"/>
    <s v="NINO"/>
    <n v="1"/>
    <d v="2018-09-01T00:00:00"/>
    <n v="1"/>
    <x v="3"/>
    <x v="5"/>
  </r>
  <r>
    <s v="CRISTINA NAVARRO BARON"/>
    <n v="162230187"/>
    <s v="087.125.328-35"/>
    <s v="11  2918-2473  "/>
    <s v="RUA DANIEL MIRABELO 130 CASA 29"/>
    <s v="VILA EMA"/>
    <s v="São Paulo"/>
    <s v="03275-008"/>
    <s v="cristinabrux@gmail.com"/>
    <s v="MUSTAFFÁ"/>
    <n v="1"/>
    <d v="2019-04-02T00:00:00"/>
    <n v="2"/>
    <x v="1"/>
    <x v="6"/>
  </r>
  <r>
    <s v="ADRIANA RODRIGUES LOPEZ HERNANDEZ"/>
    <s v="23271188-4"/>
    <s v="181.646.918-10"/>
    <s v="112261-1855"/>
    <s v="RUA SANTO ADALBERTO 207 "/>
    <s v="JARDIM FRANCA "/>
    <s v="São Paulo"/>
    <s v="02338-000"/>
    <s v="adrianarlh@bol.com.br "/>
    <s v="SNOOPY"/>
    <n v="1"/>
    <d v="2019-12-01T00:00:00"/>
    <n v="1"/>
    <x v="8"/>
    <x v="6"/>
  </r>
  <r>
    <s v="ANTONIO CARLOS DE OLIVEIRA CARNEIRO"/>
    <n v="181222590"/>
    <n v="15196219811"/>
    <s v="11 9 7614-3422"/>
    <s v="AV ESCOLA POLITENICA APTO 224 C1"/>
    <s v="PARQUE DOS PRINCIPES"/>
    <s v="São Paulo"/>
    <n v="5350000"/>
    <s v="a_carneiro@ig.com.br"/>
    <s v="FRED E PITTY"/>
    <n v="2"/>
    <d v="2020-05-04T00:00:00"/>
    <n v="4"/>
    <x v="2"/>
    <x v="7"/>
  </r>
  <r>
    <s v="MARCIA DE PINHO VIEIRA"/>
    <n v="172619014"/>
    <s v="102004198-62"/>
    <s v="11 9 9918-8301"/>
    <s v="AV. WASHINGTON LUÍS 1576 APTO 264 A"/>
    <s v="SANTO AMARO"/>
    <s v="São Paulo"/>
    <s v="04662-902"/>
    <s v="marciapvieira@hotmail.com"/>
    <s v="LOBINHO"/>
    <n v="1"/>
    <d v="2020-10-24T00:00:00"/>
    <n v="24"/>
    <x v="6"/>
    <x v="7"/>
  </r>
  <r>
    <s v="JULIANA JACOMINO DA ROCHA"/>
    <n v="44207494"/>
    <s v="223.980.228-62"/>
    <s v="11 9 5821-0013"/>
    <s v="RUA INHAMBU 1325 APTO 71 "/>
    <s v="VILA UBERABINHA"/>
    <s v="São Paulo"/>
    <s v="04520-014"/>
    <s v="jjr271278@gmail.com"/>
    <s v="BENJAMIM"/>
    <n v="1"/>
    <d v="2020-12-12T00:00:00"/>
    <n v="12"/>
    <x v="8"/>
    <x v="7"/>
  </r>
  <r>
    <s v="CRISTINA TAVARES DA SILVA"/>
    <s v="W643182-1"/>
    <s v="852.078.618-91"/>
    <s v="11 9 8168-1717"/>
    <s v="RUA MARCOS LOPES 272 APTO 41 E "/>
    <s v="VILA NOVA CONCEIÇÃO"/>
    <s v="São Paulo"/>
    <s v="04513-080"/>
    <s v="cristina.tavares7@gmail.com"/>
    <s v="IGOR"/>
    <n v="1"/>
    <d v="2021-01-08T00:00:00"/>
    <n v="8"/>
    <x v="5"/>
    <x v="8"/>
  </r>
  <r>
    <s v="WILSON MELGES ANTUNES"/>
    <n v="44643971"/>
    <s v="371.085.488-10"/>
    <s v="19 9 9372-6303"/>
    <s v="RUA JOAQUIM DE SEABRA 234 PARQUE RESIDENCIAL NOVA CANAÃ"/>
    <s v="MOGI GUAÇU"/>
    <s v="São Paulo"/>
    <s v="13848-622"/>
    <s v="wilson.m.antunes@hotmail.com"/>
    <s v="ZOE"/>
    <n v="1"/>
    <d v="2021-01-10T00:00:00"/>
    <n v="10"/>
    <x v="5"/>
    <x v="8"/>
  </r>
  <r>
    <s v="MARCIO LEITE"/>
    <n v="198472341"/>
    <s v="142.311.788-36"/>
    <s v="11 972692727"/>
    <s v="AVENIDA ARICANDUVA 8256 BLC 4 APTO 22"/>
    <s v="Jd Colonial"/>
    <s v="São Paulo"/>
    <s v="03951-220"/>
    <s v="gatosemprealerta1873@gmail.com"/>
    <s v="CRISTAL"/>
    <n v="1"/>
    <d v="2021-01-14T00:00:00"/>
    <n v="14"/>
    <x v="5"/>
    <x v="8"/>
  </r>
  <r>
    <s v="SUELEN CINTIA TARGINO NETO"/>
    <n v="44863210"/>
    <s v="379.547.588-00"/>
    <s v="11 9 7987-0883"/>
    <s v="RUA ANTONIETA LEITÃO 161 "/>
    <s v="FREGUESIA DO Ó"/>
    <s v="São Paulo"/>
    <s v="02925-160"/>
    <s v="suelen.targino@hotmail.com"/>
    <s v="PAMELA, LEÃO, ROSSI"/>
    <n v="3"/>
    <d v="2021-05-29T00:00:00"/>
    <n v="29"/>
    <x v="2"/>
    <x v="8"/>
  </r>
  <r>
    <s v="DANIELA LUCAS PEDRO"/>
    <s v="47.599.094-8"/>
    <s v="403647498-73"/>
    <s v="11 56773454 "/>
    <s v="RUA BELMIRO ZANETTI ESTEVES, 223 CASA 2"/>
    <s v="VILA MIRA"/>
    <s v="São Paulo"/>
    <s v="04377-060"/>
    <s v="danishadowcat@yahoo.com.br"/>
    <s v="VALENTINA"/>
    <n v="1"/>
    <d v="2021-06-12T00:00:00"/>
    <n v="12"/>
    <x v="0"/>
    <x v="8"/>
  </r>
  <r>
    <s v="ARIANE BONAFEDE"/>
    <s v="332.232.73"/>
    <s v="343.730.938-22"/>
    <s v="11 97554-8446"/>
    <s v="RUA REGO BARROS 1155 BLC A APTO 115"/>
    <s v="JARDIM VILA FORMOSA"/>
    <s v="São Paulo"/>
    <s v="03460-000"/>
    <s v="ariane.bonafede@yahoo.com.br"/>
    <s v="SHEIKE"/>
    <n v="1"/>
    <d v="2021-08-30T00:00:00"/>
    <n v="30"/>
    <x v="7"/>
    <x v="8"/>
  </r>
  <r>
    <s v="ROSENI ANDREU DE OLIVEIRA"/>
    <n v="285963818"/>
    <s v="192.535.158-05"/>
    <s v="11 9 5305-0888"/>
    <s v="RUA ANHAIA, 439 "/>
    <s v="VILA CURUCA"/>
    <s v="SANTO ANDRÉ "/>
    <s v="09280-490"/>
    <s v="ga.abi@hotmail.com"/>
    <s v="KILLER, SAMANTA E ZOE"/>
    <n v="3"/>
    <d v="2021-10-09T00:00:00"/>
    <n v="9"/>
    <x v="6"/>
    <x v="8"/>
  </r>
  <r>
    <s v="CAMILA DE SOUZA ISSA"/>
    <s v="30432050X"/>
    <s v="279.241.248-88"/>
    <s v="1 99560-5649"/>
    <s v="RUA JOÃO MOURA 1108 APTO 41"/>
    <s v="PINHEIROS"/>
    <s v="São Paulo"/>
    <s v="05412-002"/>
    <s v="ca.issa@hotmail.com"/>
    <s v="FIONA"/>
    <n v="1"/>
    <d v="2021-11-23T00:00:00"/>
    <n v="23"/>
    <x v="4"/>
    <x v="8"/>
  </r>
  <r>
    <s v="HANNA AMBACK ZAMARIAN      "/>
    <n v="338482428"/>
    <s v="407.731.478-02"/>
    <s v="11 95071-1178   "/>
    <s v="RUA FIAÇÃO DA SAÚDE 260 APTO 138 BLC C3                    "/>
    <s v="MIRANDÓPOLIS "/>
    <s v="São Paulo"/>
    <s v="04144-900"/>
    <s v="hannamfigueiredo@gmail.com"/>
    <s v="VITOR"/>
    <n v="1"/>
    <d v="2021-12-08T00:00:00"/>
    <n v="8"/>
    <x v="8"/>
    <x v="8"/>
  </r>
  <r>
    <s v="MARIA GORETTI BEKER FERREIRA"/>
    <n v="69832250"/>
    <s v="186.271.658-74"/>
    <s v="11 93272-3227"/>
    <s v="ALAMEDA DAS SERINGUEIRAS 229 (MORADA DOS PINHEIROS)"/>
    <s v="ALDEIA DA SERRA"/>
    <s v="SANTANA DE PARNAIBA "/>
    <s v="06519-325"/>
    <s v="bekergoretti@gmail.com"/>
    <s v="LORD E LOBO"/>
    <n v="2"/>
    <d v="2022-03-25T00:00:00"/>
    <n v="25"/>
    <x v="9"/>
    <x v="9"/>
  </r>
  <r>
    <s v="ITALO UENO"/>
    <m/>
    <s v="409.533.538-69"/>
    <s v="11 9 7120-2662"/>
    <s v="RUA CACHOEIRO DE ITAPEMIRIM 109 "/>
    <s v="CIDADE PATRIARCA"/>
    <s v="São Paulo"/>
    <s v="03544-050"/>
    <s v="italo_ueno@hotmail.com"/>
    <s v="FLOCK"/>
    <n v="1"/>
    <d v="2022-04-02T00:00:00"/>
    <n v="2"/>
    <x v="1"/>
    <x v="9"/>
  </r>
  <r>
    <s v="EDUARDO COSTA GARCIA PEREZ"/>
    <m/>
    <s v="395.310.868-93"/>
    <s v="35 3899401153"/>
    <s v="AVENIDA ROUXINOL 418 APTO 41 "/>
    <s v="INDIANOPOLIS"/>
    <s v="São Paulo"/>
    <s v="04516-000"/>
    <s v="eduardocgperez@uol.com.br"/>
    <s v="SNOW"/>
    <n v="1"/>
    <d v="2022-08-18T00:00:00"/>
    <n v="18"/>
    <x v="7"/>
    <x v="9"/>
  </r>
  <r>
    <s v="MARCIA DE PINHO VIEIRA"/>
    <n v="172619014"/>
    <s v="102.004.198-62"/>
    <s v="11 9 9918-8301"/>
    <s v="AV. WASHINGTON LUÍS 1576 APTO 264 A"/>
    <s v="SANTO AMARO"/>
    <s v="São Paulo"/>
    <s v="04662-902"/>
    <s v="marciapvieira@hotmail.com"/>
    <s v="RALF"/>
    <n v="1"/>
    <d v="2022-12-19T00:00:00"/>
    <n v="19"/>
    <x v="8"/>
    <x v="9"/>
  </r>
  <r>
    <s v="DIEGO CARNEIRO BARRETO"/>
    <n v="56614758"/>
    <s v="057.140.166-02"/>
    <s v="11 9 9294-4877"/>
    <s v="RUA DONA ANA HELENA DE SALLES GUSMÃO 206"/>
    <s v="JARDIM PAULISTANO "/>
    <s v="São Paulo"/>
    <s v="01457-040"/>
    <s v="diego.carneiro.barreto@gmail.com"/>
    <s v="PIPOCA"/>
    <n v="1"/>
    <d v="2023-03-19T00:00:00"/>
    <n v="19"/>
    <x v="9"/>
    <x v="10"/>
  </r>
  <r>
    <s v="MARILIA TAVARES JORGE"/>
    <s v="44247377-1"/>
    <s v="337.598.108-29"/>
    <s v="11 9 1751-8994"/>
    <s v="AV PROFESSOR JOSE MARIA ALKMIN CASA 1 BLC 4"/>
    <s v="JARDIM ESTER"/>
    <s v="São Paulo"/>
    <s v="05366-000"/>
    <s v="maritjorge@gmail.com"/>
    <s v="LEENA E NINO"/>
    <n v="2"/>
    <d v="2023-04-19T00:00:00"/>
    <n v="19"/>
    <x v="1"/>
    <x v="10"/>
  </r>
  <r>
    <s v="THAIZ LIMA RAMOS DOS SANTOS "/>
    <n v="24599134"/>
    <s v="273.314.658-05"/>
    <s v="11 9 7249-1213"/>
    <s v="RUA RITA JOANA DE SOUSA, 154"/>
    <s v="BROOKLIN NOVO   "/>
    <s v="São Paulo"/>
    <s v="04601-060"/>
    <s v="Thaizl143@gmail.com"/>
    <s v="BILLY"/>
    <n v="1"/>
    <d v="2023-07-02T00:00:00"/>
    <n v="2"/>
    <x v="10"/>
    <x v="10"/>
  </r>
  <r>
    <s v="ALANA FIGUEIREDO    "/>
    <n v="332991143"/>
    <s v="311.392.078-73"/>
    <s v="11 97407-4774     "/>
    <s v="R AROABA, 482   54 B"/>
    <s v="VILA LEOPOLDINA    "/>
    <s v="São Paulo"/>
    <s v="05315-021"/>
    <s v="alanarf@gmail.com     "/>
    <s v="JOHN"/>
    <n v="1"/>
    <d v="2023-08-13T00:00:00"/>
    <n v="13"/>
    <x v="7"/>
    <x v="10"/>
  </r>
  <r>
    <s v="LUIZ CARLOS GONÇALVES         "/>
    <s v="6170605 - X      "/>
    <s v="839.322.248-68"/>
    <s v="11 9 8198 -0517"/>
    <s v="RUA ZACARIAS DE GOES 2006"/>
    <s v="CAMPO BELO"/>
    <s v="São Paulo"/>
    <s v="04610-005"/>
    <s v="luizgoncalves@joyeventos.com.br"/>
    <s v="FIDEL"/>
    <n v="1"/>
    <d v="2024-02-05T00:00:00"/>
    <n v="5"/>
    <x v="11"/>
    <x v="11"/>
  </r>
  <r>
    <s v="MARGARETH NODA"/>
    <n v="19994767"/>
    <s v="117.705.128-10"/>
    <s v="11 9 9825-5983 "/>
    <s v="AVENIDA DOUTOR LUIZ ANTONIO PEDUTI CUNHA 180 CASA"/>
    <s v="PARQUE DOS PRINCIPES"/>
    <s v="São Paulo"/>
    <s v="05396-270"/>
    <s v="margareth@cvm.gov.br"/>
    <s v="SCHUMANN"/>
    <n v="1"/>
    <d v="2024-03-16T00:00:00"/>
    <n v="16"/>
    <x v="9"/>
    <x v="11"/>
  </r>
  <r>
    <s v="MARIA ADALGISA RODRIGUES ARAUJO"/>
    <s v="16270809-9"/>
    <n v="78327024787"/>
    <s v="11 9 9623-9814"/>
    <s v="RUA DOUTOR ALFREDO DI VERNIE 104 "/>
    <s v="BUTANTÃ"/>
    <s v="São Paulo"/>
    <s v="05540-020"/>
    <s v="gisaphilip@gmail.com"/>
    <s v="PIPOCA"/>
    <n v="1"/>
    <d v="2024-03-30T00:00:00"/>
    <n v="30"/>
    <x v="9"/>
    <x v="11"/>
  </r>
  <r>
    <s v="SUELY HELENA DURBANO"/>
    <s v="4936406-6"/>
    <s v="674.887.818-72"/>
    <s v="11 9 9440-3179"/>
    <s v="RUA MONTE ALEGRE 187 APTO 143"/>
    <s v="PERDIZES          "/>
    <s v="São Paulo"/>
    <s v="05014-000"/>
    <s v="helenadurbano@gmail.com"/>
    <s v="TINA TURNER"/>
    <n v="1"/>
    <d v="2024-06-01T00:00:00"/>
    <n v="1"/>
    <x v="0"/>
    <x v="11"/>
  </r>
  <r>
    <s v="DESIREE MICHELLE CASTILHO NAPOLI"/>
    <n v="308477236"/>
    <n v="31978563841"/>
    <s v=" 11 99326-1999"/>
    <s v="RUA VINTE E OITO DE SETEMBRO 900"/>
    <s v="VILA DOM PEDRO I"/>
    <s v="São Paulo"/>
    <s v="04267-000"/>
    <s v="desiree.napoli@yahoo.com.br"/>
    <s v="YUPIE"/>
    <n v="1"/>
    <d v="2024-05-22T00:00:00"/>
    <n v="22"/>
    <x v="2"/>
    <x v="11"/>
  </r>
  <r>
    <s v="ITALO DAL MAS NETO "/>
    <n v="34945239"/>
    <s v="327.258.208-80"/>
    <s v="11 9 7606-9076"/>
    <s v="RUA NILO PECANHA 79 APTO 21 "/>
    <s v="SANTA PAULA"/>
    <s v="SÃO CAETANO DO SUL"/>
    <s v="09540-830"/>
    <s v="italodal@gmail.com"/>
    <s v="LUANA"/>
    <n v="1"/>
    <d v="2024-05-23T00:00:00"/>
    <n v="23"/>
    <x v="2"/>
    <x v="11"/>
  </r>
  <r>
    <s v="ANDRE ANDRADE "/>
    <n v="34539099"/>
    <s v="328.166.618-30"/>
    <s v="11 9 7120-6035"/>
    <s v="RUA CARVALHO DE FREITAS PROVENCE MORUMBI, 420 APTO 74"/>
    <s v="VILA ANDRADE "/>
    <s v="São Paulo"/>
    <s v="05728-030"/>
    <s v="andreandrade04@gmail.com"/>
    <s v="CANÚ E LÉO"/>
    <n v="2"/>
    <d v="2024-06-16T00:00:00"/>
    <n v="16"/>
    <x v="0"/>
    <x v="11"/>
  </r>
  <r>
    <s v="BEATRIZ LEAL DE ARAUJO BARBOSA DA SILVA"/>
    <n v="634118134"/>
    <s v="463593698-85"/>
    <s v="13 9 91047178"/>
    <s v="AVENIDA BRIGADEIRO LUIS ANTONIO, 566 Apto 203"/>
    <s v="BELA VISTA"/>
    <s v="São Paulo"/>
    <s v="01318-000"/>
    <s v="blealaraujo@gmail.com"/>
    <s v="INACIO"/>
    <n v="1"/>
    <d v="2024-08-29T00:00:00"/>
    <n v="29"/>
    <x v="7"/>
    <x v="11"/>
  </r>
  <r>
    <s v="NEY FERREIRA DE SOUZA GUERRA"/>
    <n v="306529014"/>
    <s v="295675548-03"/>
    <s v="11 9 9384-5291"/>
    <s v="RUA ALVES GUIMARÃES 911 APTO 82 "/>
    <s v="PINHEIROS"/>
    <s v="São Paulo"/>
    <s v="05410-001"/>
    <s v="nguerra229@gmail.com                                        "/>
    <s v="BOAZ E LIA"/>
    <n v="2"/>
    <d v="2024-08-29T00:00:00"/>
    <n v="29"/>
    <x v="7"/>
    <x v="11"/>
  </r>
  <r>
    <s v="TULIO D AMBROSIO"/>
    <n v="36959831"/>
    <s v="411117448-58"/>
    <s v="11 9 7353-4100"/>
    <s v="RUA IVAI 111 BLC 1 UNIDADE 15"/>
    <s v="TATUAPE"/>
    <s v="São Paulo"/>
    <s v="03080-010"/>
    <s v="tuliodambrosio@hotmail.com"/>
    <s v="LILICA"/>
    <n v="1"/>
    <d v="2024-10-10T00:00:00"/>
    <n v="10"/>
    <x v="6"/>
    <x v="11"/>
  </r>
  <r>
    <s v="MARINA HARUKO MORI BIONDO"/>
    <n v="261831173"/>
    <s v="310211708-28"/>
    <s v="1199801-9800"/>
    <s v="AVENIDA SENADOR CASEMIRO DA ROCHA  809 APTO  162"/>
    <s v="MIRANDOPOLIS          "/>
    <s v="São Paulo"/>
    <s v="40470-02"/>
    <s v="marinahmori@gmail.com"/>
    <s v="VITO"/>
    <n v="1"/>
    <d v="2024-10-17T00:00:00"/>
    <n v="17"/>
    <x v="6"/>
    <x v="11"/>
  </r>
  <r>
    <s v="JOANITA CRISTINA CALESCO"/>
    <n v="43651422"/>
    <s v="322.163.588.51"/>
    <s v="11 9 8373-4213"/>
    <s v="AVENIDA PARKINSON 35 APTO 1701"/>
    <s v="ALPHAVILLE EMPRESARIAL "/>
    <s v="BARUERI"/>
    <s v="06465-136"/>
    <s v="jo.criscal@hotmail.com"/>
    <s v="JOAQUIM"/>
    <n v="1"/>
    <d v="2024-10-19T00:00:00"/>
    <n v="19"/>
    <x v="6"/>
    <x v="11"/>
  </r>
  <r>
    <s v="CARLA VIANA CHARVES DA SILVA"/>
    <n v="43421281"/>
    <n v="33940435805"/>
    <s v="11 91714-3677"/>
    <s v="RUA MASATO SAKAI 180 BURITIS 7 APTO 44"/>
    <s v="JARDIM SÃO MIGUEL "/>
    <s v="FERRAZ DE VASCONCELOS "/>
    <s v="08538-300"/>
    <s v="carlaviana304@gmail.com"/>
    <s v="PUPY"/>
    <n v="1"/>
    <d v="2024-12-17T00:00:00"/>
    <n v="17"/>
    <x v="8"/>
    <x v="11"/>
  </r>
  <r>
    <s v="RITA MARIELLA MALTESE DIAZ DE BRAVO"/>
    <s v="RNMF5682262"/>
    <s v="717.567.491-08"/>
    <n v="51967790103"/>
    <s v="RUA BARÃO DE RAMALHO 413 "/>
    <s v="UVARANAS"/>
    <s v="PONTA GROSSA"/>
    <s v="84030-100"/>
    <s v="rmmaltese@gmail.com"/>
    <s v="NEGÃO"/>
    <n v="1"/>
    <d v="2024-12-21T00:00:00"/>
    <n v="21"/>
    <x v="8"/>
    <x v="11"/>
  </r>
  <r>
    <s v="ELIANA DE FREITAS PUGLESI LOMES"/>
    <n v="44966523"/>
    <s v="365.106.468-97"/>
    <s v="11 9 8655-4554"/>
    <s v="RUA CORONEL JOSE DIONISIO GOUVEIA 29 "/>
    <s v="VILA CLEMENTINO"/>
    <s v="São Paulo"/>
    <s v="04026-060"/>
    <s v="eliana.puglesi@gmail.com"/>
    <s v="BRENDA"/>
    <n v="1"/>
    <d v="2024-12-27T00:00:00"/>
    <n v="27"/>
    <x v="8"/>
    <x v="11"/>
  </r>
  <r>
    <s v="GABRIELA LONGHI GARGANTINI     "/>
    <n v="554163767"/>
    <s v="445.536.158-86"/>
    <s v="11 9 47378507 "/>
    <s v="RUA MARECHAL BADOGLIO, 256"/>
    <s v="VILA MUSSOLINI   "/>
    <s v="SÃO BERNARDO DO CAMPO "/>
    <s v="09620-020"/>
    <s v="gabi.gargantini@gmail.com"/>
    <s v="BARNEY, NEGO E TAYLA"/>
    <n v="3"/>
    <d v="2025-01-10T00:00:00"/>
    <n v="10"/>
    <x v="5"/>
    <x v="12"/>
  </r>
  <r>
    <s v="JOÃO GABRIEL PINTO FERREIRA OLIVEIRA"/>
    <n v="540285870"/>
    <s v="434.274.318-35"/>
    <s v="19 9220-5117"/>
    <s v="RUA CASSIANO RICARDO 483"/>
    <s v="JARDIM CORDEIRO"/>
    <s v="SÃO PAULO                               "/>
    <s v="04640-020"/>
    <s v="joaogpfoliveira@gmail.com"/>
    <s v="NERO"/>
    <n v="1"/>
    <d v="2025-02-03T00:00:00"/>
    <n v="3"/>
    <x v="11"/>
    <x v="12"/>
  </r>
  <r>
    <s v="DENISE RIBOLI FAUSTINO    "/>
    <s v="47618232-3"/>
    <s v="354.035.708-45"/>
    <n v="1146198490"/>
    <s v="PRAÇA OIAPOQUE  360 APTO 1603 AN 16"/>
    <s v="ALPHAVILLE INDUSTRIAL  "/>
    <s v="BARUERI       "/>
    <s v="06454-060"/>
    <s v="denise@tecnotrat.com.br"/>
    <s v="LEIA E LUKE"/>
    <n v="2"/>
    <d v="2025-02-13T00:00:00"/>
    <n v="13"/>
    <x v="11"/>
    <x v="12"/>
  </r>
  <r>
    <s v="RENATA MARIA TEIXEIRA PINHEIRO"/>
    <n v="284291201"/>
    <s v="311.747.488-93"/>
    <s v="11 998005503"/>
    <s v="RUA ALVES GUIMARAES, 661 CS"/>
    <s v="PINHEIROS"/>
    <s v="São Paulo"/>
    <s v="05410-001"/>
    <s v="renata.pinheiro@uol.com.br"/>
    <s v="AYLA"/>
    <n v="1"/>
    <d v="2025-03-11T00:00:00"/>
    <n v="11"/>
    <x v="9"/>
    <x v="12"/>
  </r>
  <r>
    <m/>
    <m/>
    <m/>
    <m/>
    <m/>
    <m/>
    <m/>
    <m/>
    <m/>
    <m/>
    <m/>
    <m/>
    <m/>
    <x v="12"/>
    <x v="13"/>
  </r>
  <r>
    <m/>
    <m/>
    <m/>
    <m/>
    <m/>
    <m/>
    <m/>
    <m/>
    <m/>
    <m/>
    <m/>
    <m/>
    <m/>
    <x v="12"/>
    <x v="13"/>
  </r>
  <r>
    <m/>
    <m/>
    <m/>
    <m/>
    <m/>
    <m/>
    <m/>
    <m/>
    <m/>
    <m/>
    <m/>
    <m/>
    <m/>
    <x v="12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B9548-D285-4408-8C29-CF4AFC9255BC}" name="Tabela dinâmica4" cacheId="1" dataOnRows="1" applyNumberFormats="0" applyBorderFormats="0" applyFontFormats="0" applyPatternFormats="0" applyAlignmentFormats="0" applyWidthHeightFormats="1" dataCaption="Dados" updatedVersion="8" showMemberPropertyTips="0" useAutoFormatting="1" itemPrintTitles="1" createdVersion="1" indent="0" compact="0" compactData="0" gridDropZones="1">
  <location ref="Q3:S101" firstHeaderRow="2" firstDataRow="2" firstDataCol="2"/>
  <pivotFields count="2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4">
        <item x="2"/>
        <item x="3"/>
        <item x="4"/>
        <item x="5"/>
        <item x="0"/>
        <item x="13"/>
        <item x="6"/>
        <item x="7"/>
        <item x="8"/>
        <item x="9"/>
        <item x="10"/>
        <item x="11"/>
        <item x="12"/>
        <item x="1"/>
      </items>
    </pivotField>
    <pivotField axis="axisRow" compact="0" outline="0" subtotalTop="0" showAll="0" includeNewItemsInFilter="1" sumSubtotal="1">
      <items count="13">
        <item h="1" x="1"/>
        <item x="2"/>
        <item h="1" x="0"/>
        <item h="1" x="11"/>
        <item x="3"/>
        <item x="4"/>
        <item x="5"/>
        <item x="6"/>
        <item x="7"/>
        <item x="8"/>
        <item x="9"/>
        <item x="10"/>
        <item t="sum"/>
      </items>
    </pivotField>
  </pivotFields>
  <rowFields count="2">
    <field x="27"/>
    <field x="26"/>
  </rowFields>
  <rowItems count="97">
    <i>
      <x v="1"/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t="sum">
      <x v="1"/>
    </i>
    <i>
      <x v="4"/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sum">
      <x v="4"/>
    </i>
    <i>
      <x v="5"/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1"/>
    </i>
    <i t="sum">
      <x v="5"/>
    </i>
    <i>
      <x v="6"/>
      <x/>
    </i>
    <i r="1">
      <x v="1"/>
    </i>
    <i r="1">
      <x v="2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t="sum">
      <x v="6"/>
    </i>
    <i>
      <x v="7"/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sum">
      <x v="7"/>
    </i>
    <i>
      <x v="8"/>
      <x/>
    </i>
    <i r="1">
      <x v="1"/>
    </i>
    <i r="1">
      <x v="2"/>
    </i>
    <i r="1">
      <x v="3"/>
    </i>
    <i r="1">
      <x v="6"/>
    </i>
    <i r="1">
      <x v="8"/>
    </i>
    <i r="1">
      <x v="9"/>
    </i>
    <i r="1">
      <x v="10"/>
    </i>
    <i r="1">
      <x v="11"/>
    </i>
    <i r="1">
      <x v="13"/>
    </i>
    <i t="sum">
      <x v="8"/>
    </i>
    <i>
      <x v="9"/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sum">
      <x v="9"/>
    </i>
    <i>
      <x v="10"/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1"/>
    </i>
    <i r="1">
      <x v="12"/>
    </i>
    <i t="sum">
      <x v="10"/>
    </i>
    <i>
      <x v="11"/>
      <x/>
    </i>
    <i r="1">
      <x v="1"/>
    </i>
    <i t="sum">
      <x v="11"/>
    </i>
    <i t="grand">
      <x/>
    </i>
  </rowItems>
  <colItems count="1">
    <i/>
  </colItems>
  <dataFields count="1">
    <dataField name="Soma de QDE DE CÃES" fld="10" baseField="13" baseItem="7"/>
  </dataFields>
  <formats count="1">
    <format dxfId="0">
      <pivotArea dataOnly="0" outline="0" fieldPosition="0">
        <references count="1">
          <reference field="27" count="0" sumSubtotal="1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09892-C718-4216-BF84-B7A45A6F6369}" name="Tabela dinâmica2" cacheId="2" dataOnRows="1" applyNumberFormats="0" applyBorderFormats="0" applyFontFormats="0" applyPatternFormats="0" applyAlignmentFormats="0" applyWidthHeightFormats="1" dataCaption="Dados" updatedVersion="8" showMemberPropertyTips="0" useAutoFormatting="1" itemPrintTitles="1" createdVersion="1" indent="0" compact="0" compactData="0" gridDropZones="1">
  <location ref="E3:G60" firstHeaderRow="2" firstDataRow="2" firstDataCol="2"/>
  <pivotFields count="15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13">
        <item x="5"/>
        <item x="11"/>
        <item x="9"/>
        <item x="1"/>
        <item x="2"/>
        <item x="0"/>
        <item x="10"/>
        <item x="7"/>
        <item x="3"/>
        <item x="6"/>
        <item x="4"/>
        <item x="8"/>
        <item x="12"/>
      </items>
    </pivotField>
    <pivotField axis="axisRow" compact="0" outline="0" subtotalTop="0" showAll="0" includeNewItemsInFilter="1">
      <items count="21">
        <item m="1" x="14"/>
        <item m="1" x="17"/>
        <item m="1" x="19"/>
        <item x="0"/>
        <item m="1" x="18"/>
        <item sd="0" x="13"/>
        <item m="1" x="15"/>
        <item x="1"/>
        <item x="2"/>
        <item x="3"/>
        <item m="1" x="16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2">
    <field x="14"/>
    <field x="13"/>
  </rowFields>
  <rowItems count="56">
    <i>
      <x v="3"/>
      <x v="5"/>
    </i>
    <i t="default">
      <x v="3"/>
    </i>
    <i>
      <x v="5"/>
    </i>
    <i>
      <x v="7"/>
      <x v="3"/>
    </i>
    <i t="default">
      <x v="7"/>
    </i>
    <i>
      <x v="8"/>
      <x v="4"/>
    </i>
    <i r="1">
      <x v="8"/>
    </i>
    <i r="1">
      <x v="10"/>
    </i>
    <i t="default">
      <x v="8"/>
    </i>
    <i>
      <x v="9"/>
      <x/>
    </i>
    <i r="1">
      <x v="9"/>
    </i>
    <i t="default">
      <x v="9"/>
    </i>
    <i>
      <x v="11"/>
      <x v="4"/>
    </i>
    <i r="1">
      <x v="7"/>
    </i>
    <i t="default">
      <x v="11"/>
    </i>
    <i>
      <x v="12"/>
      <x/>
    </i>
    <i r="1">
      <x v="8"/>
    </i>
    <i t="default">
      <x v="12"/>
    </i>
    <i>
      <x v="13"/>
      <x v="3"/>
    </i>
    <i r="1">
      <x v="11"/>
    </i>
    <i t="default">
      <x v="13"/>
    </i>
    <i>
      <x v="14"/>
      <x v="4"/>
    </i>
    <i r="1">
      <x v="9"/>
    </i>
    <i r="1">
      <x v="11"/>
    </i>
    <i t="default">
      <x v="14"/>
    </i>
    <i>
      <x v="15"/>
      <x/>
    </i>
    <i r="1">
      <x v="4"/>
    </i>
    <i r="1">
      <x v="5"/>
    </i>
    <i r="1">
      <x v="7"/>
    </i>
    <i r="1">
      <x v="9"/>
    </i>
    <i r="1">
      <x v="10"/>
    </i>
    <i r="1">
      <x v="11"/>
    </i>
    <i t="default">
      <x v="15"/>
    </i>
    <i>
      <x v="16"/>
      <x v="2"/>
    </i>
    <i r="1">
      <x v="3"/>
    </i>
    <i r="1">
      <x v="7"/>
    </i>
    <i r="1">
      <x v="11"/>
    </i>
    <i t="default">
      <x v="16"/>
    </i>
    <i>
      <x v="17"/>
      <x v="2"/>
    </i>
    <i r="1">
      <x v="3"/>
    </i>
    <i r="1">
      <x v="6"/>
    </i>
    <i r="1">
      <x v="7"/>
    </i>
    <i t="default">
      <x v="17"/>
    </i>
    <i>
      <x v="18"/>
      <x v="1"/>
    </i>
    <i r="1">
      <x v="2"/>
    </i>
    <i r="1">
      <x v="4"/>
    </i>
    <i r="1">
      <x v="5"/>
    </i>
    <i r="1">
      <x v="7"/>
    </i>
    <i r="1">
      <x v="9"/>
    </i>
    <i r="1">
      <x v="11"/>
    </i>
    <i t="default">
      <x v="18"/>
    </i>
    <i>
      <x v="19"/>
      <x/>
    </i>
    <i r="1">
      <x v="1"/>
    </i>
    <i r="1">
      <x v="2"/>
    </i>
    <i t="default">
      <x v="19"/>
    </i>
    <i t="grand">
      <x/>
    </i>
  </rowItems>
  <colItems count="1">
    <i/>
  </colItems>
  <dataFields count="1">
    <dataField name="Soma de QDE DE CÃES" fld="10" baseField="14" baseItem="0"/>
  </dataFields>
  <formats count="1">
    <format dxfId="1">
      <pivotArea dataOnly="0" outline="0" fieldPosition="0">
        <references count="1">
          <reference field="14" count="0" defaultSubtotal="1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4BC79-94C2-4B08-B387-E41921D4100A}" name="Tabela dinâmica1" cacheId="0" dataOnRows="1" applyNumberFormats="0" applyBorderFormats="0" applyFontFormats="0" applyPatternFormats="0" applyAlignmentFormats="0" applyWidthHeightFormats="1" dataCaption="Dados" updatedVersion="8" showMemberPropertyTips="0" useAutoFormatting="1" itemPrintTitles="1" createdVersion="1" indent="0" compact="0" compactData="0" gridDropZones="1">
  <location ref="A3:B30" firstHeaderRow="2" firstDataRow="2" firstDataCol="1"/>
  <pivotFields count="21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27">
        <item x="9"/>
        <item x="1"/>
        <item x="23"/>
        <item x="10"/>
        <item x="18"/>
        <item x="11"/>
        <item x="14"/>
        <item x="12"/>
        <item x="24"/>
        <item x="7"/>
        <item x="6"/>
        <item x="4"/>
        <item x="19"/>
        <item x="3"/>
        <item x="16"/>
        <item x="17"/>
        <item x="21"/>
        <item x="0"/>
        <item x="20"/>
        <item x="15"/>
        <item x="5"/>
        <item x="8"/>
        <item x="22"/>
        <item x="13"/>
        <item x="2"/>
        <item h="1" x="25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</pivotFields>
  <rowFields count="1">
    <field x="1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oma de Valor 2025" fld="20" baseField="0" baseItem="0"/>
  </dataFields>
  <formats count="3">
    <format dxfId="4">
      <pivotArea dataOnly="0" grandRow="1" outline="0" fieldPosition="0"/>
    </format>
    <format dxfId="3">
      <pivotArea outline="0" fieldPosition="0">
        <references count="1">
          <reference field="12" count="0" selected="0"/>
        </references>
      </pivotArea>
    </format>
    <format dxfId="2">
      <pivotArea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F4F82-A5FC-48CF-B8EE-C9474431E2DE}" name="Tabela dinâmica3" cacheId="1" dataOnRows="1" applyNumberFormats="0" applyBorderFormats="0" applyFontFormats="0" applyPatternFormats="0" applyAlignmentFormats="0" applyWidthHeightFormats="1" dataCaption="Dados" updatedVersion="8" showMemberPropertyTips="0" useAutoFormatting="1" itemPrintTitles="1" createdVersion="1" indent="0" compact="0" compactData="0" gridDropZones="1">
  <location ref="J3:L148" firstHeaderRow="2" firstDataRow="2" firstDataCol="2"/>
  <pivotFields count="2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14">
        <item x="10"/>
        <item x="6"/>
        <item x="9"/>
        <item x="2"/>
        <item x="0"/>
        <item x="1"/>
        <item x="8"/>
        <item x="3"/>
        <item x="5"/>
        <item x="7"/>
        <item x="4"/>
        <item x="11"/>
        <item x="12"/>
        <item t="default"/>
      </items>
    </pivotField>
    <pivotField axis="axisRow" compact="0" outline="0" subtotalTop="0" showAll="0" includeNewItemsInFilter="1">
      <items count="18">
        <item x="5"/>
        <item x="3"/>
        <item x="0"/>
        <item x="1"/>
        <item x="2"/>
        <item x="4"/>
        <item x="6"/>
        <item x="7"/>
        <item h="1" x="16"/>
        <item x="8"/>
        <item x="9"/>
        <item x="10"/>
        <item x="11"/>
        <item x="12"/>
        <item x="13"/>
        <item x="14"/>
        <item x="15"/>
        <item t="default"/>
      </items>
    </pivotField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14"/>
    <field x="13"/>
  </rowFields>
  <rowItems count="144">
    <i>
      <x/>
      <x v="7"/>
    </i>
    <i t="default">
      <x/>
    </i>
    <i>
      <x v="1"/>
      <x v="9"/>
    </i>
    <i r="1">
      <x v="10"/>
    </i>
    <i t="default">
      <x v="1"/>
    </i>
    <i>
      <x v="2"/>
      <x/>
    </i>
    <i r="1">
      <x v="4"/>
    </i>
    <i r="1">
      <x v="5"/>
    </i>
    <i r="1">
      <x v="8"/>
    </i>
    <i t="default">
      <x v="2"/>
    </i>
    <i>
      <x v="3"/>
      <x/>
    </i>
    <i r="1">
      <x v="1"/>
    </i>
    <i r="1">
      <x v="2"/>
    </i>
    <i r="1">
      <x v="3"/>
    </i>
    <i r="1">
      <x v="5"/>
    </i>
    <i r="1">
      <x v="8"/>
    </i>
    <i r="1">
      <x v="10"/>
    </i>
    <i r="1">
      <x v="11"/>
    </i>
    <i t="default">
      <x v="3"/>
    </i>
    <i>
      <x v="4"/>
      <x/>
    </i>
    <i r="1">
      <x v="1"/>
    </i>
    <i r="1">
      <x v="6"/>
    </i>
    <i r="1">
      <x v="7"/>
    </i>
    <i r="1">
      <x v="8"/>
    </i>
    <i r="1">
      <x v="10"/>
    </i>
    <i t="default">
      <x v="4"/>
    </i>
    <i>
      <x v="5"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t="default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9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0"/>
    </i>
    <i>
      <x v="11"/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t="default">
      <x v="12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3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t="default">
      <x v="14"/>
    </i>
    <i>
      <x v="15"/>
      <x/>
    </i>
    <i r="1">
      <x v="1"/>
    </i>
    <i r="1">
      <x v="3"/>
    </i>
    <i r="1">
      <x v="7"/>
    </i>
    <i r="1">
      <x v="8"/>
    </i>
    <i r="1">
      <x v="9"/>
    </i>
    <i r="1">
      <x v="11"/>
    </i>
    <i t="default">
      <x v="15"/>
    </i>
    <i>
      <x v="16"/>
      <x v="1"/>
    </i>
    <i r="1">
      <x v="5"/>
    </i>
    <i r="1">
      <x v="7"/>
    </i>
    <i r="1">
      <x v="11"/>
    </i>
    <i t="default">
      <x v="16"/>
    </i>
    <i t="grand">
      <x/>
    </i>
  </rowItems>
  <colItems count="1">
    <i/>
  </colItems>
  <dataFields count="1">
    <dataField name="Soma de QDE DE CÃES" fld="10" baseField="13" baseItem="7"/>
  </dataFields>
  <formats count="1">
    <format dxfId="5">
      <pivotArea dataOnly="0" outline="0" fieldPosition="0">
        <references count="1">
          <reference field="14" count="0" defaultSubtotal="1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hannamfigueiredo@gmail.com" TargetMode="External"/><Relationship Id="rId18" Type="http://schemas.openxmlformats.org/officeDocument/2006/relationships/hyperlink" Target="mailto:samantha.saraiva@gmail.com" TargetMode="External"/><Relationship Id="rId26" Type="http://schemas.openxmlformats.org/officeDocument/2006/relationships/hyperlink" Target="mailto:bekergoretti@gmail.com" TargetMode="External"/><Relationship Id="rId39" Type="http://schemas.openxmlformats.org/officeDocument/2006/relationships/hyperlink" Target="mailto:magalimontalto@gmail.com" TargetMode="External"/><Relationship Id="rId21" Type="http://schemas.openxmlformats.org/officeDocument/2006/relationships/hyperlink" Target="mailto:diego.carneiro.barreto@gmail.com" TargetMode="External"/><Relationship Id="rId34" Type="http://schemas.openxmlformats.org/officeDocument/2006/relationships/hyperlink" Target="mailto:denise@tecnotrat.com.br" TargetMode="External"/><Relationship Id="rId42" Type="http://schemas.openxmlformats.org/officeDocument/2006/relationships/hyperlink" Target="mailto:mariliaaom@gmail.com" TargetMode="External"/><Relationship Id="rId47" Type="http://schemas.openxmlformats.org/officeDocument/2006/relationships/hyperlink" Target="mailto:luciana.loyola.2014@gmail.com" TargetMode="External"/><Relationship Id="rId50" Type="http://schemas.openxmlformats.org/officeDocument/2006/relationships/comments" Target="../comments1.xml"/><Relationship Id="rId7" Type="http://schemas.openxmlformats.org/officeDocument/2006/relationships/hyperlink" Target="mailto:acctravassos@gmail.com" TargetMode="External"/><Relationship Id="rId2" Type="http://schemas.openxmlformats.org/officeDocument/2006/relationships/hyperlink" Target="mailto:vitor.pazin@gmail.com" TargetMode="External"/><Relationship Id="rId16" Type="http://schemas.openxmlformats.org/officeDocument/2006/relationships/hyperlink" Target="mailto:wilson.m.antunes@hotmail.com" TargetMode="External"/><Relationship Id="rId29" Type="http://schemas.openxmlformats.org/officeDocument/2006/relationships/hyperlink" Target="mailto:marinahmori@gmail.com" TargetMode="External"/><Relationship Id="rId11" Type="http://schemas.openxmlformats.org/officeDocument/2006/relationships/hyperlink" Target="mailto:ariane.bonafede@yahoo.com.br" TargetMode="External"/><Relationship Id="rId24" Type="http://schemas.openxmlformats.org/officeDocument/2006/relationships/hyperlink" Target="mailto:margareth@cvm.gov.br" TargetMode="External"/><Relationship Id="rId32" Type="http://schemas.openxmlformats.org/officeDocument/2006/relationships/hyperlink" Target="mailto:eliana.puglesi@gmail.com" TargetMode="External"/><Relationship Id="rId37" Type="http://schemas.openxmlformats.org/officeDocument/2006/relationships/hyperlink" Target="mailto:itslucasmf@gmail.com" TargetMode="External"/><Relationship Id="rId40" Type="http://schemas.openxmlformats.org/officeDocument/2006/relationships/hyperlink" Target="mailto:tuliodambrosio@hotmail.com" TargetMode="External"/><Relationship Id="rId45" Type="http://schemas.openxmlformats.org/officeDocument/2006/relationships/hyperlink" Target="mailto:turriadriano@gmail.com" TargetMode="External"/><Relationship Id="rId5" Type="http://schemas.openxmlformats.org/officeDocument/2006/relationships/hyperlink" Target="mailto:adrianarlh@bol.com.br" TargetMode="External"/><Relationship Id="rId15" Type="http://schemas.openxmlformats.org/officeDocument/2006/relationships/hyperlink" Target="mailto:a_carneiro@ig.com.br" TargetMode="External"/><Relationship Id="rId23" Type="http://schemas.openxmlformats.org/officeDocument/2006/relationships/hyperlink" Target="mailto:gisaphilip@gmail.com" TargetMode="External"/><Relationship Id="rId28" Type="http://schemas.openxmlformats.org/officeDocument/2006/relationships/hyperlink" Target="mailto:nguerra229@gmail.com" TargetMode="External"/><Relationship Id="rId36" Type="http://schemas.openxmlformats.org/officeDocument/2006/relationships/hyperlink" Target="mailto:robertrittscher@gmail.com" TargetMode="External"/><Relationship Id="rId49" Type="http://schemas.openxmlformats.org/officeDocument/2006/relationships/vmlDrawing" Target="../drawings/vmlDrawing1.vml"/><Relationship Id="rId10" Type="http://schemas.openxmlformats.org/officeDocument/2006/relationships/hyperlink" Target="mailto:danishadowcat@yahoo.com.br" TargetMode="External"/><Relationship Id="rId19" Type="http://schemas.openxmlformats.org/officeDocument/2006/relationships/hyperlink" Target="mailto:ceciliagranato@gmail.com" TargetMode="External"/><Relationship Id="rId31" Type="http://schemas.openxmlformats.org/officeDocument/2006/relationships/hyperlink" Target="mailto:rmmaltese@gmail.com" TargetMode="External"/><Relationship Id="rId44" Type="http://schemas.openxmlformats.org/officeDocument/2006/relationships/hyperlink" Target="mailto:bethsinto@gmail.com" TargetMode="External"/><Relationship Id="rId4" Type="http://schemas.openxmlformats.org/officeDocument/2006/relationships/hyperlink" Target="mailto:acsobrinho@gmail.com" TargetMode="External"/><Relationship Id="rId9" Type="http://schemas.openxmlformats.org/officeDocument/2006/relationships/hyperlink" Target="mailto:suelen.targino@hotmail.com" TargetMode="External"/><Relationship Id="rId14" Type="http://schemas.openxmlformats.org/officeDocument/2006/relationships/hyperlink" Target="mailto:neiva.mendes@uol.com.br" TargetMode="External"/><Relationship Id="rId22" Type="http://schemas.openxmlformats.org/officeDocument/2006/relationships/hyperlink" Target="mailto:luizgoncalves@joyeventos.com.br" TargetMode="External"/><Relationship Id="rId27" Type="http://schemas.openxmlformats.org/officeDocument/2006/relationships/hyperlink" Target="mailto:desiree.napoli@yahoo.com.br" TargetMode="External"/><Relationship Id="rId30" Type="http://schemas.openxmlformats.org/officeDocument/2006/relationships/hyperlink" Target="mailto:carlaviana304@gmail.com" TargetMode="External"/><Relationship Id="rId35" Type="http://schemas.openxmlformats.org/officeDocument/2006/relationships/hyperlink" Target="mailto:renata.pinheiro@uol.com.br" TargetMode="External"/><Relationship Id="rId43" Type="http://schemas.openxmlformats.org/officeDocument/2006/relationships/hyperlink" Target="mailto:dracassyaline@gmail.com" TargetMode="External"/><Relationship Id="rId48" Type="http://schemas.openxmlformats.org/officeDocument/2006/relationships/printerSettings" Target="../printerSettings/printerSettings2.bin"/><Relationship Id="rId8" Type="http://schemas.openxmlformats.org/officeDocument/2006/relationships/hyperlink" Target="mailto:garmentano@uol.com.br" TargetMode="External"/><Relationship Id="rId3" Type="http://schemas.openxmlformats.org/officeDocument/2006/relationships/hyperlink" Target="mailto:monicascoutinho@live.com" TargetMode="External"/><Relationship Id="rId12" Type="http://schemas.openxmlformats.org/officeDocument/2006/relationships/hyperlink" Target="mailto:ga.abi@hotmail.com" TargetMode="External"/><Relationship Id="rId17" Type="http://schemas.openxmlformats.org/officeDocument/2006/relationships/hyperlink" Target="mailto:cristina.tavares7@gmail.com" TargetMode="External"/><Relationship Id="rId25" Type="http://schemas.openxmlformats.org/officeDocument/2006/relationships/hyperlink" Target="mailto:andreandrade04@gmail.com" TargetMode="External"/><Relationship Id="rId33" Type="http://schemas.openxmlformats.org/officeDocument/2006/relationships/hyperlink" Target="mailto:gabi.gargantini@gmail.com" TargetMode="External"/><Relationship Id="rId38" Type="http://schemas.openxmlformats.org/officeDocument/2006/relationships/hyperlink" Target="mailto:magalimontalto@gmail.com" TargetMode="External"/><Relationship Id="rId46" Type="http://schemas.openxmlformats.org/officeDocument/2006/relationships/hyperlink" Target="mailto:david.535m@gmail.com" TargetMode="External"/><Relationship Id="rId20" Type="http://schemas.openxmlformats.org/officeDocument/2006/relationships/hyperlink" Target="mailto:eduardocgperez@uol.com.br" TargetMode="External"/><Relationship Id="rId41" Type="http://schemas.openxmlformats.org/officeDocument/2006/relationships/hyperlink" Target="mailto:bob.thiele@gmail.com" TargetMode="External"/><Relationship Id="rId1" Type="http://schemas.openxmlformats.org/officeDocument/2006/relationships/hyperlink" Target="mailto:karinarolim@hotmail.com" TargetMode="External"/><Relationship Id="rId6" Type="http://schemas.openxmlformats.org/officeDocument/2006/relationships/hyperlink" Target="mailto:luciaxaviergarcia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cida@macambiental.com.br" TargetMode="External"/><Relationship Id="rId21" Type="http://schemas.openxmlformats.org/officeDocument/2006/relationships/hyperlink" Target="mailto:emykka@gmail.com/jl.almeida01@gmail.com" TargetMode="External"/><Relationship Id="rId42" Type="http://schemas.openxmlformats.org/officeDocument/2006/relationships/hyperlink" Target="mailto:caroljusti@hotmail.com" TargetMode="External"/><Relationship Id="rId63" Type="http://schemas.openxmlformats.org/officeDocument/2006/relationships/hyperlink" Target="mailto:belafonso@hotmail.com" TargetMode="External"/><Relationship Id="rId84" Type="http://schemas.openxmlformats.org/officeDocument/2006/relationships/hyperlink" Target="mailto:marcocarvalho0203@gmail.com" TargetMode="External"/><Relationship Id="rId138" Type="http://schemas.openxmlformats.org/officeDocument/2006/relationships/hyperlink" Target="mailto:julian.akinaga@gmail.com" TargetMode="External"/><Relationship Id="rId159" Type="http://schemas.openxmlformats.org/officeDocument/2006/relationships/hyperlink" Target="mailto:mauricioaeb@icloud.com" TargetMode="External"/><Relationship Id="rId170" Type="http://schemas.openxmlformats.org/officeDocument/2006/relationships/hyperlink" Target="mailto:joaogpfoliveira@gmail.com" TargetMode="External"/><Relationship Id="rId107" Type="http://schemas.openxmlformats.org/officeDocument/2006/relationships/hyperlink" Target="mailto:rnm@aasp.org.br" TargetMode="External"/><Relationship Id="rId11" Type="http://schemas.openxmlformats.org/officeDocument/2006/relationships/hyperlink" Target="mailto:mtgiorgio@uol.com.br" TargetMode="External"/><Relationship Id="rId32" Type="http://schemas.openxmlformats.org/officeDocument/2006/relationships/hyperlink" Target="mailto:ricardoabud1@hotmail.com" TargetMode="External"/><Relationship Id="rId53" Type="http://schemas.openxmlformats.org/officeDocument/2006/relationships/hyperlink" Target="mailto:carlosxcunha@hotmail.com" TargetMode="External"/><Relationship Id="rId74" Type="http://schemas.openxmlformats.org/officeDocument/2006/relationships/hyperlink" Target="mailto:juliana.bsanchez@gmail.com" TargetMode="External"/><Relationship Id="rId128" Type="http://schemas.openxmlformats.org/officeDocument/2006/relationships/hyperlink" Target="mailto:talleslincoln@gmail.com" TargetMode="External"/><Relationship Id="rId149" Type="http://schemas.openxmlformats.org/officeDocument/2006/relationships/hyperlink" Target="mailto:paloma.tozzi@projetoecia.com.br" TargetMode="External"/><Relationship Id="rId5" Type="http://schemas.openxmlformats.org/officeDocument/2006/relationships/hyperlink" Target="mailto:mireia.vilagarcia@gmail.com" TargetMode="External"/><Relationship Id="rId95" Type="http://schemas.openxmlformats.org/officeDocument/2006/relationships/hyperlink" Target="mailto:renan.campos@outlook.com" TargetMode="External"/><Relationship Id="rId160" Type="http://schemas.openxmlformats.org/officeDocument/2006/relationships/hyperlink" Target="mailto:vanessamakita@gmail.com" TargetMode="External"/><Relationship Id="rId181" Type="http://schemas.openxmlformats.org/officeDocument/2006/relationships/hyperlink" Target="mailto:maritjorge@gmail.com" TargetMode="External"/><Relationship Id="rId22" Type="http://schemas.openxmlformats.org/officeDocument/2006/relationships/hyperlink" Target="mailto:cristinabaron@vivointernetdiscada.com.br" TargetMode="External"/><Relationship Id="rId43" Type="http://schemas.openxmlformats.org/officeDocument/2006/relationships/hyperlink" Target="mailto:rebecanew3@hotmail.com" TargetMode="External"/><Relationship Id="rId64" Type="http://schemas.openxmlformats.org/officeDocument/2006/relationships/hyperlink" Target="mailto:rebecanew3@hotmail.com" TargetMode="External"/><Relationship Id="rId118" Type="http://schemas.openxmlformats.org/officeDocument/2006/relationships/hyperlink" Target="mailto:gabriellyamartin@gmail.com" TargetMode="External"/><Relationship Id="rId139" Type="http://schemas.openxmlformats.org/officeDocument/2006/relationships/hyperlink" Target="mailto:adriannnagatti@gmail.com" TargetMode="External"/><Relationship Id="rId85" Type="http://schemas.openxmlformats.org/officeDocument/2006/relationships/hyperlink" Target="mailto:ellisaraujo@hotmail.com" TargetMode="External"/><Relationship Id="rId150" Type="http://schemas.openxmlformats.org/officeDocument/2006/relationships/hyperlink" Target="mailto:contato.jacquenascimento@gmail.com" TargetMode="External"/><Relationship Id="rId171" Type="http://schemas.openxmlformats.org/officeDocument/2006/relationships/hyperlink" Target="mailto:italodal@gmail.com" TargetMode="External"/><Relationship Id="rId12" Type="http://schemas.openxmlformats.org/officeDocument/2006/relationships/hyperlink" Target="mailto:rafael@grupofuncional.com.br" TargetMode="External"/><Relationship Id="rId33" Type="http://schemas.openxmlformats.org/officeDocument/2006/relationships/hyperlink" Target="mailto:v.mhkim@gmail.com" TargetMode="External"/><Relationship Id="rId108" Type="http://schemas.openxmlformats.org/officeDocument/2006/relationships/hyperlink" Target="mailto:martin_sgarcia@yahoo.com.br" TargetMode="External"/><Relationship Id="rId129" Type="http://schemas.openxmlformats.org/officeDocument/2006/relationships/hyperlink" Target="mailto:cristina.tavares7@gmail.com" TargetMode="External"/><Relationship Id="rId54" Type="http://schemas.openxmlformats.org/officeDocument/2006/relationships/hyperlink" Target="mailto:noll1803@gmail.com" TargetMode="External"/><Relationship Id="rId75" Type="http://schemas.openxmlformats.org/officeDocument/2006/relationships/hyperlink" Target="mailto:a_filippo@uol.com.br" TargetMode="External"/><Relationship Id="rId96" Type="http://schemas.openxmlformats.org/officeDocument/2006/relationships/hyperlink" Target="mailto:fabioedu1313@gmail.com" TargetMode="External"/><Relationship Id="rId140" Type="http://schemas.openxmlformats.org/officeDocument/2006/relationships/hyperlink" Target="mailto:martinhernandez@terra.com.br" TargetMode="External"/><Relationship Id="rId161" Type="http://schemas.openxmlformats.org/officeDocument/2006/relationships/hyperlink" Target="mailto:neiva.mendes@uol.com.br" TargetMode="External"/><Relationship Id="rId182" Type="http://schemas.openxmlformats.org/officeDocument/2006/relationships/hyperlink" Target="mailto:neiva.mendes@uol.com.br" TargetMode="External"/><Relationship Id="rId6" Type="http://schemas.openxmlformats.org/officeDocument/2006/relationships/hyperlink" Target="mailto:OTAVIOVF@GMAIL.COM" TargetMode="External"/><Relationship Id="rId23" Type="http://schemas.openxmlformats.org/officeDocument/2006/relationships/hyperlink" Target="mailto:emaildasikula@gmail.com" TargetMode="External"/><Relationship Id="rId119" Type="http://schemas.openxmlformats.org/officeDocument/2006/relationships/hyperlink" Target="mailto:diego.toboco@gmail.com" TargetMode="External"/><Relationship Id="rId44" Type="http://schemas.openxmlformats.org/officeDocument/2006/relationships/hyperlink" Target="mailto:bernadete_borges@hotmail.com" TargetMode="External"/><Relationship Id="rId65" Type="http://schemas.openxmlformats.org/officeDocument/2006/relationships/hyperlink" Target="mailto:denisgambaro@bol.com.br" TargetMode="External"/><Relationship Id="rId86" Type="http://schemas.openxmlformats.org/officeDocument/2006/relationships/hyperlink" Target="mailto:jonasepereira6@gmail.com" TargetMode="External"/><Relationship Id="rId130" Type="http://schemas.openxmlformats.org/officeDocument/2006/relationships/hyperlink" Target="mailto:nguerra229@gmail.com" TargetMode="External"/><Relationship Id="rId151" Type="http://schemas.openxmlformats.org/officeDocument/2006/relationships/hyperlink" Target="mailto:neiva.mendes@uol.com.br" TargetMode="External"/><Relationship Id="rId172" Type="http://schemas.openxmlformats.org/officeDocument/2006/relationships/hyperlink" Target="mailto:gatosemprealerta1873@gmail.com" TargetMode="External"/><Relationship Id="rId13" Type="http://schemas.openxmlformats.org/officeDocument/2006/relationships/hyperlink" Target="mailto:gabriel.raph@gmail.com" TargetMode="External"/><Relationship Id="rId18" Type="http://schemas.openxmlformats.org/officeDocument/2006/relationships/hyperlink" Target="mailto:thalita.nobrega@itaubba.com" TargetMode="External"/><Relationship Id="rId39" Type="http://schemas.openxmlformats.org/officeDocument/2006/relationships/hyperlink" Target="mailto:ek-kim@hotmail.com" TargetMode="External"/><Relationship Id="rId109" Type="http://schemas.openxmlformats.org/officeDocument/2006/relationships/hyperlink" Target="mailto:flaviobalves@gmail.com" TargetMode="External"/><Relationship Id="rId34" Type="http://schemas.openxmlformats.org/officeDocument/2006/relationships/hyperlink" Target="mailto:ju_campano@hotmail.com" TargetMode="External"/><Relationship Id="rId50" Type="http://schemas.openxmlformats.org/officeDocument/2006/relationships/hyperlink" Target="mailto:v.mhkim@gmail.com" TargetMode="External"/><Relationship Id="rId55" Type="http://schemas.openxmlformats.org/officeDocument/2006/relationships/hyperlink" Target="mailto:felipepereirarosa@live.com" TargetMode="External"/><Relationship Id="rId76" Type="http://schemas.openxmlformats.org/officeDocument/2006/relationships/hyperlink" Target="mailto:willsore@hotmail.com" TargetMode="External"/><Relationship Id="rId97" Type="http://schemas.openxmlformats.org/officeDocument/2006/relationships/hyperlink" Target="mailto:lfavolio@uol.com.br" TargetMode="External"/><Relationship Id="rId104" Type="http://schemas.openxmlformats.org/officeDocument/2006/relationships/hyperlink" Target="mailto:lukasraposo@live.com" TargetMode="External"/><Relationship Id="rId120" Type="http://schemas.openxmlformats.org/officeDocument/2006/relationships/hyperlink" Target="mailto:paulocanutojr@hotmail.com" TargetMode="External"/><Relationship Id="rId125" Type="http://schemas.openxmlformats.org/officeDocument/2006/relationships/hyperlink" Target="mailto:regina.viglizzo@gmail.com" TargetMode="External"/><Relationship Id="rId141" Type="http://schemas.openxmlformats.org/officeDocument/2006/relationships/hyperlink" Target="mailto:eduardo.russo@ymail.com" TargetMode="External"/><Relationship Id="rId146" Type="http://schemas.openxmlformats.org/officeDocument/2006/relationships/hyperlink" Target="mailto:lucjero@hotmail.com" TargetMode="External"/><Relationship Id="rId167" Type="http://schemas.openxmlformats.org/officeDocument/2006/relationships/hyperlink" Target="mailto:Claudioluizteixeirajunior@gmail.com" TargetMode="External"/><Relationship Id="rId188" Type="http://schemas.openxmlformats.org/officeDocument/2006/relationships/vmlDrawing" Target="../drawings/vmlDrawing2.vml"/><Relationship Id="rId7" Type="http://schemas.openxmlformats.org/officeDocument/2006/relationships/hyperlink" Target="mailto:ruthysassoon@bol.com.br" TargetMode="External"/><Relationship Id="rId71" Type="http://schemas.openxmlformats.org/officeDocument/2006/relationships/hyperlink" Target="mailto:luciaxaviergarcia@gmail.com" TargetMode="External"/><Relationship Id="rId92" Type="http://schemas.openxmlformats.org/officeDocument/2006/relationships/hyperlink" Target="mailto:vet_adriana@hotmail.com" TargetMode="External"/><Relationship Id="rId162" Type="http://schemas.openxmlformats.org/officeDocument/2006/relationships/hyperlink" Target="mailto:blealaraujo@gmail.com" TargetMode="External"/><Relationship Id="rId183" Type="http://schemas.openxmlformats.org/officeDocument/2006/relationships/hyperlink" Target="mailto:suelen.targino@hotmail.com" TargetMode="External"/><Relationship Id="rId2" Type="http://schemas.openxmlformats.org/officeDocument/2006/relationships/hyperlink" Target="mailto:edubarcellos@uol.com.br" TargetMode="External"/><Relationship Id="rId29" Type="http://schemas.openxmlformats.org/officeDocument/2006/relationships/hyperlink" Target="mailto:sheilapaganno@gmail.com" TargetMode="External"/><Relationship Id="rId24" Type="http://schemas.openxmlformats.org/officeDocument/2006/relationships/hyperlink" Target="mailto:inumes.daniela@gmail.com" TargetMode="External"/><Relationship Id="rId40" Type="http://schemas.openxmlformats.org/officeDocument/2006/relationships/hyperlink" Target="mailto:sorayakuryaguiar@gmail.com" TargetMode="External"/><Relationship Id="rId45" Type="http://schemas.openxmlformats.org/officeDocument/2006/relationships/hyperlink" Target="mailto:ivandecastro@terra.com.br" TargetMode="External"/><Relationship Id="rId66" Type="http://schemas.openxmlformats.org/officeDocument/2006/relationships/hyperlink" Target="mailto:bob.thiele@gmail.com" TargetMode="External"/><Relationship Id="rId87" Type="http://schemas.openxmlformats.org/officeDocument/2006/relationships/hyperlink" Target="mailto:deise.c.a@hotmail.com" TargetMode="External"/><Relationship Id="rId110" Type="http://schemas.openxmlformats.org/officeDocument/2006/relationships/hyperlink" Target="mailto:andre.godoy@atentocredito.com.br" TargetMode="External"/><Relationship Id="rId115" Type="http://schemas.openxmlformats.org/officeDocument/2006/relationships/hyperlink" Target="mailto:neiva.mendes@uol.com.br" TargetMode="External"/><Relationship Id="rId131" Type="http://schemas.openxmlformats.org/officeDocument/2006/relationships/hyperlink" Target="mailto:mabbalaban@gmail.com" TargetMode="External"/><Relationship Id="rId136" Type="http://schemas.openxmlformats.org/officeDocument/2006/relationships/hyperlink" Target="mailto:talitaturco@gmail.com" TargetMode="External"/><Relationship Id="rId157" Type="http://schemas.openxmlformats.org/officeDocument/2006/relationships/hyperlink" Target="mailto:milenadaher@hotmail.com" TargetMode="External"/><Relationship Id="rId178" Type="http://schemas.openxmlformats.org/officeDocument/2006/relationships/hyperlink" Target="mailto:a_carneiro@ig.com.br" TargetMode="External"/><Relationship Id="rId61" Type="http://schemas.openxmlformats.org/officeDocument/2006/relationships/hyperlink" Target="mailto:a_filippo@uol.com.br" TargetMode="External"/><Relationship Id="rId82" Type="http://schemas.openxmlformats.org/officeDocument/2006/relationships/hyperlink" Target="mailto:amanda_demattos@hotmail.com" TargetMode="External"/><Relationship Id="rId152" Type="http://schemas.openxmlformats.org/officeDocument/2006/relationships/hyperlink" Target="mailto:nguerra229@gmail.com" TargetMode="External"/><Relationship Id="rId173" Type="http://schemas.openxmlformats.org/officeDocument/2006/relationships/hyperlink" Target="mailto:jjr271278@gmail.com" TargetMode="External"/><Relationship Id="rId19" Type="http://schemas.openxmlformats.org/officeDocument/2006/relationships/hyperlink" Target="mailto:dentistafnd@terra.com.br" TargetMode="External"/><Relationship Id="rId14" Type="http://schemas.openxmlformats.org/officeDocument/2006/relationships/hyperlink" Target="mailto:terapeuta.com@hotmail.com" TargetMode="External"/><Relationship Id="rId30" Type="http://schemas.openxmlformats.org/officeDocument/2006/relationships/hyperlink" Target="mailto:biancabentoribeiro@gmail.com" TargetMode="External"/><Relationship Id="rId35" Type="http://schemas.openxmlformats.org/officeDocument/2006/relationships/hyperlink" Target="mailto:moraes63@ig.com.br" TargetMode="External"/><Relationship Id="rId56" Type="http://schemas.openxmlformats.org/officeDocument/2006/relationships/hyperlink" Target="mailto:alineamand13@gmail.com.br" TargetMode="External"/><Relationship Id="rId77" Type="http://schemas.openxmlformats.org/officeDocument/2006/relationships/hyperlink" Target="mailto:ajuliab28@gmail.com" TargetMode="External"/><Relationship Id="rId100" Type="http://schemas.openxmlformats.org/officeDocument/2006/relationships/hyperlink" Target="mailto:rctaguiar@gmail.com" TargetMode="External"/><Relationship Id="rId105" Type="http://schemas.openxmlformats.org/officeDocument/2006/relationships/hyperlink" Target="mailto:cintia.paguiar@gmail.com" TargetMode="External"/><Relationship Id="rId126" Type="http://schemas.openxmlformats.org/officeDocument/2006/relationships/hyperlink" Target="mailto:leandrosrabelo@hotmail.com" TargetMode="External"/><Relationship Id="rId147" Type="http://schemas.openxmlformats.org/officeDocument/2006/relationships/hyperlink" Target="mailto:isabelaguine@hotmail.com" TargetMode="External"/><Relationship Id="rId168" Type="http://schemas.openxmlformats.org/officeDocument/2006/relationships/hyperlink" Target="mailto:jonesjaf@gmail.com" TargetMode="External"/><Relationship Id="rId8" Type="http://schemas.openxmlformats.org/officeDocument/2006/relationships/hyperlink" Target="mailto:rhebling@me.com" TargetMode="External"/><Relationship Id="rId51" Type="http://schemas.openxmlformats.org/officeDocument/2006/relationships/hyperlink" Target="mailto:elaine.tofolo@bosch.com" TargetMode="External"/><Relationship Id="rId72" Type="http://schemas.openxmlformats.org/officeDocument/2006/relationships/hyperlink" Target="mailto:juliana_hibari@hotmail.com" TargetMode="External"/><Relationship Id="rId93" Type="http://schemas.openxmlformats.org/officeDocument/2006/relationships/hyperlink" Target="mailto:betojer@gmail.com" TargetMode="External"/><Relationship Id="rId98" Type="http://schemas.openxmlformats.org/officeDocument/2006/relationships/hyperlink" Target="mailto:gessica_monize@hotmail.com" TargetMode="External"/><Relationship Id="rId121" Type="http://schemas.openxmlformats.org/officeDocument/2006/relationships/hyperlink" Target="mailto:gabriellyamartin@gmail.com" TargetMode="External"/><Relationship Id="rId142" Type="http://schemas.openxmlformats.org/officeDocument/2006/relationships/hyperlink" Target="mailto:barbara-sierra@live.com" TargetMode="External"/><Relationship Id="rId163" Type="http://schemas.openxmlformats.org/officeDocument/2006/relationships/hyperlink" Target="mailto:marisaborbagarcia@gmail.com" TargetMode="External"/><Relationship Id="rId184" Type="http://schemas.openxmlformats.org/officeDocument/2006/relationships/hyperlink" Target="mailto:blealaraujo@gmail.com" TargetMode="External"/><Relationship Id="rId189" Type="http://schemas.openxmlformats.org/officeDocument/2006/relationships/comments" Target="../comments2.xml"/><Relationship Id="rId3" Type="http://schemas.openxmlformats.org/officeDocument/2006/relationships/hyperlink" Target="mailto:miguel.rc@bol.com.br" TargetMode="External"/><Relationship Id="rId25" Type="http://schemas.openxmlformats.org/officeDocument/2006/relationships/hyperlink" Target="mailto:weverton.oliver07@gmail.com" TargetMode="External"/><Relationship Id="rId46" Type="http://schemas.openxmlformats.org/officeDocument/2006/relationships/hyperlink" Target="mailto:judbcoelho@gmail.com" TargetMode="External"/><Relationship Id="rId67" Type="http://schemas.openxmlformats.org/officeDocument/2006/relationships/hyperlink" Target="mailto:amandavoci@uol.com.br" TargetMode="External"/><Relationship Id="rId116" Type="http://schemas.openxmlformats.org/officeDocument/2006/relationships/hyperlink" Target="mailto:lojaspodecrer@hotmail.com" TargetMode="External"/><Relationship Id="rId137" Type="http://schemas.openxmlformats.org/officeDocument/2006/relationships/hyperlink" Target="mailto:luciaxaviergarcia@gmail.com" TargetMode="External"/><Relationship Id="rId158" Type="http://schemas.openxmlformats.org/officeDocument/2006/relationships/hyperlink" Target="mailto:monicacesar1@gmail.com" TargetMode="External"/><Relationship Id="rId20" Type="http://schemas.openxmlformats.org/officeDocument/2006/relationships/hyperlink" Target="mailto:dora.cairiac@hotmail.com" TargetMode="External"/><Relationship Id="rId41" Type="http://schemas.openxmlformats.org/officeDocument/2006/relationships/hyperlink" Target="mailto:farfallablue@uol.com.br" TargetMode="External"/><Relationship Id="rId62" Type="http://schemas.openxmlformats.org/officeDocument/2006/relationships/hyperlink" Target="mailto:mdturismo@terra.com.br" TargetMode="External"/><Relationship Id="rId83" Type="http://schemas.openxmlformats.org/officeDocument/2006/relationships/hyperlink" Target="mailto:amandavoci@uol.com.br" TargetMode="External"/><Relationship Id="rId88" Type="http://schemas.openxmlformats.org/officeDocument/2006/relationships/hyperlink" Target="mailto:julian.akinaga@gmail.com" TargetMode="External"/><Relationship Id="rId111" Type="http://schemas.openxmlformats.org/officeDocument/2006/relationships/hyperlink" Target="mailto:julian.akinaga@gmail.com" TargetMode="External"/><Relationship Id="rId132" Type="http://schemas.openxmlformats.org/officeDocument/2006/relationships/hyperlink" Target="mailto:suelidimauro@hotmail.com" TargetMode="External"/><Relationship Id="rId153" Type="http://schemas.openxmlformats.org/officeDocument/2006/relationships/hyperlink" Target="mailto:tcmxavier@gmail.com" TargetMode="External"/><Relationship Id="rId174" Type="http://schemas.openxmlformats.org/officeDocument/2006/relationships/hyperlink" Target="mailto:maritjorge@gmail.com" TargetMode="External"/><Relationship Id="rId179" Type="http://schemas.openxmlformats.org/officeDocument/2006/relationships/hyperlink" Target="mailto:juliaenmartins@gmail.com" TargetMode="External"/><Relationship Id="rId15" Type="http://schemas.openxmlformats.org/officeDocument/2006/relationships/hyperlink" Target="mailto:caioinbox@gmail.com" TargetMode="External"/><Relationship Id="rId36" Type="http://schemas.openxmlformats.org/officeDocument/2006/relationships/hyperlink" Target="mailto:rosely.miranda@uol.com.br" TargetMode="External"/><Relationship Id="rId57" Type="http://schemas.openxmlformats.org/officeDocument/2006/relationships/hyperlink" Target="mailto:giuliarpinello@gmail.com" TargetMode="External"/><Relationship Id="rId106" Type="http://schemas.openxmlformats.org/officeDocument/2006/relationships/hyperlink" Target="mailto:lucas_meme@hotmail.com" TargetMode="External"/><Relationship Id="rId127" Type="http://schemas.openxmlformats.org/officeDocument/2006/relationships/hyperlink" Target="mailto:suelidimauro@hotmail.com" TargetMode="External"/><Relationship Id="rId10" Type="http://schemas.openxmlformats.org/officeDocument/2006/relationships/hyperlink" Target="mailto:eduardobernardes@ig.com.br" TargetMode="External"/><Relationship Id="rId31" Type="http://schemas.openxmlformats.org/officeDocument/2006/relationships/hyperlink" Target="mailto:toninho@arfernandez.com.br" TargetMode="External"/><Relationship Id="rId52" Type="http://schemas.openxmlformats.org/officeDocument/2006/relationships/hyperlink" Target="mailto:dekabi0816@hotmail.com" TargetMode="External"/><Relationship Id="rId73" Type="http://schemas.openxmlformats.org/officeDocument/2006/relationships/hyperlink" Target="mailto:l.alexandrita@gmail.com" TargetMode="External"/><Relationship Id="rId78" Type="http://schemas.openxmlformats.org/officeDocument/2006/relationships/hyperlink" Target="mailto:danielsiqueiralopes@gmail.com" TargetMode="External"/><Relationship Id="rId94" Type="http://schemas.openxmlformats.org/officeDocument/2006/relationships/hyperlink" Target="mailto:suzy_chang05@hotmail.com" TargetMode="External"/><Relationship Id="rId99" Type="http://schemas.openxmlformats.org/officeDocument/2006/relationships/hyperlink" Target="mailto:riliardeirineu@gmail.com" TargetMode="External"/><Relationship Id="rId101" Type="http://schemas.openxmlformats.org/officeDocument/2006/relationships/hyperlink" Target="mailto:renata_chyrus@hotmail.com" TargetMode="External"/><Relationship Id="rId122" Type="http://schemas.openxmlformats.org/officeDocument/2006/relationships/hyperlink" Target="mailto:suelidimauro@hotmail.com" TargetMode="External"/><Relationship Id="rId143" Type="http://schemas.openxmlformats.org/officeDocument/2006/relationships/hyperlink" Target="mailto:audreyrovelli@hotmail.com" TargetMode="External"/><Relationship Id="rId148" Type="http://schemas.openxmlformats.org/officeDocument/2006/relationships/hyperlink" Target="mailto:franklin.dtr@gmail.com" TargetMode="External"/><Relationship Id="rId164" Type="http://schemas.openxmlformats.org/officeDocument/2006/relationships/hyperlink" Target="mailto:jardim.cesira@gmail.com" TargetMode="External"/><Relationship Id="rId169" Type="http://schemas.openxmlformats.org/officeDocument/2006/relationships/hyperlink" Target="mailto:jo.criscal@hotmail.com" TargetMode="External"/><Relationship Id="rId185" Type="http://schemas.openxmlformats.org/officeDocument/2006/relationships/hyperlink" Target="mailto:pmsalexx21@gmail.com" TargetMode="External"/><Relationship Id="rId4" Type="http://schemas.openxmlformats.org/officeDocument/2006/relationships/hyperlink" Target="mailto:FERNANDAVON@HOTMAIL.COM" TargetMode="External"/><Relationship Id="rId9" Type="http://schemas.openxmlformats.org/officeDocument/2006/relationships/hyperlink" Target="mailto:wolf.von@terra.com.br" TargetMode="External"/><Relationship Id="rId180" Type="http://schemas.openxmlformats.org/officeDocument/2006/relationships/hyperlink" Target="mailto:helenadurbano@gmail.com" TargetMode="External"/><Relationship Id="rId26" Type="http://schemas.openxmlformats.org/officeDocument/2006/relationships/hyperlink" Target="mailto:joaor66@gmail.com" TargetMode="External"/><Relationship Id="rId47" Type="http://schemas.openxmlformats.org/officeDocument/2006/relationships/hyperlink" Target="mailto:carlosxcunha@hotmail.com" TargetMode="External"/><Relationship Id="rId68" Type="http://schemas.openxmlformats.org/officeDocument/2006/relationships/hyperlink" Target="mailto:marcia_mastec@hotmail.com" TargetMode="External"/><Relationship Id="rId89" Type="http://schemas.openxmlformats.org/officeDocument/2006/relationships/hyperlink" Target="mailto:mariliadetoledo@gmail.com" TargetMode="External"/><Relationship Id="rId112" Type="http://schemas.openxmlformats.org/officeDocument/2006/relationships/hyperlink" Target="mailto:mayra.chinellato@fasano.com.br" TargetMode="External"/><Relationship Id="rId133" Type="http://schemas.openxmlformats.org/officeDocument/2006/relationships/hyperlink" Target="mailto:jo.criscal@hotmail.com" TargetMode="External"/><Relationship Id="rId154" Type="http://schemas.openxmlformats.org/officeDocument/2006/relationships/hyperlink" Target="mailto:taizmaga@gmail.com" TargetMode="External"/><Relationship Id="rId175" Type="http://schemas.openxmlformats.org/officeDocument/2006/relationships/hyperlink" Target="mailto:margarete_gue@hotmail.com" TargetMode="External"/><Relationship Id="rId16" Type="http://schemas.openxmlformats.org/officeDocument/2006/relationships/hyperlink" Target="mailto:costarone.c@gmail.com" TargetMode="External"/><Relationship Id="rId37" Type="http://schemas.openxmlformats.org/officeDocument/2006/relationships/hyperlink" Target="mailto:assiste@assisteconsultoria.com.br" TargetMode="External"/><Relationship Id="rId58" Type="http://schemas.openxmlformats.org/officeDocument/2006/relationships/hyperlink" Target="mailto:salaoalegria2016@gmail.com" TargetMode="External"/><Relationship Id="rId79" Type="http://schemas.openxmlformats.org/officeDocument/2006/relationships/hyperlink" Target="mailto:daniel.m.rodrigues@outlook.com" TargetMode="External"/><Relationship Id="rId102" Type="http://schemas.openxmlformats.org/officeDocument/2006/relationships/hyperlink" Target="mailto:babicunha04@gmail.com" TargetMode="External"/><Relationship Id="rId123" Type="http://schemas.openxmlformats.org/officeDocument/2006/relationships/hyperlink" Target="mailto:torres.adc@gmail.com" TargetMode="External"/><Relationship Id="rId144" Type="http://schemas.openxmlformats.org/officeDocument/2006/relationships/hyperlink" Target="mailto:enrique.contato@hotmail.com" TargetMode="External"/><Relationship Id="rId90" Type="http://schemas.openxmlformats.org/officeDocument/2006/relationships/hyperlink" Target="mailto:ajuliab28@gmail.com" TargetMode="External"/><Relationship Id="rId165" Type="http://schemas.openxmlformats.org/officeDocument/2006/relationships/hyperlink" Target="mailto:taizmaga@gmail.com" TargetMode="External"/><Relationship Id="rId186" Type="http://schemas.openxmlformats.org/officeDocument/2006/relationships/hyperlink" Target="mailto:italo_ueno@hotmail.com" TargetMode="External"/><Relationship Id="rId27" Type="http://schemas.openxmlformats.org/officeDocument/2006/relationships/hyperlink" Target="mailto:aglaisoares@hotmail.com" TargetMode="External"/><Relationship Id="rId48" Type="http://schemas.openxmlformats.org/officeDocument/2006/relationships/hyperlink" Target="mailto:juliana.riviti@gmail.com" TargetMode="External"/><Relationship Id="rId69" Type="http://schemas.openxmlformats.org/officeDocument/2006/relationships/hyperlink" Target="mailto:rosemary.esquillaro@hotmail.com" TargetMode="External"/><Relationship Id="rId113" Type="http://schemas.openxmlformats.org/officeDocument/2006/relationships/hyperlink" Target="mailto:afbijouterias@uol.com.br" TargetMode="External"/><Relationship Id="rId134" Type="http://schemas.openxmlformats.org/officeDocument/2006/relationships/hyperlink" Target="mailto:biaipacheco@gmail.com" TargetMode="External"/><Relationship Id="rId80" Type="http://schemas.openxmlformats.org/officeDocument/2006/relationships/hyperlink" Target="mailto:mlsg4583@hotmail.com" TargetMode="External"/><Relationship Id="rId155" Type="http://schemas.openxmlformats.org/officeDocument/2006/relationships/hyperlink" Target="mailto:claudiarod.sp@gmail.com" TargetMode="External"/><Relationship Id="rId176" Type="http://schemas.openxmlformats.org/officeDocument/2006/relationships/hyperlink" Target="mailto:tuliodambrosio@hotmail.com" TargetMode="External"/><Relationship Id="rId17" Type="http://schemas.openxmlformats.org/officeDocument/2006/relationships/hyperlink" Target="mailto:mary.yamin@gmail.com" TargetMode="External"/><Relationship Id="rId38" Type="http://schemas.openxmlformats.org/officeDocument/2006/relationships/hyperlink" Target="mailto:rodrigomagalhaesgomes@hotmail.com" TargetMode="External"/><Relationship Id="rId59" Type="http://schemas.openxmlformats.org/officeDocument/2006/relationships/hyperlink" Target="mailto:mauricio.sanger1979@gmail.com" TargetMode="External"/><Relationship Id="rId103" Type="http://schemas.openxmlformats.org/officeDocument/2006/relationships/hyperlink" Target="mailto:marinahmori@gmail.com" TargetMode="External"/><Relationship Id="rId124" Type="http://schemas.openxmlformats.org/officeDocument/2006/relationships/hyperlink" Target="mailto:torres.adc@gmail.com" TargetMode="External"/><Relationship Id="rId70" Type="http://schemas.openxmlformats.org/officeDocument/2006/relationships/hyperlink" Target="mailto:danishadowcat@yahoo.com.br" TargetMode="External"/><Relationship Id="rId91" Type="http://schemas.openxmlformats.org/officeDocument/2006/relationships/hyperlink" Target="mailto:lojaspodecrer@hotmail.com" TargetMode="External"/><Relationship Id="rId145" Type="http://schemas.openxmlformats.org/officeDocument/2006/relationships/hyperlink" Target="mailto:vidal.brunavidal@gmail.com" TargetMode="External"/><Relationship Id="rId166" Type="http://schemas.openxmlformats.org/officeDocument/2006/relationships/hyperlink" Target="mailto:marcus.lealsantos@gmail.com" TargetMode="External"/><Relationship Id="rId187" Type="http://schemas.openxmlformats.org/officeDocument/2006/relationships/printerSettings" Target="../printerSettings/printerSettings3.bin"/><Relationship Id="rId1" Type="http://schemas.openxmlformats.org/officeDocument/2006/relationships/hyperlink" Target="mailto:cristina.varela@ge.com" TargetMode="External"/><Relationship Id="rId28" Type="http://schemas.openxmlformats.org/officeDocument/2006/relationships/hyperlink" Target="mailto:fccoan@gmail.com" TargetMode="External"/><Relationship Id="rId49" Type="http://schemas.openxmlformats.org/officeDocument/2006/relationships/hyperlink" Target="mailto:daniel@cantaloup.com.br" TargetMode="External"/><Relationship Id="rId114" Type="http://schemas.openxmlformats.org/officeDocument/2006/relationships/hyperlink" Target="mailto:rnm@aasp.org.br" TargetMode="External"/><Relationship Id="rId60" Type="http://schemas.openxmlformats.org/officeDocument/2006/relationships/hyperlink" Target="mailto:lucasdamiao@hotmail.com" TargetMode="External"/><Relationship Id="rId81" Type="http://schemas.openxmlformats.org/officeDocument/2006/relationships/hyperlink" Target="mailto:dalva_mcar@yahoo.com.br" TargetMode="External"/><Relationship Id="rId135" Type="http://schemas.openxmlformats.org/officeDocument/2006/relationships/hyperlink" Target="mailto:cinthia.rodrigues35@hotmail.com" TargetMode="External"/><Relationship Id="rId156" Type="http://schemas.openxmlformats.org/officeDocument/2006/relationships/hyperlink" Target="mailto:suelen.targino@hotmail.com" TargetMode="External"/><Relationship Id="rId177" Type="http://schemas.openxmlformats.org/officeDocument/2006/relationships/hyperlink" Target="mailto:ca.issa@hot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C818-D49F-45DA-AECC-2B7D75CA0AB9}">
  <dimension ref="A1:S148"/>
  <sheetViews>
    <sheetView topLeftCell="C40" workbookViewId="0">
      <selection activeCell="C40" sqref="A1:IV65536"/>
    </sheetView>
  </sheetViews>
  <sheetFormatPr defaultRowHeight="13.2"/>
  <cols>
    <col min="1" max="1" width="18.109375" bestFit="1" customWidth="1"/>
    <col min="2" max="2" width="10.33203125" bestFit="1" customWidth="1"/>
    <col min="3" max="4" width="10.33203125" customWidth="1"/>
    <col min="5" max="5" width="9.6640625" bestFit="1" customWidth="1"/>
    <col min="6" max="6" width="6.88671875" bestFit="1" customWidth="1"/>
    <col min="7" max="7" width="5" bestFit="1" customWidth="1"/>
    <col min="10" max="10" width="10" bestFit="1" customWidth="1"/>
    <col min="11" max="11" width="6.88671875" bestFit="1" customWidth="1"/>
    <col min="12" max="12" width="5" bestFit="1" customWidth="1"/>
    <col min="17" max="17" width="22.33203125" bestFit="1" customWidth="1"/>
    <col min="18" max="18" width="12.109375" customWidth="1"/>
    <col min="19" max="19" width="5" bestFit="1" customWidth="1"/>
  </cols>
  <sheetData>
    <row r="1" spans="1:19">
      <c r="E1" s="18" t="s">
        <v>1042</v>
      </c>
      <c r="J1" s="18" t="s">
        <v>1043</v>
      </c>
      <c r="N1" s="18" t="s">
        <v>1044</v>
      </c>
      <c r="Q1" s="18" t="s">
        <v>1045</v>
      </c>
    </row>
    <row r="3" spans="1:19">
      <c r="A3" s="19" t="s">
        <v>2618</v>
      </c>
      <c r="B3" s="20"/>
      <c r="E3" s="19" t="s">
        <v>173</v>
      </c>
      <c r="F3" s="21"/>
      <c r="G3" s="20"/>
      <c r="J3" s="19" t="s">
        <v>173</v>
      </c>
      <c r="K3" s="21"/>
      <c r="L3" s="20"/>
      <c r="Q3" s="19" t="s">
        <v>173</v>
      </c>
      <c r="R3" s="21"/>
      <c r="S3" s="20"/>
    </row>
    <row r="4" spans="1:19">
      <c r="A4" s="19" t="s">
        <v>83</v>
      </c>
      <c r="B4" s="20" t="s">
        <v>84</v>
      </c>
      <c r="E4" s="19" t="s">
        <v>168</v>
      </c>
      <c r="F4" s="19" t="s">
        <v>167</v>
      </c>
      <c r="G4" s="20" t="s">
        <v>84</v>
      </c>
      <c r="J4" s="19" t="s">
        <v>168</v>
      </c>
      <c r="K4" s="19" t="s">
        <v>167</v>
      </c>
      <c r="L4" s="20" t="s">
        <v>84</v>
      </c>
      <c r="O4">
        <f>SUM(O6:O22)</f>
        <v>407</v>
      </c>
      <c r="Q4" s="19" t="s">
        <v>842</v>
      </c>
      <c r="R4" s="19" t="s">
        <v>841</v>
      </c>
      <c r="S4" s="20" t="s">
        <v>84</v>
      </c>
    </row>
    <row r="5" spans="1:19">
      <c r="A5" s="19">
        <v>1</v>
      </c>
      <c r="B5" s="22">
        <v>2068.75</v>
      </c>
      <c r="E5" s="19">
        <v>2011</v>
      </c>
      <c r="F5" s="19">
        <v>6</v>
      </c>
      <c r="G5" s="20">
        <v>1</v>
      </c>
      <c r="J5" s="19">
        <v>2009</v>
      </c>
      <c r="K5" s="19">
        <v>8</v>
      </c>
      <c r="L5" s="20">
        <v>1</v>
      </c>
      <c r="Q5" s="19">
        <v>2017</v>
      </c>
      <c r="R5" s="19">
        <v>1</v>
      </c>
      <c r="S5" s="20">
        <v>7</v>
      </c>
    </row>
    <row r="6" spans="1:19">
      <c r="A6" s="23">
        <v>2</v>
      </c>
      <c r="B6" s="24">
        <v>5610.5524999999998</v>
      </c>
      <c r="E6" s="25" t="s">
        <v>171</v>
      </c>
      <c r="F6" s="26"/>
      <c r="G6" s="27">
        <v>1</v>
      </c>
      <c r="J6" s="25" t="s">
        <v>764</v>
      </c>
      <c r="K6" s="26"/>
      <c r="L6" s="27">
        <v>1</v>
      </c>
      <c r="N6" s="28"/>
      <c r="O6" s="28"/>
      <c r="Q6" s="29"/>
      <c r="R6" s="23">
        <v>2</v>
      </c>
      <c r="S6" s="30">
        <v>1</v>
      </c>
    </row>
    <row r="7" spans="1:19">
      <c r="A7" s="23">
        <v>3</v>
      </c>
      <c r="B7" s="24">
        <v>714</v>
      </c>
      <c r="E7" s="19" t="s">
        <v>169</v>
      </c>
      <c r="F7" s="21"/>
      <c r="G7" s="20"/>
      <c r="J7" s="19">
        <v>2010</v>
      </c>
      <c r="K7" s="19">
        <v>10</v>
      </c>
      <c r="L7" s="20">
        <v>2</v>
      </c>
      <c r="N7">
        <v>2011</v>
      </c>
      <c r="O7">
        <f>GETPIVOTDATA("QDE DE CÃES",$E$3,"Ano",2011)+GETPIVOTDATA("QDE DE CÃES",$J$3,"Ano",2011)</f>
        <v>5</v>
      </c>
      <c r="Q7" s="29"/>
      <c r="R7" s="23">
        <v>3</v>
      </c>
      <c r="S7" s="30">
        <v>1</v>
      </c>
    </row>
    <row r="8" spans="1:19">
      <c r="A8" s="23">
        <v>4</v>
      </c>
      <c r="B8" s="24">
        <v>1357.95</v>
      </c>
      <c r="E8" s="19">
        <v>2014</v>
      </c>
      <c r="F8" s="19">
        <v>4</v>
      </c>
      <c r="G8" s="20">
        <v>5</v>
      </c>
      <c r="J8" s="29"/>
      <c r="K8" s="23">
        <v>11</v>
      </c>
      <c r="L8" s="30">
        <v>5</v>
      </c>
      <c r="N8" s="28">
        <v>2012</v>
      </c>
      <c r="O8" s="28">
        <f>GETPIVOTDATA("QDE DE CÃES",$J$3,"Ano",2012)</f>
        <v>12</v>
      </c>
      <c r="Q8" s="29"/>
      <c r="R8" s="23">
        <v>4</v>
      </c>
      <c r="S8" s="30">
        <v>6</v>
      </c>
    </row>
    <row r="9" spans="1:19">
      <c r="A9" s="23">
        <v>5</v>
      </c>
      <c r="B9" s="24">
        <v>714</v>
      </c>
      <c r="E9" s="25" t="s">
        <v>361</v>
      </c>
      <c r="F9" s="26"/>
      <c r="G9" s="27">
        <v>5</v>
      </c>
      <c r="J9" s="25" t="s">
        <v>170</v>
      </c>
      <c r="K9" s="26"/>
      <c r="L9" s="27">
        <v>7</v>
      </c>
      <c r="N9">
        <v>2013</v>
      </c>
      <c r="O9">
        <f>GETPIVOTDATA("QDE DE CÃES",$J$3,"Ano",2013)</f>
        <v>6</v>
      </c>
      <c r="Q9" s="29"/>
      <c r="R9" s="23">
        <v>5</v>
      </c>
      <c r="S9" s="30">
        <v>1</v>
      </c>
    </row>
    <row r="10" spans="1:19">
      <c r="A10" s="23">
        <v>8</v>
      </c>
      <c r="B10" s="24">
        <v>1392.3000000000002</v>
      </c>
      <c r="E10" s="19">
        <v>2015</v>
      </c>
      <c r="F10" s="19">
        <v>5</v>
      </c>
      <c r="G10" s="20">
        <v>1</v>
      </c>
      <c r="J10" s="19">
        <v>2011</v>
      </c>
      <c r="K10" s="19">
        <v>1</v>
      </c>
      <c r="L10" s="20">
        <v>1</v>
      </c>
      <c r="N10" s="28">
        <v>2014</v>
      </c>
      <c r="O10" s="28">
        <f>GETPIVOTDATA("QDE DE CÃES",$E$3,"Ano",2014)+GETPIVOTDATA("QDE DE CÃES",$J$3,"Ano",2014)</f>
        <v>27</v>
      </c>
      <c r="Q10" s="29"/>
      <c r="R10" s="23">
        <v>6</v>
      </c>
      <c r="S10" s="30">
        <v>4</v>
      </c>
    </row>
    <row r="11" spans="1:19">
      <c r="A11" s="23">
        <v>9</v>
      </c>
      <c r="B11" s="24">
        <v>2249.1</v>
      </c>
      <c r="E11" s="29"/>
      <c r="F11" s="23">
        <v>9</v>
      </c>
      <c r="G11" s="30">
        <v>2</v>
      </c>
      <c r="J11" s="29"/>
      <c r="K11" s="23">
        <v>5</v>
      </c>
      <c r="L11" s="30">
        <v>1</v>
      </c>
      <c r="N11">
        <v>2015</v>
      </c>
      <c r="O11">
        <f>GETPIVOTDATA("QDE DE CÃES",$E$3,"Ano",2015)+GETPIVOTDATA("QDE DE CÃES",$J$3,"Ano",2015)</f>
        <v>26</v>
      </c>
      <c r="Q11" s="29"/>
      <c r="R11" s="23">
        <v>7</v>
      </c>
      <c r="S11" s="30">
        <v>4</v>
      </c>
    </row>
    <row r="12" spans="1:19">
      <c r="A12" s="23">
        <v>10</v>
      </c>
      <c r="B12" s="24">
        <v>4110.6000000000004</v>
      </c>
      <c r="E12" s="29"/>
      <c r="F12" s="23">
        <v>11</v>
      </c>
      <c r="G12" s="30">
        <v>1</v>
      </c>
      <c r="J12" s="29"/>
      <c r="K12" s="23">
        <v>6</v>
      </c>
      <c r="L12" s="30">
        <v>1</v>
      </c>
      <c r="N12" s="28">
        <v>2016</v>
      </c>
      <c r="O12" s="28">
        <f>GETPIVOTDATA("QDE DE CÃES",$E$3,"Ano",2016)+GETPIVOTDATA("QDE DE CÃES",$J$3,"Ano",2016)</f>
        <v>50</v>
      </c>
      <c r="Q12" s="29"/>
      <c r="R12" s="23">
        <v>8</v>
      </c>
      <c r="S12" s="30">
        <v>2</v>
      </c>
    </row>
    <row r="13" spans="1:19">
      <c r="A13" s="23">
        <v>11</v>
      </c>
      <c r="B13" s="24">
        <v>714</v>
      </c>
      <c r="E13" s="25" t="s">
        <v>429</v>
      </c>
      <c r="F13" s="26"/>
      <c r="G13" s="27">
        <v>4</v>
      </c>
      <c r="J13" s="29"/>
      <c r="K13" s="23">
        <v>9</v>
      </c>
      <c r="L13" s="30">
        <v>1</v>
      </c>
      <c r="N13">
        <v>2017</v>
      </c>
      <c r="O13">
        <f>GETPIVOTDATA("QDE DE CÃES",$E$3,"Ano",2017)+GETPIVOTDATA("QDE DE CÃES",$J$3,"Ano",2017)</f>
        <v>37</v>
      </c>
      <c r="Q13" s="29"/>
      <c r="R13" s="23">
        <v>9</v>
      </c>
      <c r="S13" s="30">
        <v>2</v>
      </c>
    </row>
    <row r="14" spans="1:19">
      <c r="A14" s="23">
        <v>12</v>
      </c>
      <c r="B14" s="24">
        <v>2710.92</v>
      </c>
      <c r="E14" s="19">
        <v>2016</v>
      </c>
      <c r="F14" s="19">
        <v>1</v>
      </c>
      <c r="G14" s="20">
        <v>1</v>
      </c>
      <c r="J14" s="25" t="s">
        <v>171</v>
      </c>
      <c r="K14" s="26"/>
      <c r="L14" s="27">
        <v>4</v>
      </c>
      <c r="N14" s="28">
        <v>2018</v>
      </c>
      <c r="O14" s="28">
        <f>GETPIVOTDATA("QDE DE CÃES",$E$3,"Ano",2018)+GETPIVOTDATA("QDE DE CÃES",$J$3,"Ano",2018)</f>
        <v>34</v>
      </c>
      <c r="Q14" s="29"/>
      <c r="R14" s="23">
        <v>10</v>
      </c>
      <c r="S14" s="30">
        <v>1</v>
      </c>
    </row>
    <row r="15" spans="1:19">
      <c r="A15" s="23">
        <v>13</v>
      </c>
      <c r="B15" s="24">
        <v>3677.1000000000004</v>
      </c>
      <c r="E15" s="29"/>
      <c r="F15" s="23">
        <v>10</v>
      </c>
      <c r="G15" s="30">
        <v>1</v>
      </c>
      <c r="J15" s="19">
        <v>2012</v>
      </c>
      <c r="K15" s="19">
        <v>1</v>
      </c>
      <c r="L15" s="20">
        <v>1</v>
      </c>
      <c r="N15">
        <v>2019</v>
      </c>
      <c r="O15">
        <f>GETPIVOTDATA("QDE DE CÃES",$E$3,"Ano",2019)+GETPIVOTDATA("QDE DE CÃES",$J$3,"Ano",2019)</f>
        <v>32</v>
      </c>
      <c r="Q15" s="29"/>
      <c r="R15" s="23">
        <v>12</v>
      </c>
      <c r="S15" s="30">
        <v>8</v>
      </c>
    </row>
    <row r="16" spans="1:19">
      <c r="A16" s="23">
        <v>14</v>
      </c>
      <c r="B16" s="24">
        <v>1484.96</v>
      </c>
      <c r="E16" s="25" t="s">
        <v>634</v>
      </c>
      <c r="F16" s="26"/>
      <c r="G16" s="27">
        <v>2</v>
      </c>
      <c r="J16" s="29"/>
      <c r="K16" s="23">
        <v>2</v>
      </c>
      <c r="L16" s="30">
        <v>1</v>
      </c>
      <c r="N16" s="28">
        <v>2020</v>
      </c>
      <c r="O16" s="28">
        <f>GETPIVOTDATA("QDE DE CÃES",$E$3,"Ano",2020)+GETPIVOTDATA("QDE DE CÃES",$J$3,"Ano",2020)</f>
        <v>38</v>
      </c>
      <c r="Q16" s="25" t="s">
        <v>928</v>
      </c>
      <c r="R16" s="26"/>
      <c r="S16" s="27">
        <v>37</v>
      </c>
    </row>
    <row r="17" spans="1:19">
      <c r="A17" s="23">
        <v>16</v>
      </c>
      <c r="B17" s="24">
        <v>2026.5</v>
      </c>
      <c r="E17" s="19">
        <v>2017</v>
      </c>
      <c r="F17" s="19">
        <v>5</v>
      </c>
      <c r="G17" s="20">
        <v>1</v>
      </c>
      <c r="J17" s="29"/>
      <c r="K17" s="23">
        <v>3</v>
      </c>
      <c r="L17" s="30">
        <v>1</v>
      </c>
      <c r="N17">
        <v>2021</v>
      </c>
      <c r="O17">
        <f>GETPIVOTDATA("QDE DE CÃES",$E$3,"Ano",2021)+GETPIVOTDATA("QDE DE CÃES",$J$3,"Ano",2021)</f>
        <v>44</v>
      </c>
      <c r="Q17" s="19">
        <v>2018</v>
      </c>
      <c r="R17" s="19">
        <v>1</v>
      </c>
      <c r="S17" s="20">
        <v>2</v>
      </c>
    </row>
    <row r="18" spans="1:19">
      <c r="A18" s="23">
        <v>17</v>
      </c>
      <c r="B18" s="24">
        <v>2852.4300000000003</v>
      </c>
      <c r="E18" s="29"/>
      <c r="F18" s="23">
        <v>8</v>
      </c>
      <c r="G18" s="30">
        <v>1</v>
      </c>
      <c r="J18" s="29"/>
      <c r="K18" s="23">
        <v>4</v>
      </c>
      <c r="L18" s="30">
        <v>2</v>
      </c>
      <c r="N18" s="28">
        <v>2022</v>
      </c>
      <c r="O18" s="28">
        <f>GETPIVOTDATA("QDE DE CÃES",$E$3,"Ano",2022)+GETPIVOTDATA("QDE DE CÃES",$J$3,"Ano",2022)</f>
        <v>46</v>
      </c>
      <c r="Q18" s="29"/>
      <c r="R18" s="23">
        <v>2</v>
      </c>
      <c r="S18" s="30">
        <v>4</v>
      </c>
    </row>
    <row r="19" spans="1:19">
      <c r="A19" s="23">
        <v>18</v>
      </c>
      <c r="B19" s="24">
        <v>749.7</v>
      </c>
      <c r="E19" s="25" t="s">
        <v>869</v>
      </c>
      <c r="F19" s="26"/>
      <c r="G19" s="27">
        <v>2</v>
      </c>
      <c r="J19" s="29"/>
      <c r="K19" s="23">
        <v>6</v>
      </c>
      <c r="L19" s="30">
        <v>2</v>
      </c>
      <c r="N19">
        <v>2023</v>
      </c>
      <c r="O19">
        <f>GETPIVOTDATA("QDE DE CÃES",$E$3,"Ano",2023)+GETPIVOTDATA("QDE DE CÃES",$J$3,"Ano",2023)</f>
        <v>20</v>
      </c>
      <c r="Q19" s="29"/>
      <c r="R19" s="23">
        <v>3</v>
      </c>
      <c r="S19" s="30">
        <v>1</v>
      </c>
    </row>
    <row r="20" spans="1:19">
      <c r="A20" s="23">
        <v>19</v>
      </c>
      <c r="B20" s="24">
        <v>3624.6000000000004</v>
      </c>
      <c r="E20" s="19">
        <v>2018</v>
      </c>
      <c r="F20" s="19">
        <v>1</v>
      </c>
      <c r="G20" s="20">
        <v>1</v>
      </c>
      <c r="J20" s="29"/>
      <c r="K20" s="23">
        <v>9</v>
      </c>
      <c r="L20" s="30">
        <v>1</v>
      </c>
      <c r="N20" s="28">
        <v>2024</v>
      </c>
      <c r="O20" s="28">
        <f>GETPIVOTDATA("QDE DE CÃES",$E$3,"Ano",2024)+GETPIVOTDATA("QDE DE CÃES",$J$3,"Ano",2024)</f>
        <v>23</v>
      </c>
      <c r="Q20" s="29"/>
      <c r="R20" s="23">
        <v>4</v>
      </c>
      <c r="S20" s="30">
        <v>3</v>
      </c>
    </row>
    <row r="21" spans="1:19">
      <c r="A21" s="23">
        <v>20</v>
      </c>
      <c r="B21" s="24">
        <v>714</v>
      </c>
      <c r="E21" s="29"/>
      <c r="F21" s="23">
        <v>9</v>
      </c>
      <c r="G21" s="30">
        <v>1</v>
      </c>
      <c r="J21" s="29"/>
      <c r="K21" s="23">
        <v>11</v>
      </c>
      <c r="L21" s="30">
        <v>1</v>
      </c>
      <c r="N21">
        <v>2025</v>
      </c>
      <c r="O21">
        <f>GETPIVOTDATA("QDE DE CÃES",$E$3,"Ano",2025)</f>
        <v>7</v>
      </c>
      <c r="Q21" s="29"/>
      <c r="R21" s="23">
        <v>5</v>
      </c>
      <c r="S21" s="30">
        <v>1</v>
      </c>
    </row>
    <row r="22" spans="1:19">
      <c r="A22" s="23">
        <v>21</v>
      </c>
      <c r="B22" s="24">
        <v>1544.03</v>
      </c>
      <c r="E22" s="25" t="s">
        <v>1142</v>
      </c>
      <c r="F22" s="26"/>
      <c r="G22" s="27">
        <v>2</v>
      </c>
      <c r="J22" s="29"/>
      <c r="K22" s="23">
        <v>12</v>
      </c>
      <c r="L22" s="30">
        <v>3</v>
      </c>
      <c r="Q22" s="29"/>
      <c r="R22" s="23">
        <v>6</v>
      </c>
      <c r="S22" s="30">
        <v>6</v>
      </c>
    </row>
    <row r="23" spans="1:19">
      <c r="A23" s="23">
        <v>22</v>
      </c>
      <c r="B23" s="24">
        <v>714</v>
      </c>
      <c r="E23" s="19">
        <v>2019</v>
      </c>
      <c r="F23" s="19">
        <v>4</v>
      </c>
      <c r="G23" s="20">
        <v>1</v>
      </c>
      <c r="J23" s="25" t="s">
        <v>172</v>
      </c>
      <c r="K23" s="26"/>
      <c r="L23" s="27">
        <v>12</v>
      </c>
      <c r="Q23" s="29"/>
      <c r="R23" s="23">
        <v>7</v>
      </c>
      <c r="S23" s="30">
        <v>2</v>
      </c>
    </row>
    <row r="24" spans="1:19">
      <c r="A24" s="23">
        <v>23</v>
      </c>
      <c r="B24" s="24">
        <v>1463.7</v>
      </c>
      <c r="E24" s="29"/>
      <c r="F24" s="23">
        <v>12</v>
      </c>
      <c r="G24" s="30">
        <v>1</v>
      </c>
      <c r="J24" s="19">
        <v>2013</v>
      </c>
      <c r="K24" s="19">
        <v>1</v>
      </c>
      <c r="L24" s="20">
        <v>1</v>
      </c>
      <c r="Q24" s="29"/>
      <c r="R24" s="23">
        <v>8</v>
      </c>
      <c r="S24" s="30">
        <v>1</v>
      </c>
    </row>
    <row r="25" spans="1:19">
      <c r="A25" s="23">
        <v>24</v>
      </c>
      <c r="B25" s="24">
        <v>2109.1800000000003</v>
      </c>
      <c r="E25" s="25" t="s">
        <v>1351</v>
      </c>
      <c r="F25" s="26"/>
      <c r="G25" s="27">
        <v>2</v>
      </c>
      <c r="J25" s="29"/>
      <c r="K25" s="23">
        <v>2</v>
      </c>
      <c r="L25" s="30">
        <v>1</v>
      </c>
      <c r="Q25" s="29"/>
      <c r="R25" s="23">
        <v>9</v>
      </c>
      <c r="S25" s="30">
        <v>2</v>
      </c>
    </row>
    <row r="26" spans="1:19">
      <c r="A26" s="23">
        <v>25</v>
      </c>
      <c r="B26" s="24">
        <v>2249.1000000000004</v>
      </c>
      <c r="E26" s="19">
        <v>2020</v>
      </c>
      <c r="F26" s="19">
        <v>5</v>
      </c>
      <c r="G26" s="20">
        <v>2</v>
      </c>
      <c r="J26" s="29"/>
      <c r="K26" s="23">
        <v>7</v>
      </c>
      <c r="L26" s="30">
        <v>1</v>
      </c>
      <c r="Q26" s="29"/>
      <c r="R26" s="23">
        <v>10</v>
      </c>
      <c r="S26" s="30">
        <v>4</v>
      </c>
    </row>
    <row r="27" spans="1:19">
      <c r="A27" s="23">
        <v>27</v>
      </c>
      <c r="B27" s="24">
        <v>714</v>
      </c>
      <c r="E27" s="29"/>
      <c r="F27" s="23">
        <v>10</v>
      </c>
      <c r="G27" s="30">
        <v>1</v>
      </c>
      <c r="J27" s="29"/>
      <c r="K27" s="23">
        <v>8</v>
      </c>
      <c r="L27" s="30">
        <v>1</v>
      </c>
      <c r="Q27" s="29"/>
      <c r="R27" s="23">
        <v>11</v>
      </c>
      <c r="S27" s="30">
        <v>2</v>
      </c>
    </row>
    <row r="28" spans="1:19">
      <c r="A28" s="23">
        <v>29</v>
      </c>
      <c r="B28" s="24">
        <v>4174.67</v>
      </c>
      <c r="E28" s="29"/>
      <c r="F28" s="23">
        <v>12</v>
      </c>
      <c r="G28" s="30">
        <v>1</v>
      </c>
      <c r="J28" s="29"/>
      <c r="K28" s="23">
        <v>9</v>
      </c>
      <c r="L28" s="30">
        <v>1</v>
      </c>
      <c r="Q28" s="29"/>
      <c r="R28" s="23">
        <v>12</v>
      </c>
      <c r="S28" s="30">
        <v>2</v>
      </c>
    </row>
    <row r="29" spans="1:19">
      <c r="A29" s="23">
        <v>30</v>
      </c>
      <c r="B29" s="24">
        <v>2213.4</v>
      </c>
      <c r="E29" s="25" t="s">
        <v>1719</v>
      </c>
      <c r="F29" s="26"/>
      <c r="G29" s="27">
        <v>4</v>
      </c>
      <c r="J29" s="29"/>
      <c r="K29" s="23">
        <v>11</v>
      </c>
      <c r="L29" s="30">
        <v>1</v>
      </c>
      <c r="Q29" s="25" t="s">
        <v>1105</v>
      </c>
      <c r="R29" s="26"/>
      <c r="S29" s="27">
        <v>30</v>
      </c>
    </row>
    <row r="30" spans="1:19">
      <c r="A30" s="31" t="s">
        <v>123</v>
      </c>
      <c r="B30" s="32">
        <v>51953.542499999996</v>
      </c>
      <c r="E30" s="19">
        <v>2021</v>
      </c>
      <c r="F30" s="19">
        <v>1</v>
      </c>
      <c r="G30" s="20">
        <v>3</v>
      </c>
      <c r="J30" s="25" t="s">
        <v>247</v>
      </c>
      <c r="K30" s="26"/>
      <c r="L30" s="27">
        <v>6</v>
      </c>
      <c r="Q30" s="19">
        <v>2019</v>
      </c>
      <c r="R30" s="19">
        <v>1</v>
      </c>
      <c r="S30" s="20">
        <v>3</v>
      </c>
    </row>
    <row r="31" spans="1:19">
      <c r="E31" s="29"/>
      <c r="F31" s="23">
        <v>5</v>
      </c>
      <c r="G31" s="30">
        <v>3</v>
      </c>
      <c r="J31" s="19">
        <v>2014</v>
      </c>
      <c r="K31" s="19">
        <v>2</v>
      </c>
      <c r="L31" s="20">
        <v>1</v>
      </c>
      <c r="Q31" s="29"/>
      <c r="R31" s="23">
        <v>2</v>
      </c>
      <c r="S31" s="30">
        <v>2</v>
      </c>
    </row>
    <row r="32" spans="1:19">
      <c r="E32" s="29"/>
      <c r="F32" s="23">
        <v>6</v>
      </c>
      <c r="G32" s="30">
        <v>1</v>
      </c>
      <c r="J32" s="29"/>
      <c r="K32" s="23">
        <v>3</v>
      </c>
      <c r="L32" s="30">
        <v>1</v>
      </c>
      <c r="Q32" s="29"/>
      <c r="R32" s="23">
        <v>3</v>
      </c>
      <c r="S32" s="30">
        <v>3</v>
      </c>
    </row>
    <row r="33" spans="5:19">
      <c r="E33" s="29"/>
      <c r="F33" s="23">
        <v>8</v>
      </c>
      <c r="G33" s="30">
        <v>1</v>
      </c>
      <c r="J33" s="29"/>
      <c r="K33" s="23">
        <v>4</v>
      </c>
      <c r="L33" s="30">
        <v>3</v>
      </c>
      <c r="Q33" s="29"/>
      <c r="R33" s="23">
        <v>4</v>
      </c>
      <c r="S33" s="30">
        <v>2</v>
      </c>
    </row>
    <row r="34" spans="5:19">
      <c r="E34" s="29"/>
      <c r="F34" s="23">
        <v>10</v>
      </c>
      <c r="G34" s="30">
        <v>3</v>
      </c>
      <c r="J34" s="29"/>
      <c r="K34" s="23">
        <v>5</v>
      </c>
      <c r="L34" s="30">
        <v>2</v>
      </c>
      <c r="Q34" s="29"/>
      <c r="R34" s="23">
        <v>5</v>
      </c>
      <c r="S34" s="30">
        <v>2</v>
      </c>
    </row>
    <row r="35" spans="5:19">
      <c r="E35" s="29"/>
      <c r="F35" s="23">
        <v>11</v>
      </c>
      <c r="G35" s="30">
        <v>1</v>
      </c>
      <c r="J35" s="29"/>
      <c r="K35" s="23">
        <v>7</v>
      </c>
      <c r="L35" s="30">
        <v>3</v>
      </c>
      <c r="Q35" s="29"/>
      <c r="R35" s="23">
        <v>6</v>
      </c>
      <c r="S35" s="30">
        <v>2</v>
      </c>
    </row>
    <row r="36" spans="5:19">
      <c r="E36" s="29"/>
      <c r="F36" s="23">
        <v>12</v>
      </c>
      <c r="G36" s="30">
        <v>1</v>
      </c>
      <c r="J36" s="29"/>
      <c r="K36" s="23">
        <v>8</v>
      </c>
      <c r="L36" s="30">
        <v>6</v>
      </c>
      <c r="Q36" s="29"/>
      <c r="R36" s="23">
        <v>7</v>
      </c>
      <c r="S36" s="30">
        <v>8</v>
      </c>
    </row>
    <row r="37" spans="5:19">
      <c r="E37" s="25" t="s">
        <v>1778</v>
      </c>
      <c r="F37" s="26"/>
      <c r="G37" s="27">
        <v>13</v>
      </c>
      <c r="J37" s="29"/>
      <c r="K37" s="23">
        <v>9</v>
      </c>
      <c r="L37" s="30">
        <v>4</v>
      </c>
      <c r="Q37" s="29"/>
      <c r="R37" s="23">
        <v>8</v>
      </c>
      <c r="S37" s="30">
        <v>3</v>
      </c>
    </row>
    <row r="38" spans="5:19">
      <c r="E38" s="19">
        <v>2022</v>
      </c>
      <c r="F38" s="19">
        <v>3</v>
      </c>
      <c r="G38" s="20">
        <v>2</v>
      </c>
      <c r="J38" s="29"/>
      <c r="K38" s="23">
        <v>10</v>
      </c>
      <c r="L38" s="30">
        <v>2</v>
      </c>
      <c r="Q38" s="29"/>
      <c r="R38" s="23">
        <v>10</v>
      </c>
      <c r="S38" s="30">
        <v>4</v>
      </c>
    </row>
    <row r="39" spans="5:19">
      <c r="E39" s="29"/>
      <c r="F39" s="23">
        <v>4</v>
      </c>
      <c r="G39" s="30">
        <v>1</v>
      </c>
      <c r="J39" s="25" t="s">
        <v>361</v>
      </c>
      <c r="K39" s="26"/>
      <c r="L39" s="27">
        <v>22</v>
      </c>
      <c r="Q39" s="25" t="s">
        <v>1336</v>
      </c>
      <c r="R39" s="26"/>
      <c r="S39" s="27">
        <v>29</v>
      </c>
    </row>
    <row r="40" spans="5:19">
      <c r="E40" s="29"/>
      <c r="F40" s="23">
        <v>8</v>
      </c>
      <c r="G40" s="30">
        <v>1</v>
      </c>
      <c r="J40" s="19">
        <v>2015</v>
      </c>
      <c r="K40" s="19">
        <v>1</v>
      </c>
      <c r="L40" s="20">
        <v>2</v>
      </c>
      <c r="Q40" s="19">
        <v>2020</v>
      </c>
      <c r="R40" s="19">
        <v>1</v>
      </c>
      <c r="S40" s="20">
        <v>3</v>
      </c>
    </row>
    <row r="41" spans="5:19">
      <c r="E41" s="29"/>
      <c r="F41" s="23">
        <v>12</v>
      </c>
      <c r="G41" s="30">
        <v>1</v>
      </c>
      <c r="J41" s="29"/>
      <c r="K41" s="23">
        <v>2</v>
      </c>
      <c r="L41" s="30">
        <v>2</v>
      </c>
      <c r="Q41" s="29"/>
      <c r="R41" s="23">
        <v>2</v>
      </c>
      <c r="S41" s="30">
        <v>4</v>
      </c>
    </row>
    <row r="42" spans="5:19">
      <c r="E42" s="25" t="s">
        <v>2145</v>
      </c>
      <c r="F42" s="26"/>
      <c r="G42" s="27">
        <v>5</v>
      </c>
      <c r="J42" s="29"/>
      <c r="K42" s="23">
        <v>3</v>
      </c>
      <c r="L42" s="30">
        <v>2</v>
      </c>
      <c r="Q42" s="29"/>
      <c r="R42" s="23">
        <v>3</v>
      </c>
      <c r="S42" s="30">
        <v>5</v>
      </c>
    </row>
    <row r="43" spans="5:19">
      <c r="E43" s="19">
        <v>2023</v>
      </c>
      <c r="F43" s="19">
        <v>3</v>
      </c>
      <c r="G43" s="20">
        <v>1</v>
      </c>
      <c r="J43" s="29"/>
      <c r="K43" s="23">
        <v>4</v>
      </c>
      <c r="L43" s="30">
        <v>4</v>
      </c>
      <c r="Q43" s="29"/>
      <c r="R43" s="23">
        <v>5</v>
      </c>
      <c r="S43" s="30">
        <v>3</v>
      </c>
    </row>
    <row r="44" spans="5:19">
      <c r="E44" s="29"/>
      <c r="F44" s="23">
        <v>4</v>
      </c>
      <c r="G44" s="30">
        <v>2</v>
      </c>
      <c r="J44" s="29"/>
      <c r="K44" s="23">
        <v>5</v>
      </c>
      <c r="L44" s="30">
        <v>1</v>
      </c>
      <c r="Q44" s="29"/>
      <c r="R44" s="23">
        <v>6</v>
      </c>
      <c r="S44" s="30">
        <v>4</v>
      </c>
    </row>
    <row r="45" spans="5:19">
      <c r="E45" s="29"/>
      <c r="F45" s="23">
        <v>7</v>
      </c>
      <c r="G45" s="30">
        <v>1</v>
      </c>
      <c r="J45" s="29"/>
      <c r="K45" s="23">
        <v>6</v>
      </c>
      <c r="L45" s="30">
        <v>2</v>
      </c>
      <c r="Q45" s="29"/>
      <c r="R45" s="23">
        <v>8</v>
      </c>
      <c r="S45" s="30">
        <v>3</v>
      </c>
    </row>
    <row r="46" spans="5:19">
      <c r="E46" s="29"/>
      <c r="F46" s="23">
        <v>8</v>
      </c>
      <c r="G46" s="30">
        <v>1</v>
      </c>
      <c r="J46" s="29"/>
      <c r="K46" s="23">
        <v>7</v>
      </c>
      <c r="L46" s="30">
        <v>1</v>
      </c>
      <c r="Q46" s="29"/>
      <c r="R46" s="23">
        <v>9</v>
      </c>
      <c r="S46" s="30">
        <v>1</v>
      </c>
    </row>
    <row r="47" spans="5:19">
      <c r="E47" s="25" t="s">
        <v>2287</v>
      </c>
      <c r="F47" s="26"/>
      <c r="G47" s="27">
        <v>5</v>
      </c>
      <c r="J47" s="29"/>
      <c r="K47" s="23">
        <v>8</v>
      </c>
      <c r="L47" s="30">
        <v>2</v>
      </c>
      <c r="Q47" s="29"/>
      <c r="R47" s="23">
        <v>10</v>
      </c>
      <c r="S47" s="30">
        <v>4</v>
      </c>
    </row>
    <row r="48" spans="5:19">
      <c r="E48" s="19">
        <v>2024</v>
      </c>
      <c r="F48" s="19">
        <v>2</v>
      </c>
      <c r="G48" s="20">
        <v>1</v>
      </c>
      <c r="J48" s="29"/>
      <c r="K48" s="23">
        <v>9</v>
      </c>
      <c r="L48" s="30">
        <v>5</v>
      </c>
      <c r="Q48" s="29"/>
      <c r="R48" s="23">
        <v>11</v>
      </c>
      <c r="S48" s="30">
        <v>1</v>
      </c>
    </row>
    <row r="49" spans="5:19">
      <c r="E49" s="29"/>
      <c r="F49" s="23">
        <v>3</v>
      </c>
      <c r="G49" s="30">
        <v>2</v>
      </c>
      <c r="J49" s="29"/>
      <c r="K49" s="23">
        <v>11</v>
      </c>
      <c r="L49" s="30">
        <v>1</v>
      </c>
      <c r="Q49" s="29"/>
      <c r="R49" s="23">
        <v>12</v>
      </c>
      <c r="S49" s="30">
        <v>6</v>
      </c>
    </row>
    <row r="50" spans="5:19">
      <c r="E50" s="29"/>
      <c r="F50" s="23">
        <v>5</v>
      </c>
      <c r="G50" s="30">
        <v>2</v>
      </c>
      <c r="J50" s="25" t="s">
        <v>429</v>
      </c>
      <c r="K50" s="26"/>
      <c r="L50" s="27">
        <v>22</v>
      </c>
      <c r="Q50" s="25" t="s">
        <v>1556</v>
      </c>
      <c r="R50" s="26"/>
      <c r="S50" s="27">
        <v>34</v>
      </c>
    </row>
    <row r="51" spans="5:19">
      <c r="E51" s="29"/>
      <c r="F51" s="23">
        <v>6</v>
      </c>
      <c r="G51" s="30">
        <v>3</v>
      </c>
      <c r="J51" s="19">
        <v>2016</v>
      </c>
      <c r="K51" s="19">
        <v>1</v>
      </c>
      <c r="L51" s="20">
        <v>10</v>
      </c>
      <c r="Q51" s="19">
        <v>2021</v>
      </c>
      <c r="R51" s="19">
        <v>2</v>
      </c>
      <c r="S51" s="20">
        <v>3</v>
      </c>
    </row>
    <row r="52" spans="5:19">
      <c r="E52" s="29"/>
      <c r="F52" s="23">
        <v>8</v>
      </c>
      <c r="G52" s="30">
        <v>3</v>
      </c>
      <c r="J52" s="29"/>
      <c r="K52" s="23">
        <v>2</v>
      </c>
      <c r="L52" s="30">
        <v>6</v>
      </c>
      <c r="Q52" s="29"/>
      <c r="R52" s="23">
        <v>3</v>
      </c>
      <c r="S52" s="30">
        <v>3</v>
      </c>
    </row>
    <row r="53" spans="5:19">
      <c r="E53" s="29"/>
      <c r="F53" s="23">
        <v>10</v>
      </c>
      <c r="G53" s="30">
        <v>3</v>
      </c>
      <c r="J53" s="29"/>
      <c r="K53" s="23">
        <v>3</v>
      </c>
      <c r="L53" s="30">
        <v>4</v>
      </c>
      <c r="Q53" s="29"/>
      <c r="R53" s="23">
        <v>4</v>
      </c>
      <c r="S53" s="30">
        <v>1</v>
      </c>
    </row>
    <row r="54" spans="5:19">
      <c r="E54" s="29"/>
      <c r="F54" s="23">
        <v>12</v>
      </c>
      <c r="G54" s="30">
        <v>3</v>
      </c>
      <c r="J54" s="29"/>
      <c r="K54" s="23">
        <v>4</v>
      </c>
      <c r="L54" s="30">
        <v>1</v>
      </c>
      <c r="Q54" s="29"/>
      <c r="R54" s="23">
        <v>5</v>
      </c>
      <c r="S54" s="30">
        <v>5</v>
      </c>
    </row>
    <row r="55" spans="5:19">
      <c r="E55" s="25" t="s">
        <v>2619</v>
      </c>
      <c r="F55" s="26"/>
      <c r="G55" s="27">
        <v>17</v>
      </c>
      <c r="J55" s="29"/>
      <c r="K55" s="23">
        <v>5</v>
      </c>
      <c r="L55" s="30">
        <v>1</v>
      </c>
      <c r="Q55" s="29"/>
      <c r="R55" s="23">
        <v>6</v>
      </c>
      <c r="S55" s="30">
        <v>3</v>
      </c>
    </row>
    <row r="56" spans="5:19">
      <c r="E56" s="19">
        <v>2025</v>
      </c>
      <c r="F56" s="19">
        <v>1</v>
      </c>
      <c r="G56" s="20">
        <v>3</v>
      </c>
      <c r="J56" s="29"/>
      <c r="K56" s="23">
        <v>6</v>
      </c>
      <c r="L56" s="30">
        <v>1</v>
      </c>
      <c r="Q56" s="29"/>
      <c r="R56" s="23">
        <v>7</v>
      </c>
      <c r="S56" s="30">
        <v>3</v>
      </c>
    </row>
    <row r="57" spans="5:19">
      <c r="E57" s="29"/>
      <c r="F57" s="23">
        <v>2</v>
      </c>
      <c r="G57" s="30">
        <v>3</v>
      </c>
      <c r="J57" s="29"/>
      <c r="K57" s="23">
        <v>7</v>
      </c>
      <c r="L57" s="30">
        <v>8</v>
      </c>
      <c r="Q57" s="29"/>
      <c r="R57" s="23">
        <v>8</v>
      </c>
      <c r="S57" s="30">
        <v>1</v>
      </c>
    </row>
    <row r="58" spans="5:19">
      <c r="E58" s="29"/>
      <c r="F58" s="23">
        <v>3</v>
      </c>
      <c r="G58" s="30">
        <v>1</v>
      </c>
      <c r="J58" s="29"/>
      <c r="K58" s="23">
        <v>8</v>
      </c>
      <c r="L58" s="30">
        <v>7</v>
      </c>
      <c r="Q58" s="29"/>
      <c r="R58" s="23">
        <v>9</v>
      </c>
      <c r="S58" s="30">
        <v>4</v>
      </c>
    </row>
    <row r="59" spans="5:19">
      <c r="E59" s="25" t="s">
        <v>2620</v>
      </c>
      <c r="F59" s="26"/>
      <c r="G59" s="27">
        <v>7</v>
      </c>
      <c r="J59" s="29"/>
      <c r="K59" s="23">
        <v>9</v>
      </c>
      <c r="L59" s="30">
        <v>4</v>
      </c>
      <c r="Q59" s="29"/>
      <c r="R59" s="23">
        <v>10</v>
      </c>
      <c r="S59" s="30">
        <v>2</v>
      </c>
    </row>
    <row r="60" spans="5:19">
      <c r="E60" s="33" t="s">
        <v>123</v>
      </c>
      <c r="F60" s="34"/>
      <c r="G60" s="35">
        <v>69</v>
      </c>
      <c r="J60" s="29"/>
      <c r="K60" s="23">
        <v>10</v>
      </c>
      <c r="L60" s="30">
        <v>4</v>
      </c>
      <c r="Q60" s="29"/>
      <c r="R60" s="23">
        <v>11</v>
      </c>
      <c r="S60" s="30">
        <v>3</v>
      </c>
    </row>
    <row r="61" spans="5:19">
      <c r="J61" s="29"/>
      <c r="K61" s="23">
        <v>12</v>
      </c>
      <c r="L61" s="30">
        <v>2</v>
      </c>
      <c r="Q61" s="29"/>
      <c r="R61" s="23">
        <v>12</v>
      </c>
      <c r="S61" s="30">
        <v>4</v>
      </c>
    </row>
    <row r="62" spans="5:19">
      <c r="J62" s="25" t="s">
        <v>634</v>
      </c>
      <c r="K62" s="26"/>
      <c r="L62" s="27">
        <v>48</v>
      </c>
      <c r="Q62" s="25" t="s">
        <v>1810</v>
      </c>
      <c r="R62" s="26"/>
      <c r="S62" s="27">
        <v>32</v>
      </c>
    </row>
    <row r="63" spans="5:19">
      <c r="J63" s="19">
        <v>2017</v>
      </c>
      <c r="K63" s="19">
        <v>1</v>
      </c>
      <c r="L63" s="20">
        <v>2</v>
      </c>
      <c r="Q63" s="19">
        <v>2022</v>
      </c>
      <c r="R63" s="19">
        <v>1</v>
      </c>
      <c r="S63" s="20">
        <v>3</v>
      </c>
    </row>
    <row r="64" spans="5:19">
      <c r="J64" s="29"/>
      <c r="K64" s="23">
        <v>2</v>
      </c>
      <c r="L64" s="30">
        <v>3</v>
      </c>
      <c r="Q64" s="29"/>
      <c r="R64" s="23">
        <v>2</v>
      </c>
      <c r="S64" s="30">
        <v>2</v>
      </c>
    </row>
    <row r="65" spans="10:19">
      <c r="J65" s="29"/>
      <c r="K65" s="23">
        <v>3</v>
      </c>
      <c r="L65" s="30">
        <v>5</v>
      </c>
      <c r="Q65" s="29"/>
      <c r="R65" s="23">
        <v>3</v>
      </c>
      <c r="S65" s="30">
        <v>2</v>
      </c>
    </row>
    <row r="66" spans="10:19">
      <c r="J66" s="29"/>
      <c r="K66" s="23">
        <v>4</v>
      </c>
      <c r="L66" s="30">
        <v>1</v>
      </c>
      <c r="Q66" s="29"/>
      <c r="R66" s="23">
        <v>4</v>
      </c>
      <c r="S66" s="30">
        <v>5</v>
      </c>
    </row>
    <row r="67" spans="10:19">
      <c r="J67" s="29"/>
      <c r="K67" s="23">
        <v>5</v>
      </c>
      <c r="L67" s="30">
        <v>4</v>
      </c>
      <c r="Q67" s="29"/>
      <c r="R67" s="23">
        <v>5</v>
      </c>
      <c r="S67" s="30">
        <v>2</v>
      </c>
    </row>
    <row r="68" spans="10:19">
      <c r="J68" s="29"/>
      <c r="K68" s="23">
        <v>6</v>
      </c>
      <c r="L68" s="30">
        <v>2</v>
      </c>
      <c r="Q68" s="29"/>
      <c r="R68" s="23">
        <v>7</v>
      </c>
      <c r="S68" s="30">
        <v>1</v>
      </c>
    </row>
    <row r="69" spans="10:19">
      <c r="J69" s="29"/>
      <c r="K69" s="23">
        <v>7</v>
      </c>
      <c r="L69" s="30">
        <v>2</v>
      </c>
      <c r="Q69" s="29"/>
      <c r="R69" s="23">
        <v>8</v>
      </c>
      <c r="S69" s="30">
        <v>5</v>
      </c>
    </row>
    <row r="70" spans="10:19">
      <c r="J70" s="29"/>
      <c r="K70" s="23">
        <v>8</v>
      </c>
      <c r="L70" s="30">
        <v>5</v>
      </c>
      <c r="Q70" s="29"/>
      <c r="R70" s="23">
        <v>9</v>
      </c>
      <c r="S70" s="30">
        <v>3</v>
      </c>
    </row>
    <row r="71" spans="10:19">
      <c r="J71" s="29"/>
      <c r="K71" s="23">
        <v>9</v>
      </c>
      <c r="L71" s="30">
        <v>3</v>
      </c>
      <c r="Q71" s="29"/>
      <c r="R71" s="23">
        <v>10</v>
      </c>
      <c r="S71" s="30">
        <v>2</v>
      </c>
    </row>
    <row r="72" spans="10:19">
      <c r="J72" s="29"/>
      <c r="K72" s="23">
        <v>10</v>
      </c>
      <c r="L72" s="30">
        <v>3</v>
      </c>
      <c r="Q72" s="29"/>
      <c r="R72" s="23">
        <v>12</v>
      </c>
      <c r="S72" s="30">
        <v>4</v>
      </c>
    </row>
    <row r="73" spans="10:19">
      <c r="J73" s="29"/>
      <c r="K73" s="23">
        <v>11</v>
      </c>
      <c r="L73" s="30">
        <v>5</v>
      </c>
      <c r="Q73" s="25" t="s">
        <v>2177</v>
      </c>
      <c r="R73" s="26"/>
      <c r="S73" s="27">
        <v>29</v>
      </c>
    </row>
    <row r="74" spans="10:19">
      <c r="J74" s="25" t="s">
        <v>869</v>
      </c>
      <c r="K74" s="26"/>
      <c r="L74" s="27">
        <v>35</v>
      </c>
      <c r="Q74" s="19">
        <v>2023</v>
      </c>
      <c r="R74" s="19">
        <v>1</v>
      </c>
      <c r="S74" s="20">
        <v>3</v>
      </c>
    </row>
    <row r="75" spans="10:19">
      <c r="J75" s="19">
        <v>2018</v>
      </c>
      <c r="K75" s="19">
        <v>1</v>
      </c>
      <c r="L75" s="20">
        <v>5</v>
      </c>
      <c r="Q75" s="29"/>
      <c r="R75" s="23">
        <v>2</v>
      </c>
      <c r="S75" s="30">
        <v>2</v>
      </c>
    </row>
    <row r="76" spans="10:19">
      <c r="J76" s="29"/>
      <c r="K76" s="23">
        <v>2</v>
      </c>
      <c r="L76" s="30">
        <v>3</v>
      </c>
      <c r="Q76" s="29"/>
      <c r="R76" s="23">
        <v>3</v>
      </c>
      <c r="S76" s="30">
        <v>1</v>
      </c>
    </row>
    <row r="77" spans="10:19">
      <c r="J77" s="29"/>
      <c r="K77" s="23">
        <v>3</v>
      </c>
      <c r="L77" s="30">
        <v>2</v>
      </c>
      <c r="Q77" s="29"/>
      <c r="R77" s="23">
        <v>4</v>
      </c>
      <c r="S77" s="30">
        <v>2</v>
      </c>
    </row>
    <row r="78" spans="10:19">
      <c r="J78" s="29"/>
      <c r="K78" s="23">
        <v>4</v>
      </c>
      <c r="L78" s="30">
        <v>2</v>
      </c>
      <c r="Q78" s="29"/>
      <c r="R78" s="23">
        <v>5</v>
      </c>
      <c r="S78" s="30">
        <v>10</v>
      </c>
    </row>
    <row r="79" spans="10:19">
      <c r="J79" s="29"/>
      <c r="K79" s="23">
        <v>5</v>
      </c>
      <c r="L79" s="30">
        <v>2</v>
      </c>
      <c r="Q79" s="29"/>
      <c r="R79" s="23">
        <v>6</v>
      </c>
      <c r="S79" s="30">
        <v>6</v>
      </c>
    </row>
    <row r="80" spans="10:19">
      <c r="J80" s="29"/>
      <c r="K80" s="23">
        <v>6</v>
      </c>
      <c r="L80" s="30">
        <v>2</v>
      </c>
      <c r="Q80" s="29"/>
      <c r="R80" s="23">
        <v>7</v>
      </c>
      <c r="S80" s="30">
        <v>2</v>
      </c>
    </row>
    <row r="81" spans="10:19">
      <c r="J81" s="29"/>
      <c r="K81" s="23">
        <v>7</v>
      </c>
      <c r="L81" s="30">
        <v>2</v>
      </c>
      <c r="Q81" s="29"/>
      <c r="R81" s="23">
        <v>8</v>
      </c>
      <c r="S81" s="30">
        <v>3</v>
      </c>
    </row>
    <row r="82" spans="10:19">
      <c r="J82" s="29"/>
      <c r="K82" s="23">
        <v>8</v>
      </c>
      <c r="L82" s="30">
        <v>3</v>
      </c>
      <c r="Q82" s="29"/>
      <c r="R82" s="23">
        <v>9</v>
      </c>
      <c r="S82" s="30">
        <v>7</v>
      </c>
    </row>
    <row r="83" spans="10:19">
      <c r="J83" s="29"/>
      <c r="K83" s="23">
        <v>9</v>
      </c>
      <c r="L83" s="30">
        <v>1</v>
      </c>
      <c r="Q83" s="29"/>
      <c r="R83" s="23">
        <v>10</v>
      </c>
      <c r="S83" s="30">
        <v>2</v>
      </c>
    </row>
    <row r="84" spans="10:19">
      <c r="J84" s="29"/>
      <c r="K84" s="23">
        <v>10</v>
      </c>
      <c r="L84" s="30">
        <v>4</v>
      </c>
      <c r="Q84" s="29"/>
      <c r="R84" s="23">
        <v>11</v>
      </c>
      <c r="S84" s="30">
        <v>3</v>
      </c>
    </row>
    <row r="85" spans="10:19">
      <c r="J85" s="29"/>
      <c r="K85" s="23">
        <v>11</v>
      </c>
      <c r="L85" s="30">
        <v>5</v>
      </c>
      <c r="Q85" s="29"/>
      <c r="R85" s="23">
        <v>12</v>
      </c>
      <c r="S85" s="30">
        <v>3</v>
      </c>
    </row>
    <row r="86" spans="10:19">
      <c r="J86" s="29"/>
      <c r="K86" s="23">
        <v>12</v>
      </c>
      <c r="L86" s="30">
        <v>1</v>
      </c>
      <c r="Q86" s="25" t="s">
        <v>2288</v>
      </c>
      <c r="R86" s="26"/>
      <c r="S86" s="27">
        <v>44</v>
      </c>
    </row>
    <row r="87" spans="10:19">
      <c r="J87" s="25" t="s">
        <v>1142</v>
      </c>
      <c r="K87" s="26"/>
      <c r="L87" s="27">
        <v>32</v>
      </c>
      <c r="Q87" s="19">
        <v>2024</v>
      </c>
      <c r="R87" s="19">
        <v>1</v>
      </c>
      <c r="S87" s="20">
        <v>5</v>
      </c>
    </row>
    <row r="88" spans="10:19">
      <c r="J88" s="19">
        <v>2019</v>
      </c>
      <c r="K88" s="19">
        <v>2</v>
      </c>
      <c r="L88" s="20">
        <v>2</v>
      </c>
      <c r="Q88" s="29"/>
      <c r="R88" s="23">
        <v>2</v>
      </c>
      <c r="S88" s="30">
        <v>2</v>
      </c>
    </row>
    <row r="89" spans="10:19">
      <c r="J89" s="29"/>
      <c r="K89" s="23">
        <v>3</v>
      </c>
      <c r="L89" s="30">
        <v>6</v>
      </c>
      <c r="Q89" s="29"/>
      <c r="R89" s="23">
        <v>3</v>
      </c>
      <c r="S89" s="30">
        <v>2</v>
      </c>
    </row>
    <row r="90" spans="10:19">
      <c r="J90" s="29"/>
      <c r="K90" s="23">
        <v>4</v>
      </c>
      <c r="L90" s="30">
        <v>1</v>
      </c>
      <c r="Q90" s="29"/>
      <c r="R90" s="23">
        <v>4</v>
      </c>
      <c r="S90" s="30">
        <v>2</v>
      </c>
    </row>
    <row r="91" spans="10:19">
      <c r="J91" s="29"/>
      <c r="K91" s="23">
        <v>7</v>
      </c>
      <c r="L91" s="30">
        <v>2</v>
      </c>
      <c r="Q91" s="29"/>
      <c r="R91" s="23">
        <v>5</v>
      </c>
      <c r="S91" s="30">
        <v>3</v>
      </c>
    </row>
    <row r="92" spans="10:19">
      <c r="J92" s="29"/>
      <c r="K92" s="23">
        <v>8</v>
      </c>
      <c r="L92" s="30">
        <v>1</v>
      </c>
      <c r="Q92" s="29"/>
      <c r="R92" s="23">
        <v>6</v>
      </c>
      <c r="S92" s="30">
        <v>3</v>
      </c>
    </row>
    <row r="93" spans="10:19">
      <c r="J93" s="29"/>
      <c r="K93" s="23">
        <v>9</v>
      </c>
      <c r="L93" s="30">
        <v>3</v>
      </c>
      <c r="Q93" s="29"/>
      <c r="R93" s="23">
        <v>7</v>
      </c>
      <c r="S93" s="30">
        <v>3</v>
      </c>
    </row>
    <row r="94" spans="10:19">
      <c r="J94" s="29"/>
      <c r="K94" s="23">
        <v>10</v>
      </c>
      <c r="L94" s="30">
        <v>2</v>
      </c>
      <c r="Q94" s="29"/>
      <c r="R94" s="23">
        <v>8</v>
      </c>
      <c r="S94" s="30">
        <v>2</v>
      </c>
    </row>
    <row r="95" spans="10:19">
      <c r="J95" s="29"/>
      <c r="K95" s="23">
        <v>11</v>
      </c>
      <c r="L95" s="30">
        <v>5</v>
      </c>
      <c r="Q95" s="29"/>
      <c r="R95" s="23">
        <v>10</v>
      </c>
      <c r="S95" s="30">
        <v>4</v>
      </c>
    </row>
    <row r="96" spans="10:19">
      <c r="J96" s="29"/>
      <c r="K96" s="23">
        <v>12</v>
      </c>
      <c r="L96" s="30">
        <v>8</v>
      </c>
      <c r="Q96" s="29"/>
      <c r="R96" s="23">
        <v>11</v>
      </c>
      <c r="S96" s="30">
        <v>3</v>
      </c>
    </row>
    <row r="97" spans="10:19">
      <c r="J97" s="25" t="s">
        <v>1351</v>
      </c>
      <c r="K97" s="26"/>
      <c r="L97" s="27">
        <v>30</v>
      </c>
      <c r="Q97" s="25" t="s">
        <v>2621</v>
      </c>
      <c r="R97" s="26"/>
      <c r="S97" s="27">
        <v>29</v>
      </c>
    </row>
    <row r="98" spans="10:19">
      <c r="J98" s="19">
        <v>2020</v>
      </c>
      <c r="K98" s="19">
        <v>1</v>
      </c>
      <c r="L98" s="20">
        <v>4</v>
      </c>
      <c r="Q98" s="19">
        <v>2025</v>
      </c>
      <c r="R98" s="19">
        <v>1</v>
      </c>
      <c r="S98" s="20">
        <v>3</v>
      </c>
    </row>
    <row r="99" spans="10:19">
      <c r="J99" s="29"/>
      <c r="K99" s="23">
        <v>2</v>
      </c>
      <c r="L99" s="30">
        <v>1</v>
      </c>
      <c r="Q99" s="29"/>
      <c r="R99" s="23">
        <v>2</v>
      </c>
      <c r="S99" s="30">
        <v>1</v>
      </c>
    </row>
    <row r="100" spans="10:19">
      <c r="J100" s="29"/>
      <c r="K100" s="23">
        <v>3</v>
      </c>
      <c r="L100" s="30">
        <v>1</v>
      </c>
      <c r="Q100" s="25" t="s">
        <v>2622</v>
      </c>
      <c r="R100" s="26"/>
      <c r="S100" s="27">
        <v>4</v>
      </c>
    </row>
    <row r="101" spans="10:19">
      <c r="J101" s="29"/>
      <c r="K101" s="23">
        <v>4</v>
      </c>
      <c r="L101" s="30">
        <v>2</v>
      </c>
      <c r="Q101" s="33" t="s">
        <v>123</v>
      </c>
      <c r="R101" s="34"/>
      <c r="S101" s="35">
        <v>268</v>
      </c>
    </row>
    <row r="102" spans="10:19">
      <c r="J102" s="29"/>
      <c r="K102" s="23">
        <v>5</v>
      </c>
      <c r="L102" s="30">
        <v>5</v>
      </c>
    </row>
    <row r="103" spans="10:19">
      <c r="J103" s="29"/>
      <c r="K103" s="23">
        <v>6</v>
      </c>
      <c r="L103" s="30">
        <v>1</v>
      </c>
    </row>
    <row r="104" spans="10:19">
      <c r="J104" s="29"/>
      <c r="K104" s="23">
        <v>7</v>
      </c>
      <c r="L104" s="30">
        <v>1</v>
      </c>
    </row>
    <row r="105" spans="10:19">
      <c r="J105" s="29"/>
      <c r="K105" s="23">
        <v>9</v>
      </c>
      <c r="L105" s="30">
        <v>1</v>
      </c>
    </row>
    <row r="106" spans="10:19">
      <c r="J106" s="29"/>
      <c r="K106" s="23">
        <v>10</v>
      </c>
      <c r="L106" s="30">
        <v>5</v>
      </c>
    </row>
    <row r="107" spans="10:19">
      <c r="J107" s="29"/>
      <c r="K107" s="23">
        <v>11</v>
      </c>
      <c r="L107" s="30">
        <v>5</v>
      </c>
    </row>
    <row r="108" spans="10:19">
      <c r="J108" s="29"/>
      <c r="K108" s="23">
        <v>12</v>
      </c>
      <c r="L108" s="30">
        <v>8</v>
      </c>
    </row>
    <row r="109" spans="10:19">
      <c r="J109" s="25" t="s">
        <v>1719</v>
      </c>
      <c r="K109" s="26"/>
      <c r="L109" s="27">
        <v>34</v>
      </c>
    </row>
    <row r="110" spans="10:19">
      <c r="J110" s="19">
        <v>2021</v>
      </c>
      <c r="K110" s="19">
        <v>1</v>
      </c>
      <c r="L110" s="20">
        <v>2</v>
      </c>
    </row>
    <row r="111" spans="10:19">
      <c r="J111" s="29"/>
      <c r="K111" s="23">
        <v>2</v>
      </c>
      <c r="L111" s="30">
        <v>1</v>
      </c>
    </row>
    <row r="112" spans="10:19">
      <c r="J112" s="29"/>
      <c r="K112" s="23">
        <v>3</v>
      </c>
      <c r="L112" s="30">
        <v>3</v>
      </c>
    </row>
    <row r="113" spans="10:12">
      <c r="J113" s="29"/>
      <c r="K113" s="23">
        <v>4</v>
      </c>
      <c r="L113" s="30">
        <v>5</v>
      </c>
    </row>
    <row r="114" spans="10:12">
      <c r="J114" s="29"/>
      <c r="K114" s="23">
        <v>5</v>
      </c>
      <c r="L114" s="30">
        <v>2</v>
      </c>
    </row>
    <row r="115" spans="10:12">
      <c r="J115" s="29"/>
      <c r="K115" s="23">
        <v>6</v>
      </c>
      <c r="L115" s="30">
        <v>1</v>
      </c>
    </row>
    <row r="116" spans="10:12">
      <c r="J116" s="29"/>
      <c r="K116" s="23">
        <v>7</v>
      </c>
      <c r="L116" s="30">
        <v>2</v>
      </c>
    </row>
    <row r="117" spans="10:12">
      <c r="J117" s="29"/>
      <c r="K117" s="23">
        <v>8</v>
      </c>
      <c r="L117" s="30">
        <v>5</v>
      </c>
    </row>
    <row r="118" spans="10:12">
      <c r="J118" s="29"/>
      <c r="K118" s="23">
        <v>9</v>
      </c>
      <c r="L118" s="30">
        <v>3</v>
      </c>
    </row>
    <row r="119" spans="10:12">
      <c r="J119" s="29"/>
      <c r="K119" s="23">
        <v>10</v>
      </c>
      <c r="L119" s="30">
        <v>2</v>
      </c>
    </row>
    <row r="120" spans="10:12">
      <c r="J120" s="29"/>
      <c r="K120" s="23">
        <v>11</v>
      </c>
      <c r="L120" s="30">
        <v>1</v>
      </c>
    </row>
    <row r="121" spans="10:12">
      <c r="J121" s="29"/>
      <c r="K121" s="23">
        <v>12</v>
      </c>
      <c r="L121" s="30">
        <v>4</v>
      </c>
    </row>
    <row r="122" spans="10:12">
      <c r="J122" s="25" t="s">
        <v>1778</v>
      </c>
      <c r="K122" s="26"/>
      <c r="L122" s="27">
        <v>31</v>
      </c>
    </row>
    <row r="123" spans="10:12">
      <c r="J123" s="19">
        <v>2022</v>
      </c>
      <c r="K123" s="19">
        <v>1</v>
      </c>
      <c r="L123" s="20">
        <v>2</v>
      </c>
    </row>
    <row r="124" spans="10:12">
      <c r="J124" s="29"/>
      <c r="K124" s="23">
        <v>2</v>
      </c>
      <c r="L124" s="30">
        <v>2</v>
      </c>
    </row>
    <row r="125" spans="10:12">
      <c r="J125" s="29"/>
      <c r="K125" s="23">
        <v>3</v>
      </c>
      <c r="L125" s="30">
        <v>4</v>
      </c>
    </row>
    <row r="126" spans="10:12">
      <c r="J126" s="29"/>
      <c r="K126" s="23">
        <v>4</v>
      </c>
      <c r="L126" s="30">
        <v>3</v>
      </c>
    </row>
    <row r="127" spans="10:12">
      <c r="J127" s="29"/>
      <c r="K127" s="23">
        <v>5</v>
      </c>
      <c r="L127" s="30">
        <v>3</v>
      </c>
    </row>
    <row r="128" spans="10:12">
      <c r="J128" s="29"/>
      <c r="K128" s="23">
        <v>6</v>
      </c>
      <c r="L128" s="30">
        <v>4</v>
      </c>
    </row>
    <row r="129" spans="10:12">
      <c r="J129" s="29"/>
      <c r="K129" s="23">
        <v>7</v>
      </c>
      <c r="L129" s="30">
        <v>3</v>
      </c>
    </row>
    <row r="130" spans="10:12">
      <c r="J130" s="29"/>
      <c r="K130" s="23">
        <v>8</v>
      </c>
      <c r="L130" s="30">
        <v>2</v>
      </c>
    </row>
    <row r="131" spans="10:12">
      <c r="J131" s="29"/>
      <c r="K131" s="23">
        <v>9</v>
      </c>
      <c r="L131" s="30">
        <v>10</v>
      </c>
    </row>
    <row r="132" spans="10:12">
      <c r="J132" s="29"/>
      <c r="K132" s="23">
        <v>11</v>
      </c>
      <c r="L132" s="30">
        <v>5</v>
      </c>
    </row>
    <row r="133" spans="10:12">
      <c r="J133" s="29"/>
      <c r="K133" s="23">
        <v>12</v>
      </c>
      <c r="L133" s="30">
        <v>3</v>
      </c>
    </row>
    <row r="134" spans="10:12">
      <c r="J134" s="25" t="s">
        <v>2145</v>
      </c>
      <c r="K134" s="26"/>
      <c r="L134" s="27">
        <v>41</v>
      </c>
    </row>
    <row r="135" spans="10:12">
      <c r="J135" s="19">
        <v>2023</v>
      </c>
      <c r="K135" s="19">
        <v>1</v>
      </c>
      <c r="L135" s="20">
        <v>1</v>
      </c>
    </row>
    <row r="136" spans="10:12">
      <c r="J136" s="29"/>
      <c r="K136" s="23">
        <v>2</v>
      </c>
      <c r="L136" s="30">
        <v>2</v>
      </c>
    </row>
    <row r="137" spans="10:12">
      <c r="J137" s="29"/>
      <c r="K137" s="23">
        <v>4</v>
      </c>
      <c r="L137" s="30">
        <v>1</v>
      </c>
    </row>
    <row r="138" spans="10:12">
      <c r="J138" s="29"/>
      <c r="K138" s="23">
        <v>8</v>
      </c>
      <c r="L138" s="30">
        <v>3</v>
      </c>
    </row>
    <row r="139" spans="10:12">
      <c r="J139" s="29"/>
      <c r="K139" s="23">
        <v>9</v>
      </c>
      <c r="L139" s="30">
        <v>2</v>
      </c>
    </row>
    <row r="140" spans="10:12">
      <c r="J140" s="29"/>
      <c r="K140" s="23">
        <v>10</v>
      </c>
      <c r="L140" s="30">
        <v>3</v>
      </c>
    </row>
    <row r="141" spans="10:12">
      <c r="J141" s="29"/>
      <c r="K141" s="23">
        <v>12</v>
      </c>
      <c r="L141" s="30">
        <v>3</v>
      </c>
    </row>
    <row r="142" spans="10:12">
      <c r="J142" s="25" t="s">
        <v>2287</v>
      </c>
      <c r="K142" s="26"/>
      <c r="L142" s="27">
        <v>15</v>
      </c>
    </row>
    <row r="143" spans="10:12">
      <c r="J143" s="19">
        <v>2024</v>
      </c>
      <c r="K143" s="19">
        <v>2</v>
      </c>
      <c r="L143" s="20">
        <v>3</v>
      </c>
    </row>
    <row r="144" spans="10:12">
      <c r="J144" s="29"/>
      <c r="K144" s="23">
        <v>6</v>
      </c>
      <c r="L144" s="30">
        <v>1</v>
      </c>
    </row>
    <row r="145" spans="10:12">
      <c r="J145" s="29"/>
      <c r="K145" s="23">
        <v>8</v>
      </c>
      <c r="L145" s="30">
        <v>1</v>
      </c>
    </row>
    <row r="146" spans="10:12">
      <c r="J146" s="29"/>
      <c r="K146" s="23">
        <v>12</v>
      </c>
      <c r="L146" s="30">
        <v>1</v>
      </c>
    </row>
    <row r="147" spans="10:12">
      <c r="J147" s="25" t="s">
        <v>2619</v>
      </c>
      <c r="K147" s="26"/>
      <c r="L147" s="27">
        <v>6</v>
      </c>
    </row>
    <row r="148" spans="10:12">
      <c r="J148" s="33" t="s">
        <v>123</v>
      </c>
      <c r="K148" s="34"/>
      <c r="L148" s="35">
        <v>346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39BE-CA85-4611-AB1B-4E475E28B243}">
  <dimension ref="A1:AE59"/>
  <sheetViews>
    <sheetView defaultGridColor="0" colorId="40" zoomScale="130" zoomScaleNormal="130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V30" sqref="V30:V37"/>
    </sheetView>
  </sheetViews>
  <sheetFormatPr defaultRowHeight="13.2"/>
  <cols>
    <col min="1" max="1" width="35.33203125" customWidth="1"/>
    <col min="2" max="2" width="0.33203125" customWidth="1"/>
    <col min="3" max="3" width="15.6640625" customWidth="1"/>
    <col min="4" max="4" width="18.44140625" customWidth="1"/>
    <col min="5" max="5" width="52" customWidth="1"/>
    <col min="6" max="7" width="25" customWidth="1"/>
    <col min="8" max="8" width="11.44140625" customWidth="1"/>
    <col min="9" max="9" width="29.109375" customWidth="1"/>
    <col min="10" max="10" width="33.5546875" customWidth="1"/>
    <col min="11" max="11" width="9" customWidth="1"/>
    <col min="12" max="12" width="10.88671875" customWidth="1"/>
    <col min="13" max="13" width="7.5546875" customWidth="1"/>
    <col min="14" max="14" width="5.33203125" customWidth="1"/>
    <col min="15" max="15" width="8.44140625" bestFit="1" customWidth="1"/>
    <col min="16" max="17" width="12" style="51" hidden="1" customWidth="1"/>
    <col min="18" max="18" width="13.109375" style="51" hidden="1" customWidth="1"/>
    <col min="19" max="19" width="15.88671875" style="51" hidden="1" customWidth="1"/>
    <col min="20" max="20" width="15.33203125" style="51" customWidth="1"/>
    <col min="21" max="22" width="14" style="51" customWidth="1"/>
    <col min="23" max="23" width="14.109375" customWidth="1"/>
    <col min="24" max="24" width="12.44140625" customWidth="1"/>
    <col min="25" max="25" width="38" bestFit="1" customWidth="1"/>
    <col min="26" max="26" width="44.88671875" bestFit="1" customWidth="1"/>
    <col min="27" max="27" width="12.5546875" bestFit="1" customWidth="1"/>
    <col min="29" max="29" width="11.33203125" customWidth="1"/>
  </cols>
  <sheetData>
    <row r="1" spans="1:31" ht="31.5" customHeight="1">
      <c r="A1" s="36" t="s">
        <v>3</v>
      </c>
      <c r="B1" s="37" t="s">
        <v>2</v>
      </c>
      <c r="C1" s="37" t="s">
        <v>6</v>
      </c>
      <c r="D1" s="37" t="s">
        <v>1</v>
      </c>
      <c r="E1" s="37" t="s">
        <v>7</v>
      </c>
      <c r="F1" s="37" t="s">
        <v>0</v>
      </c>
      <c r="G1" s="37" t="s">
        <v>79</v>
      </c>
      <c r="H1" s="37" t="s">
        <v>4</v>
      </c>
      <c r="I1" s="37" t="s">
        <v>8</v>
      </c>
      <c r="J1" s="37" t="s">
        <v>9</v>
      </c>
      <c r="K1" s="37" t="s">
        <v>61</v>
      </c>
      <c r="L1" s="37" t="s">
        <v>10</v>
      </c>
      <c r="M1" s="38" t="s">
        <v>83</v>
      </c>
      <c r="N1" s="38" t="s">
        <v>167</v>
      </c>
      <c r="O1" s="38" t="s">
        <v>168</v>
      </c>
      <c r="P1" s="39" t="s">
        <v>1747</v>
      </c>
      <c r="Q1" s="40" t="s">
        <v>1748</v>
      </c>
      <c r="R1" s="40" t="s">
        <v>2027</v>
      </c>
      <c r="S1" s="41" t="s">
        <v>2246</v>
      </c>
      <c r="T1" s="40" t="s">
        <v>2411</v>
      </c>
      <c r="U1" s="40" t="s">
        <v>2573</v>
      </c>
      <c r="V1" s="41" t="s">
        <v>2711</v>
      </c>
      <c r="W1" s="42">
        <f>SUM(K:K)</f>
        <v>71</v>
      </c>
      <c r="X1" s="43">
        <f>SUM(V:V)</f>
        <v>54326.557608333358</v>
      </c>
      <c r="Y1" s="44">
        <f>X1/W1</f>
        <v>765.1627832159628</v>
      </c>
      <c r="AC1" s="18" t="s">
        <v>830</v>
      </c>
    </row>
    <row r="2" spans="1:31">
      <c r="A2" s="45" t="s">
        <v>87</v>
      </c>
      <c r="B2" s="46" t="s">
        <v>88</v>
      </c>
      <c r="C2" s="45" t="s">
        <v>94</v>
      </c>
      <c r="D2" s="36" t="s">
        <v>89</v>
      </c>
      <c r="E2" s="36" t="s">
        <v>216</v>
      </c>
      <c r="F2" s="36" t="s">
        <v>217</v>
      </c>
      <c r="G2" s="36" t="s">
        <v>81</v>
      </c>
      <c r="H2" s="36" t="s">
        <v>241</v>
      </c>
      <c r="I2" s="36" t="s">
        <v>90</v>
      </c>
      <c r="J2" s="36" t="s">
        <v>329</v>
      </c>
      <c r="K2" s="36">
        <v>1</v>
      </c>
      <c r="L2" s="47">
        <v>40715</v>
      </c>
      <c r="M2" s="36">
        <f t="shared" ref="M2:M43" si="0">DAY(L2)</f>
        <v>21</v>
      </c>
      <c r="N2" s="36">
        <f t="shared" ref="N2:N43" si="1">MONTH(L2)</f>
        <v>6</v>
      </c>
      <c r="O2" s="36">
        <f t="shared" ref="O2:O43" si="2">YEAR(L2)</f>
        <v>2011</v>
      </c>
      <c r="P2" s="48">
        <v>1077.5341991959999</v>
      </c>
      <c r="Q2" s="48">
        <v>620</v>
      </c>
      <c r="R2" s="49">
        <v>686.42866000000004</v>
      </c>
      <c r="S2" s="50">
        <f>R2*1.09677</f>
        <v>752.85436142820004</v>
      </c>
      <c r="T2" s="48">
        <f>ROUNDUP(S2*1.05,2)</f>
        <v>790.5</v>
      </c>
      <c r="U2" s="48">
        <f>ROUNDUP(T2*1.05,2)</f>
        <v>830.03</v>
      </c>
      <c r="V2" s="50">
        <f t="shared" ref="V2:V17" si="3">U2*1.075</f>
        <v>892.28224999999998</v>
      </c>
      <c r="W2" s="48">
        <f>6*V2</f>
        <v>5353.6934999999994</v>
      </c>
      <c r="Y2" s="18" t="s">
        <v>2715</v>
      </c>
      <c r="Z2" s="51"/>
      <c r="AA2" s="51"/>
      <c r="AB2" s="51"/>
      <c r="AC2" s="51"/>
      <c r="AE2" t="s">
        <v>87</v>
      </c>
    </row>
    <row r="3" spans="1:31">
      <c r="A3" s="45" t="s">
        <v>262</v>
      </c>
      <c r="B3" s="46">
        <v>18420741</v>
      </c>
      <c r="C3" s="45" t="s">
        <v>459</v>
      </c>
      <c r="D3" s="36" t="s">
        <v>263</v>
      </c>
      <c r="E3" s="36" t="s">
        <v>264</v>
      </c>
      <c r="F3" s="36" t="s">
        <v>265</v>
      </c>
      <c r="G3" s="36" t="s">
        <v>265</v>
      </c>
      <c r="H3" s="51" t="s">
        <v>266</v>
      </c>
      <c r="I3" s="52" t="s">
        <v>2030</v>
      </c>
      <c r="J3" s="36" t="s">
        <v>2752</v>
      </c>
      <c r="K3" s="36">
        <v>4</v>
      </c>
      <c r="L3" s="47">
        <v>41731</v>
      </c>
      <c r="M3" s="36">
        <f t="shared" si="0"/>
        <v>2</v>
      </c>
      <c r="N3" s="36">
        <f t="shared" si="1"/>
        <v>4</v>
      </c>
      <c r="O3" s="36">
        <f t="shared" si="2"/>
        <v>2014</v>
      </c>
      <c r="P3" s="48">
        <v>3334.7601006719997</v>
      </c>
      <c r="Q3" s="48">
        <v>4017.44</v>
      </c>
      <c r="R3" s="49">
        <v>4447.8805739199997</v>
      </c>
      <c r="S3" s="50">
        <v>4268.51</v>
      </c>
      <c r="T3" s="48">
        <v>3841.66</v>
      </c>
      <c r="U3" s="48">
        <f>((T3/6)*K3)*1.05</f>
        <v>2689.1619999999998</v>
      </c>
      <c r="V3" s="50">
        <f t="shared" si="3"/>
        <v>2890.8491499999996</v>
      </c>
      <c r="W3" s="53">
        <f>6*V3</f>
        <v>17345.094899999996</v>
      </c>
      <c r="X3" s="51" t="s">
        <v>165</v>
      </c>
      <c r="Y3" s="54" t="s">
        <v>2712</v>
      </c>
      <c r="Z3" s="51"/>
      <c r="AA3" s="51"/>
      <c r="AB3" s="51"/>
      <c r="AC3" s="51"/>
      <c r="AE3" t="s">
        <v>262</v>
      </c>
    </row>
    <row r="4" spans="1:31">
      <c r="A4" s="45" t="s">
        <v>438</v>
      </c>
      <c r="B4" s="46">
        <v>43618716</v>
      </c>
      <c r="C4" s="55" t="s">
        <v>454</v>
      </c>
      <c r="D4" s="46" t="s">
        <v>439</v>
      </c>
      <c r="E4" s="36" t="s">
        <v>440</v>
      </c>
      <c r="F4" s="36" t="s">
        <v>441</v>
      </c>
      <c r="G4" s="36" t="s">
        <v>81</v>
      </c>
      <c r="H4" s="46" t="s">
        <v>442</v>
      </c>
      <c r="I4" s="52" t="s">
        <v>443</v>
      </c>
      <c r="J4" s="36" t="s">
        <v>444</v>
      </c>
      <c r="K4" s="36">
        <v>1</v>
      </c>
      <c r="L4" s="56">
        <v>42154</v>
      </c>
      <c r="M4" s="36">
        <f t="shared" si="0"/>
        <v>30</v>
      </c>
      <c r="N4" s="36">
        <f t="shared" si="1"/>
        <v>5</v>
      </c>
      <c r="O4" s="36">
        <f t="shared" si="2"/>
        <v>2015</v>
      </c>
      <c r="P4" s="48">
        <v>530.00001599999996</v>
      </c>
      <c r="Q4" s="48">
        <v>560.0000150056602</v>
      </c>
      <c r="R4" s="49">
        <v>620.00009661341164</v>
      </c>
      <c r="S4" s="50">
        <f>R4*1.09677</f>
        <v>679.99750596269155</v>
      </c>
      <c r="T4" s="48">
        <f t="shared" ref="T4:U13" si="4">ROUNDUP(S4*1.05,2)</f>
        <v>714</v>
      </c>
      <c r="U4" s="48">
        <f t="shared" si="4"/>
        <v>749.7</v>
      </c>
      <c r="V4" s="50">
        <f t="shared" si="3"/>
        <v>805.92750000000001</v>
      </c>
      <c r="W4" s="53">
        <f>6*V4</f>
        <v>4835.5650000000005</v>
      </c>
      <c r="Y4" s="18" t="s">
        <v>2715</v>
      </c>
      <c r="Z4" s="51"/>
      <c r="AA4" s="51"/>
      <c r="AB4" s="51"/>
      <c r="AC4" s="51"/>
      <c r="AE4" t="s">
        <v>438</v>
      </c>
    </row>
    <row r="5" spans="1:31">
      <c r="A5" s="45" t="s">
        <v>2783</v>
      </c>
      <c r="B5" s="36" t="s">
        <v>503</v>
      </c>
      <c r="C5" s="45" t="s">
        <v>2784</v>
      </c>
      <c r="D5" s="36" t="s">
        <v>2785</v>
      </c>
      <c r="E5" s="36" t="s">
        <v>2786</v>
      </c>
      <c r="F5" s="36" t="s">
        <v>2188</v>
      </c>
      <c r="G5" s="36" t="s">
        <v>81</v>
      </c>
      <c r="H5" s="36" t="s">
        <v>2449</v>
      </c>
      <c r="I5" s="52" t="s">
        <v>2787</v>
      </c>
      <c r="J5" s="36" t="s">
        <v>2387</v>
      </c>
      <c r="K5" s="36">
        <v>2</v>
      </c>
      <c r="L5" s="47">
        <v>42264</v>
      </c>
      <c r="M5" s="36">
        <f t="shared" si="0"/>
        <v>17</v>
      </c>
      <c r="N5" s="36">
        <f t="shared" si="1"/>
        <v>9</v>
      </c>
      <c r="O5" s="36">
        <f t="shared" si="2"/>
        <v>2015</v>
      </c>
      <c r="P5" s="48">
        <v>1656.2500499999999</v>
      </c>
      <c r="Q5" s="48">
        <v>1064</v>
      </c>
      <c r="R5" s="49">
        <v>1767.0001520000001</v>
      </c>
      <c r="S5" s="50">
        <v>1292</v>
      </c>
      <c r="T5" s="48">
        <f t="shared" si="4"/>
        <v>1356.6</v>
      </c>
      <c r="U5" s="48">
        <f t="shared" si="4"/>
        <v>1424.43</v>
      </c>
      <c r="V5" s="50">
        <f t="shared" si="3"/>
        <v>1531.26225</v>
      </c>
      <c r="W5" s="53">
        <f>3*V5</f>
        <v>4593.7867500000002</v>
      </c>
      <c r="Y5" s="18" t="s">
        <v>2714</v>
      </c>
      <c r="Z5" s="51"/>
      <c r="AA5" s="51"/>
      <c r="AB5" s="51"/>
      <c r="AC5" s="51"/>
      <c r="AE5" t="s">
        <v>502</v>
      </c>
    </row>
    <row r="6" spans="1:31" s="51" customFormat="1" ht="12.75" customHeight="1">
      <c r="A6" s="45" t="s">
        <v>536</v>
      </c>
      <c r="B6" s="46" t="s">
        <v>537</v>
      </c>
      <c r="C6" s="45" t="s">
        <v>543</v>
      </c>
      <c r="D6" s="36" t="s">
        <v>538</v>
      </c>
      <c r="E6" s="36" t="s">
        <v>1076</v>
      </c>
      <c r="F6" s="36" t="s">
        <v>424</v>
      </c>
      <c r="G6" s="36" t="s">
        <v>81</v>
      </c>
      <c r="H6" s="36" t="s">
        <v>1077</v>
      </c>
      <c r="I6" s="52" t="s">
        <v>539</v>
      </c>
      <c r="J6" s="36" t="s">
        <v>540</v>
      </c>
      <c r="K6" s="36">
        <v>1</v>
      </c>
      <c r="L6" s="56">
        <v>42322</v>
      </c>
      <c r="M6" s="36">
        <f t="shared" si="0"/>
        <v>14</v>
      </c>
      <c r="N6" s="36">
        <f t="shared" si="1"/>
        <v>11</v>
      </c>
      <c r="O6" s="36">
        <f t="shared" si="2"/>
        <v>2015</v>
      </c>
      <c r="P6" s="48">
        <v>595.5</v>
      </c>
      <c r="Q6" s="48">
        <v>629.20754503499995</v>
      </c>
      <c r="R6" s="49">
        <v>696.6227290326849</v>
      </c>
      <c r="S6" s="50">
        <f t="shared" ref="S6:S11" si="5">R6*1.09677</f>
        <v>764.03491052117784</v>
      </c>
      <c r="T6" s="48">
        <f t="shared" si="4"/>
        <v>802.24</v>
      </c>
      <c r="U6" s="48">
        <f t="shared" si="4"/>
        <v>842.36</v>
      </c>
      <c r="V6" s="50">
        <f t="shared" si="3"/>
        <v>905.53699999999992</v>
      </c>
      <c r="W6" s="53">
        <f t="shared" ref="W6:W48" si="6">6*V6</f>
        <v>5433.2219999999998</v>
      </c>
      <c r="X6" s="66">
        <f>W6/6</f>
        <v>905.53699999999992</v>
      </c>
      <c r="Y6" s="18" t="s">
        <v>2714</v>
      </c>
      <c r="AB6" s="54" t="s">
        <v>975</v>
      </c>
      <c r="AE6" t="s">
        <v>536</v>
      </c>
    </row>
    <row r="7" spans="1:31" s="51" customFormat="1" ht="12.75" customHeight="1">
      <c r="A7" s="45" t="s">
        <v>2068</v>
      </c>
      <c r="B7" s="46">
        <v>35079126</v>
      </c>
      <c r="C7" s="55" t="s">
        <v>2069</v>
      </c>
      <c r="D7" s="36" t="s">
        <v>2070</v>
      </c>
      <c r="E7" s="36" t="s">
        <v>597</v>
      </c>
      <c r="F7" s="36" t="s">
        <v>177</v>
      </c>
      <c r="G7" s="36" t="s">
        <v>81</v>
      </c>
      <c r="H7" s="46" t="s">
        <v>596</v>
      </c>
      <c r="I7" s="52" t="s">
        <v>2071</v>
      </c>
      <c r="J7" s="36" t="s">
        <v>572</v>
      </c>
      <c r="K7" s="36">
        <v>1</v>
      </c>
      <c r="L7" s="56">
        <v>42393</v>
      </c>
      <c r="M7" s="36">
        <f t="shared" si="0"/>
        <v>24</v>
      </c>
      <c r="N7" s="36">
        <f t="shared" si="1"/>
        <v>1</v>
      </c>
      <c r="O7" s="36">
        <f t="shared" si="2"/>
        <v>2016</v>
      </c>
      <c r="P7" s="48">
        <v>530.00001599999996</v>
      </c>
      <c r="Q7" s="48">
        <v>560.0000150056602</v>
      </c>
      <c r="R7" s="49">
        <v>620.00009661341164</v>
      </c>
      <c r="S7" s="50">
        <f t="shared" si="5"/>
        <v>679.99750596269155</v>
      </c>
      <c r="T7" s="48">
        <f t="shared" si="4"/>
        <v>714</v>
      </c>
      <c r="U7" s="48">
        <f t="shared" si="4"/>
        <v>749.7</v>
      </c>
      <c r="V7" s="50">
        <f t="shared" si="3"/>
        <v>805.92750000000001</v>
      </c>
      <c r="W7" s="53">
        <f t="shared" si="6"/>
        <v>4835.5650000000005</v>
      </c>
      <c r="Y7" s="18" t="s">
        <v>2715</v>
      </c>
      <c r="AC7" s="54" t="s">
        <v>831</v>
      </c>
      <c r="AE7" t="s">
        <v>2068</v>
      </c>
    </row>
    <row r="8" spans="1:31" s="51" customFormat="1">
      <c r="A8" s="45" t="s">
        <v>798</v>
      </c>
      <c r="B8" s="57">
        <v>777892</v>
      </c>
      <c r="C8" s="45" t="s">
        <v>799</v>
      </c>
      <c r="D8" s="37" t="s">
        <v>806</v>
      </c>
      <c r="E8" s="37" t="s">
        <v>800</v>
      </c>
      <c r="F8" s="36" t="s">
        <v>158</v>
      </c>
      <c r="G8" s="36" t="s">
        <v>108</v>
      </c>
      <c r="H8" s="57" t="s">
        <v>805</v>
      </c>
      <c r="I8" s="2" t="s">
        <v>1555</v>
      </c>
      <c r="J8" s="36" t="s">
        <v>801</v>
      </c>
      <c r="K8" s="36">
        <v>1</v>
      </c>
      <c r="L8" s="56">
        <v>42656</v>
      </c>
      <c r="M8" s="36">
        <f t="shared" si="0"/>
        <v>13</v>
      </c>
      <c r="N8" s="36">
        <f t="shared" si="1"/>
        <v>10</v>
      </c>
      <c r="O8" s="36">
        <f t="shared" si="2"/>
        <v>2016</v>
      </c>
      <c r="P8" s="48">
        <v>530.00001599999996</v>
      </c>
      <c r="Q8" s="48">
        <v>560.0000150056602</v>
      </c>
      <c r="R8" s="49">
        <v>620.00009661341164</v>
      </c>
      <c r="S8" s="50">
        <f t="shared" si="5"/>
        <v>679.99750596269155</v>
      </c>
      <c r="T8" s="48">
        <f t="shared" si="4"/>
        <v>714</v>
      </c>
      <c r="U8" s="48">
        <f t="shared" si="4"/>
        <v>749.7</v>
      </c>
      <c r="V8" s="50">
        <f t="shared" si="3"/>
        <v>805.92750000000001</v>
      </c>
      <c r="W8" s="53">
        <f t="shared" si="6"/>
        <v>4835.5650000000005</v>
      </c>
      <c r="Y8" s="18" t="s">
        <v>2714</v>
      </c>
      <c r="Z8"/>
      <c r="AA8"/>
      <c r="AB8"/>
      <c r="AC8"/>
      <c r="AE8" t="s">
        <v>798</v>
      </c>
    </row>
    <row r="9" spans="1:31">
      <c r="A9" s="45" t="s">
        <v>941</v>
      </c>
      <c r="B9" s="37" t="s">
        <v>961</v>
      </c>
      <c r="C9" s="45" t="s">
        <v>962</v>
      </c>
      <c r="D9" s="37" t="s">
        <v>963</v>
      </c>
      <c r="E9" s="37" t="s">
        <v>971</v>
      </c>
      <c r="F9" s="36" t="s">
        <v>964</v>
      </c>
      <c r="G9" s="36" t="s">
        <v>108</v>
      </c>
      <c r="H9" s="37" t="s">
        <v>965</v>
      </c>
      <c r="I9" s="2" t="s">
        <v>972</v>
      </c>
      <c r="J9" s="36" t="s">
        <v>820</v>
      </c>
      <c r="K9" s="36">
        <v>1</v>
      </c>
      <c r="L9" s="56">
        <v>42867</v>
      </c>
      <c r="M9" s="36">
        <f t="shared" si="0"/>
        <v>12</v>
      </c>
      <c r="N9" s="36">
        <f t="shared" si="1"/>
        <v>5</v>
      </c>
      <c r="O9" s="36">
        <f t="shared" si="2"/>
        <v>2017</v>
      </c>
      <c r="P9" s="48">
        <v>530.00001599999996</v>
      </c>
      <c r="Q9" s="48">
        <v>560.0000150056602</v>
      </c>
      <c r="R9" s="49">
        <v>620.00009661341164</v>
      </c>
      <c r="S9" s="50">
        <f t="shared" si="5"/>
        <v>679.99750596269155</v>
      </c>
      <c r="T9" s="48">
        <f t="shared" si="4"/>
        <v>714</v>
      </c>
      <c r="U9" s="48">
        <f t="shared" si="4"/>
        <v>749.7</v>
      </c>
      <c r="V9" s="50">
        <f t="shared" si="3"/>
        <v>805.92750000000001</v>
      </c>
      <c r="W9" s="53">
        <f t="shared" si="6"/>
        <v>4835.5650000000005</v>
      </c>
      <c r="Y9" s="18" t="s">
        <v>2714</v>
      </c>
      <c r="AE9" t="s">
        <v>941</v>
      </c>
    </row>
    <row r="10" spans="1:31">
      <c r="A10" s="45" t="s">
        <v>382</v>
      </c>
      <c r="B10" s="46">
        <v>141308254</v>
      </c>
      <c r="C10" s="45" t="s">
        <v>388</v>
      </c>
      <c r="D10" s="36" t="s">
        <v>383</v>
      </c>
      <c r="E10" s="36" t="s">
        <v>384</v>
      </c>
      <c r="F10" s="36" t="s">
        <v>385</v>
      </c>
      <c r="G10" s="36" t="s">
        <v>108</v>
      </c>
      <c r="H10" s="36" t="s">
        <v>448</v>
      </c>
      <c r="I10" s="52" t="s">
        <v>1554</v>
      </c>
      <c r="J10" s="36" t="s">
        <v>1021</v>
      </c>
      <c r="K10" s="36">
        <v>1</v>
      </c>
      <c r="L10" s="58">
        <v>42972</v>
      </c>
      <c r="M10" s="36">
        <f t="shared" si="0"/>
        <v>25</v>
      </c>
      <c r="N10" s="36">
        <f t="shared" si="1"/>
        <v>8</v>
      </c>
      <c r="O10" s="36">
        <f t="shared" si="2"/>
        <v>2017</v>
      </c>
      <c r="P10" s="48">
        <v>530.00001599999996</v>
      </c>
      <c r="Q10" s="48">
        <v>560.0000150056602</v>
      </c>
      <c r="R10" s="49">
        <v>620.00009661341164</v>
      </c>
      <c r="S10" s="50">
        <f t="shared" si="5"/>
        <v>679.99750596269155</v>
      </c>
      <c r="T10" s="48">
        <f t="shared" si="4"/>
        <v>714</v>
      </c>
      <c r="U10" s="48">
        <f t="shared" si="4"/>
        <v>749.7</v>
      </c>
      <c r="V10" s="50">
        <f t="shared" si="3"/>
        <v>805.92750000000001</v>
      </c>
      <c r="W10" s="53">
        <f t="shared" si="6"/>
        <v>4835.5650000000005</v>
      </c>
      <c r="Y10" s="18" t="s">
        <v>2715</v>
      </c>
      <c r="Z10" s="54"/>
      <c r="AA10" s="54"/>
      <c r="AB10" s="59"/>
      <c r="AC10" s="54"/>
      <c r="AE10" t="s">
        <v>382</v>
      </c>
    </row>
    <row r="11" spans="1:31" ht="12.75" customHeight="1">
      <c r="A11" s="45" t="s">
        <v>1122</v>
      </c>
      <c r="B11" t="s">
        <v>1123</v>
      </c>
      <c r="C11" s="45" t="s">
        <v>1124</v>
      </c>
      <c r="D11" s="37" t="s">
        <v>1125</v>
      </c>
      <c r="E11" s="37" t="s">
        <v>1126</v>
      </c>
      <c r="F11" s="36" t="s">
        <v>579</v>
      </c>
      <c r="G11" s="36" t="s">
        <v>108</v>
      </c>
      <c r="H11" s="37" t="s">
        <v>1127</v>
      </c>
      <c r="I11" s="2" t="s">
        <v>1147</v>
      </c>
      <c r="J11" s="36" t="s">
        <v>1128</v>
      </c>
      <c r="K11" s="36">
        <v>1</v>
      </c>
      <c r="L11" s="56">
        <v>43113</v>
      </c>
      <c r="M11" s="36">
        <f t="shared" si="0"/>
        <v>13</v>
      </c>
      <c r="N11" s="36">
        <f t="shared" si="1"/>
        <v>1</v>
      </c>
      <c r="O11" s="36">
        <f t="shared" si="2"/>
        <v>2018</v>
      </c>
      <c r="P11" s="48">
        <v>530.00001599999996</v>
      </c>
      <c r="Q11" s="48">
        <v>560.0000150056602</v>
      </c>
      <c r="R11" s="49">
        <v>620.00009661341164</v>
      </c>
      <c r="S11" s="50">
        <f t="shared" si="5"/>
        <v>679.99750596269155</v>
      </c>
      <c r="T11" s="48">
        <f t="shared" si="4"/>
        <v>714</v>
      </c>
      <c r="U11" s="48">
        <f t="shared" si="4"/>
        <v>749.7</v>
      </c>
      <c r="V11" s="50">
        <f t="shared" si="3"/>
        <v>805.92750000000001</v>
      </c>
      <c r="W11" s="53">
        <f t="shared" si="6"/>
        <v>4835.5650000000005</v>
      </c>
      <c r="Y11" s="18" t="s">
        <v>2714</v>
      </c>
      <c r="Z11" s="60">
        <v>1937.9927567090401</v>
      </c>
      <c r="AA11" s="60">
        <f>Z11/3</f>
        <v>645.99758556968004</v>
      </c>
      <c r="AB11" s="61">
        <f>AA11/30</f>
        <v>21.533252852322669</v>
      </c>
      <c r="AC11" s="61">
        <f>AB11*4</f>
        <v>86.133011409290674</v>
      </c>
      <c r="AE11" t="s">
        <v>1122</v>
      </c>
    </row>
    <row r="12" spans="1:31">
      <c r="A12" s="45" t="s">
        <v>1260</v>
      </c>
      <c r="B12" s="57">
        <v>205114313</v>
      </c>
      <c r="C12" s="62" t="s">
        <v>2104</v>
      </c>
      <c r="D12" s="18" t="s">
        <v>1261</v>
      </c>
      <c r="E12" s="37" t="s">
        <v>1262</v>
      </c>
      <c r="F12" s="36" t="s">
        <v>1263</v>
      </c>
      <c r="G12" s="36" t="s">
        <v>108</v>
      </c>
      <c r="H12" s="18" t="s">
        <v>1264</v>
      </c>
      <c r="I12" s="2" t="s">
        <v>1269</v>
      </c>
      <c r="J12" s="36" t="s">
        <v>1265</v>
      </c>
      <c r="K12" s="36">
        <v>1</v>
      </c>
      <c r="L12" s="56">
        <v>43344</v>
      </c>
      <c r="M12" s="36">
        <f t="shared" si="0"/>
        <v>1</v>
      </c>
      <c r="N12" s="36">
        <f t="shared" si="1"/>
        <v>9</v>
      </c>
      <c r="O12" s="36">
        <f t="shared" si="2"/>
        <v>2018</v>
      </c>
      <c r="P12" s="48">
        <v>530</v>
      </c>
      <c r="Q12" s="48">
        <v>559.99999809999997</v>
      </c>
      <c r="R12" s="49">
        <v>620.00007789642825</v>
      </c>
      <c r="S12" s="50">
        <f>R12*(1+9.677%)</f>
        <v>679.9974854344656</v>
      </c>
      <c r="T12" s="48">
        <f t="shared" si="4"/>
        <v>714</v>
      </c>
      <c r="U12" s="48">
        <f t="shared" si="4"/>
        <v>749.7</v>
      </c>
      <c r="V12" s="50">
        <f t="shared" si="3"/>
        <v>805.92750000000001</v>
      </c>
      <c r="W12" s="53">
        <f t="shared" si="6"/>
        <v>4835.5650000000005</v>
      </c>
      <c r="Y12" s="54" t="s">
        <v>2712</v>
      </c>
      <c r="Z12" s="60"/>
      <c r="AA12" s="60">
        <f>Z11-AA11</f>
        <v>1291.9951711393601</v>
      </c>
      <c r="AC12" s="61">
        <f>AA11-AC11</f>
        <v>559.86457416038934</v>
      </c>
      <c r="AE12" t="s">
        <v>1260</v>
      </c>
    </row>
    <row r="13" spans="1:31">
      <c r="A13" s="45" t="s">
        <v>1475</v>
      </c>
      <c r="B13" s="37" t="s">
        <v>1476</v>
      </c>
      <c r="C13" s="45" t="s">
        <v>1497</v>
      </c>
      <c r="D13" s="37" t="s">
        <v>1477</v>
      </c>
      <c r="E13" s="37" t="s">
        <v>1478</v>
      </c>
      <c r="F13" s="36" t="s">
        <v>1479</v>
      </c>
      <c r="G13" s="36" t="s">
        <v>108</v>
      </c>
      <c r="H13" s="37" t="s">
        <v>1480</v>
      </c>
      <c r="I13" s="2" t="s">
        <v>1481</v>
      </c>
      <c r="J13" s="36" t="s">
        <v>1482</v>
      </c>
      <c r="K13" s="36">
        <v>1</v>
      </c>
      <c r="L13" s="56">
        <v>43800</v>
      </c>
      <c r="M13" s="36">
        <f t="shared" si="0"/>
        <v>1</v>
      </c>
      <c r="N13" s="36">
        <f t="shared" si="1"/>
        <v>12</v>
      </c>
      <c r="O13" s="36">
        <f t="shared" si="2"/>
        <v>2019</v>
      </c>
      <c r="P13" s="63">
        <v>450</v>
      </c>
      <c r="Q13" s="48">
        <v>475.47169649999995</v>
      </c>
      <c r="R13" s="49">
        <v>526.41516047809944</v>
      </c>
      <c r="S13" s="50">
        <f>R13*(1+9.677%)</f>
        <v>577.35635555756517</v>
      </c>
      <c r="T13" s="48">
        <f t="shared" si="4"/>
        <v>606.23</v>
      </c>
      <c r="U13" s="48">
        <f t="shared" si="4"/>
        <v>636.54999999999995</v>
      </c>
      <c r="V13" s="50">
        <f t="shared" si="3"/>
        <v>684.29124999999988</v>
      </c>
      <c r="W13" s="53">
        <f t="shared" si="6"/>
        <v>4105.7474999999995</v>
      </c>
      <c r="Y13" s="54" t="s">
        <v>2712</v>
      </c>
      <c r="AE13" t="s">
        <v>1475</v>
      </c>
    </row>
    <row r="14" spans="1:31">
      <c r="A14" s="45" t="s">
        <v>1608</v>
      </c>
      <c r="B14" s="57">
        <v>181222590</v>
      </c>
      <c r="C14" s="62">
        <v>15196219811</v>
      </c>
      <c r="D14" s="37" t="s">
        <v>2685</v>
      </c>
      <c r="E14" s="37" t="s">
        <v>1610</v>
      </c>
      <c r="F14" s="36" t="s">
        <v>1611</v>
      </c>
      <c r="G14" s="36" t="s">
        <v>108</v>
      </c>
      <c r="H14" s="64">
        <v>5350000</v>
      </c>
      <c r="I14" s="2" t="s">
        <v>1612</v>
      </c>
      <c r="J14" s="36" t="s">
        <v>2713</v>
      </c>
      <c r="K14" s="36">
        <v>1</v>
      </c>
      <c r="L14" s="56">
        <v>43955</v>
      </c>
      <c r="M14" s="36">
        <f t="shared" si="0"/>
        <v>4</v>
      </c>
      <c r="N14" s="36">
        <f t="shared" si="1"/>
        <v>5</v>
      </c>
      <c r="O14" s="36">
        <f t="shared" si="2"/>
        <v>2020</v>
      </c>
      <c r="P14" s="63">
        <v>960</v>
      </c>
      <c r="Q14" s="48">
        <v>1014.3396191999999</v>
      </c>
      <c r="R14" s="49">
        <v>1123.0190090199455</v>
      </c>
      <c r="S14" s="50">
        <f>R14*(1+9.677%)</f>
        <v>1231.6935585228057</v>
      </c>
      <c r="T14" s="48">
        <f>ROUNDUP(S14*1.05,2)</f>
        <v>1293.28</v>
      </c>
      <c r="U14" s="48">
        <f>ROUNDUP(T14*1.05,2)/2</f>
        <v>678.97500000000002</v>
      </c>
      <c r="V14" s="50">
        <f t="shared" si="3"/>
        <v>729.89812500000005</v>
      </c>
      <c r="W14" s="53">
        <f t="shared" si="6"/>
        <v>4379.3887500000001</v>
      </c>
      <c r="Y14" s="54" t="s">
        <v>2712</v>
      </c>
      <c r="AE14" t="s">
        <v>1608</v>
      </c>
    </row>
    <row r="15" spans="1:31">
      <c r="A15" s="45" t="s">
        <v>1669</v>
      </c>
      <c r="B15" s="57">
        <v>172619014</v>
      </c>
      <c r="C15" s="45" t="s">
        <v>2377</v>
      </c>
      <c r="D15" s="57" t="s">
        <v>1670</v>
      </c>
      <c r="E15" s="37" t="s">
        <v>1671</v>
      </c>
      <c r="F15" t="s">
        <v>1672</v>
      </c>
      <c r="G15" s="36" t="s">
        <v>108</v>
      </c>
      <c r="H15" s="37" t="s">
        <v>1696</v>
      </c>
      <c r="I15" t="s">
        <v>1673</v>
      </c>
      <c r="J15" s="36" t="s">
        <v>2630</v>
      </c>
      <c r="K15" s="36">
        <v>1</v>
      </c>
      <c r="L15" s="56">
        <v>44128</v>
      </c>
      <c r="M15" s="36">
        <f t="shared" si="0"/>
        <v>24</v>
      </c>
      <c r="N15" s="36">
        <f t="shared" si="1"/>
        <v>10</v>
      </c>
      <c r="O15" s="36">
        <f t="shared" si="2"/>
        <v>2020</v>
      </c>
      <c r="P15" s="63">
        <v>1160</v>
      </c>
      <c r="Q15" s="48">
        <v>1160</v>
      </c>
      <c r="R15" s="49">
        <v>1124.2858799999999</v>
      </c>
      <c r="S15" s="50">
        <f>R15*1.09677</f>
        <v>1233.0830246076</v>
      </c>
      <c r="T15" s="48">
        <f>ROUNDUP(S15*1.05,2)</f>
        <v>1294.74</v>
      </c>
      <c r="U15" s="48">
        <f>ROUNDUP(T15*1.05,2)/2</f>
        <v>679.74</v>
      </c>
      <c r="V15" s="50">
        <f t="shared" si="3"/>
        <v>730.72050000000002</v>
      </c>
      <c r="W15" s="53">
        <f t="shared" si="6"/>
        <v>4384.3230000000003</v>
      </c>
      <c r="Y15" s="18" t="s">
        <v>2715</v>
      </c>
      <c r="Z15" s="65" t="s">
        <v>2103</v>
      </c>
      <c r="AE15" t="s">
        <v>1669</v>
      </c>
    </row>
    <row r="16" spans="1:31" s="51" customFormat="1">
      <c r="A16" s="45" t="s">
        <v>1779</v>
      </c>
      <c r="B16" s="36" t="s">
        <v>1780</v>
      </c>
      <c r="C16" s="45" t="s">
        <v>1781</v>
      </c>
      <c r="D16" s="36" t="s">
        <v>1782</v>
      </c>
      <c r="E16" s="36" t="s">
        <v>1783</v>
      </c>
      <c r="F16" s="54" t="s">
        <v>1784</v>
      </c>
      <c r="G16" s="36" t="s">
        <v>108</v>
      </c>
      <c r="H16" s="51" t="s">
        <v>1785</v>
      </c>
      <c r="I16" s="52" t="s">
        <v>1805</v>
      </c>
      <c r="J16" s="36" t="s">
        <v>711</v>
      </c>
      <c r="K16" s="36">
        <v>1</v>
      </c>
      <c r="L16" s="47">
        <v>44204</v>
      </c>
      <c r="M16" s="36">
        <f t="shared" si="0"/>
        <v>8</v>
      </c>
      <c r="N16" s="36">
        <f t="shared" si="1"/>
        <v>1</v>
      </c>
      <c r="O16" s="36">
        <f t="shared" si="2"/>
        <v>2021</v>
      </c>
      <c r="Q16" s="63">
        <v>960</v>
      </c>
      <c r="R16" s="49">
        <v>1062.8572799999999</v>
      </c>
      <c r="S16" s="50">
        <v>582.85</v>
      </c>
      <c r="T16" s="48">
        <f>ROUNDUP(S16*1.05,2)</f>
        <v>612</v>
      </c>
      <c r="U16" s="48">
        <f t="shared" ref="U16:U36" si="7">ROUNDUP(T16*1.05,2)</f>
        <v>642.6</v>
      </c>
      <c r="V16" s="50">
        <f t="shared" si="3"/>
        <v>690.79499999999996</v>
      </c>
      <c r="W16" s="53">
        <f t="shared" si="6"/>
        <v>4144.7699999999995</v>
      </c>
      <c r="Y16" s="54" t="s">
        <v>2712</v>
      </c>
      <c r="Z16" s="66"/>
      <c r="AE16" t="s">
        <v>1779</v>
      </c>
    </row>
    <row r="17" spans="1:31" s="51" customFormat="1">
      <c r="A17" s="45" t="s">
        <v>1794</v>
      </c>
      <c r="B17" s="46">
        <v>44643971</v>
      </c>
      <c r="C17" s="45" t="s">
        <v>1795</v>
      </c>
      <c r="D17" s="36" t="s">
        <v>1796</v>
      </c>
      <c r="E17" s="36" t="s">
        <v>1797</v>
      </c>
      <c r="F17" s="54" t="s">
        <v>1798</v>
      </c>
      <c r="G17" s="36" t="s">
        <v>108</v>
      </c>
      <c r="H17" s="51" t="s">
        <v>1799</v>
      </c>
      <c r="I17" s="52" t="s">
        <v>1806</v>
      </c>
      <c r="J17" s="36" t="s">
        <v>1800</v>
      </c>
      <c r="K17" s="36">
        <v>1</v>
      </c>
      <c r="L17" s="47">
        <v>44206</v>
      </c>
      <c r="M17" s="36">
        <f t="shared" si="0"/>
        <v>10</v>
      </c>
      <c r="N17" s="36">
        <f t="shared" si="1"/>
        <v>1</v>
      </c>
      <c r="O17" s="36">
        <f t="shared" si="2"/>
        <v>2021</v>
      </c>
      <c r="Q17" s="63">
        <v>480</v>
      </c>
      <c r="R17" s="49">
        <v>531.42863999999997</v>
      </c>
      <c r="S17" s="50">
        <f>R17*(1+9.677%)</f>
        <v>582.85498949279997</v>
      </c>
      <c r="T17" s="48">
        <f>ROUNDUP(S17*1.05,2)</f>
        <v>612</v>
      </c>
      <c r="U17" s="48">
        <f t="shared" si="7"/>
        <v>642.6</v>
      </c>
      <c r="V17" s="50">
        <f t="shared" si="3"/>
        <v>690.79499999999996</v>
      </c>
      <c r="W17" s="53">
        <f t="shared" si="6"/>
        <v>4144.7699999999995</v>
      </c>
      <c r="Y17" s="54" t="s">
        <v>2712</v>
      </c>
      <c r="Z17" s="66"/>
      <c r="AE17" t="s">
        <v>1794</v>
      </c>
    </row>
    <row r="18" spans="1:31">
      <c r="A18" s="45" t="s">
        <v>2746</v>
      </c>
      <c r="B18" s="46">
        <v>46697224</v>
      </c>
      <c r="C18" s="36" t="s">
        <v>2747</v>
      </c>
      <c r="D18" s="36" t="s">
        <v>2748</v>
      </c>
      <c r="E18" s="36" t="s">
        <v>2750</v>
      </c>
      <c r="F18" s="54" t="s">
        <v>1891</v>
      </c>
      <c r="G18" s="36" t="s">
        <v>108</v>
      </c>
      <c r="H18" s="54" t="s">
        <v>1892</v>
      </c>
      <c r="I18" s="2" t="s">
        <v>2749</v>
      </c>
      <c r="J18" s="36" t="s">
        <v>2779</v>
      </c>
      <c r="K18" s="36">
        <v>2</v>
      </c>
      <c r="L18" s="56">
        <v>44345</v>
      </c>
      <c r="M18" s="36">
        <f t="shared" si="0"/>
        <v>29</v>
      </c>
      <c r="N18" s="36">
        <f t="shared" si="1"/>
        <v>5</v>
      </c>
      <c r="O18" s="36">
        <f t="shared" si="2"/>
        <v>2021</v>
      </c>
      <c r="Q18" s="63">
        <v>1900</v>
      </c>
      <c r="R18" s="48">
        <v>2103.5717</v>
      </c>
      <c r="S18" s="50">
        <f>R18*1.09677</f>
        <v>2307.1343334090002</v>
      </c>
      <c r="T18" s="48">
        <v>1816.875</v>
      </c>
      <c r="U18" s="48">
        <f t="shared" si="7"/>
        <v>1907.72</v>
      </c>
      <c r="V18" s="50">
        <v>1367.1993333333335</v>
      </c>
      <c r="W18" s="53">
        <f t="shared" si="6"/>
        <v>8203.1959999999999</v>
      </c>
      <c r="Y18" s="18" t="s">
        <v>2715</v>
      </c>
      <c r="Z18" s="51" t="s">
        <v>1661</v>
      </c>
      <c r="AE18" t="s">
        <v>1887</v>
      </c>
    </row>
    <row r="19" spans="1:31">
      <c r="A19" s="45" t="s">
        <v>222</v>
      </c>
      <c r="B19" s="46" t="s">
        <v>243</v>
      </c>
      <c r="C19" s="36" t="s">
        <v>242</v>
      </c>
      <c r="D19" s="36" t="s">
        <v>463</v>
      </c>
      <c r="E19" s="36" t="s">
        <v>246</v>
      </c>
      <c r="F19" s="36" t="s">
        <v>223</v>
      </c>
      <c r="G19" s="36" t="s">
        <v>108</v>
      </c>
      <c r="H19" s="36" t="s">
        <v>224</v>
      </c>
      <c r="I19" s="52" t="s">
        <v>447</v>
      </c>
      <c r="J19" s="36" t="s">
        <v>1008</v>
      </c>
      <c r="K19" s="36">
        <v>1</v>
      </c>
      <c r="L19" s="47">
        <v>44359</v>
      </c>
      <c r="M19" s="36">
        <f t="shared" si="0"/>
        <v>12</v>
      </c>
      <c r="N19" s="36">
        <f t="shared" si="1"/>
        <v>6</v>
      </c>
      <c r="O19" s="36">
        <f t="shared" si="2"/>
        <v>2021</v>
      </c>
      <c r="P19" s="48"/>
      <c r="Q19" s="48">
        <v>450</v>
      </c>
      <c r="R19" s="48">
        <v>499.99999500000001</v>
      </c>
      <c r="S19" s="48">
        <f>R19*1.0968</f>
        <v>548.39999451599999</v>
      </c>
      <c r="T19" s="48">
        <f t="shared" ref="T19:T24" si="8">ROUNDUP(S19*1.05,2)</f>
        <v>575.81999999999994</v>
      </c>
      <c r="U19" s="48">
        <f t="shared" si="7"/>
        <v>604.62</v>
      </c>
      <c r="V19" s="50">
        <f t="shared" ref="V19:V46" si="9">U19*1.075</f>
        <v>649.9665</v>
      </c>
      <c r="W19" s="53">
        <f t="shared" si="6"/>
        <v>3899.799</v>
      </c>
      <c r="Y19" s="18" t="s">
        <v>2714</v>
      </c>
      <c r="Z19" s="51" t="s">
        <v>1661</v>
      </c>
      <c r="AA19" s="51"/>
      <c r="AB19" s="67"/>
      <c r="AC19" s="51"/>
      <c r="AD19" s="51"/>
      <c r="AE19" t="s">
        <v>222</v>
      </c>
    </row>
    <row r="20" spans="1:31">
      <c r="A20" s="45" t="s">
        <v>1930</v>
      </c>
      <c r="B20" s="37" t="s">
        <v>1931</v>
      </c>
      <c r="C20" s="36" t="s">
        <v>1932</v>
      </c>
      <c r="D20" s="36" t="s">
        <v>2378</v>
      </c>
      <c r="E20" s="36" t="s">
        <v>1943</v>
      </c>
      <c r="F20" s="36" t="s">
        <v>1933</v>
      </c>
      <c r="G20" s="36" t="s">
        <v>81</v>
      </c>
      <c r="H20" s="36" t="s">
        <v>871</v>
      </c>
      <c r="I20" s="52" t="s">
        <v>1942</v>
      </c>
      <c r="J20" s="36" t="s">
        <v>1934</v>
      </c>
      <c r="K20" s="36">
        <v>1</v>
      </c>
      <c r="L20" s="56">
        <v>44438</v>
      </c>
      <c r="M20" s="36">
        <f t="shared" si="0"/>
        <v>30</v>
      </c>
      <c r="N20" s="36">
        <f t="shared" si="1"/>
        <v>8</v>
      </c>
      <c r="O20" s="36">
        <f t="shared" si="2"/>
        <v>2021</v>
      </c>
      <c r="Q20" s="63">
        <v>560</v>
      </c>
      <c r="R20" s="48">
        <v>620.00008000000003</v>
      </c>
      <c r="S20" s="48">
        <f>R20*1.09677</f>
        <v>679.99748774160003</v>
      </c>
      <c r="T20" s="48">
        <f t="shared" si="8"/>
        <v>714</v>
      </c>
      <c r="U20" s="48">
        <f t="shared" si="7"/>
        <v>749.7</v>
      </c>
      <c r="V20" s="50">
        <f t="shared" si="9"/>
        <v>805.92750000000001</v>
      </c>
      <c r="W20" s="53">
        <f t="shared" si="6"/>
        <v>4835.5650000000005</v>
      </c>
      <c r="Y20" s="18" t="s">
        <v>2715</v>
      </c>
      <c r="AE20" t="s">
        <v>1930</v>
      </c>
    </row>
    <row r="21" spans="1:31">
      <c r="A21" s="45" t="s">
        <v>1975</v>
      </c>
      <c r="B21" s="46">
        <v>285963818</v>
      </c>
      <c r="C21" s="36" t="s">
        <v>1976</v>
      </c>
      <c r="D21" s="37" t="s">
        <v>1977</v>
      </c>
      <c r="E21" s="36" t="s">
        <v>1996</v>
      </c>
      <c r="F21" s="36" t="s">
        <v>1978</v>
      </c>
      <c r="G21" s="36" t="s">
        <v>1229</v>
      </c>
      <c r="H21" s="36" t="s">
        <v>1995</v>
      </c>
      <c r="I21" s="2" t="s">
        <v>1997</v>
      </c>
      <c r="J21" s="36" t="s">
        <v>1979</v>
      </c>
      <c r="K21" s="36">
        <v>3</v>
      </c>
      <c r="L21" s="56">
        <v>44478</v>
      </c>
      <c r="M21" s="36">
        <f t="shared" si="0"/>
        <v>9</v>
      </c>
      <c r="N21" s="36">
        <f t="shared" si="1"/>
        <v>10</v>
      </c>
      <c r="O21" s="36">
        <f t="shared" si="2"/>
        <v>2021</v>
      </c>
      <c r="Q21" s="63">
        <v>1680</v>
      </c>
      <c r="R21" s="48">
        <v>1860</v>
      </c>
      <c r="S21" s="48">
        <f>R21*(1+9.677%)</f>
        <v>2039.9922000000001</v>
      </c>
      <c r="T21" s="48">
        <f t="shared" si="8"/>
        <v>2142</v>
      </c>
      <c r="U21" s="48">
        <f t="shared" si="7"/>
        <v>2249.1</v>
      </c>
      <c r="V21" s="50">
        <f t="shared" si="9"/>
        <v>2417.7824999999998</v>
      </c>
      <c r="W21" s="53">
        <f t="shared" si="6"/>
        <v>14506.695</v>
      </c>
      <c r="Y21" s="54" t="s">
        <v>2712</v>
      </c>
      <c r="AE21" t="s">
        <v>1975</v>
      </c>
    </row>
    <row r="22" spans="1:31">
      <c r="A22" s="45" t="s">
        <v>2694</v>
      </c>
      <c r="B22" s="46">
        <v>338482428</v>
      </c>
      <c r="C22" s="36" t="s">
        <v>2014</v>
      </c>
      <c r="D22" s="37" t="s">
        <v>2015</v>
      </c>
      <c r="E22" s="36" t="s">
        <v>2016</v>
      </c>
      <c r="F22" s="36" t="s">
        <v>2017</v>
      </c>
      <c r="G22" s="36" t="s">
        <v>108</v>
      </c>
      <c r="H22" s="36" t="s">
        <v>2025</v>
      </c>
      <c r="I22" s="2" t="s">
        <v>2026</v>
      </c>
      <c r="J22" s="36" t="s">
        <v>2018</v>
      </c>
      <c r="K22" s="36">
        <v>1</v>
      </c>
      <c r="L22" s="56">
        <v>44538</v>
      </c>
      <c r="M22" s="36">
        <f t="shared" si="0"/>
        <v>8</v>
      </c>
      <c r="N22" s="36">
        <f t="shared" si="1"/>
        <v>12</v>
      </c>
      <c r="O22" s="36">
        <f t="shared" si="2"/>
        <v>2021</v>
      </c>
      <c r="Q22" s="63">
        <v>560</v>
      </c>
      <c r="R22" s="48">
        <v>620</v>
      </c>
      <c r="S22" s="48">
        <f>R22*(1+9.677%)</f>
        <v>679.99739999999997</v>
      </c>
      <c r="T22" s="48">
        <f t="shared" si="8"/>
        <v>714</v>
      </c>
      <c r="U22" s="48">
        <f t="shared" si="7"/>
        <v>749.7</v>
      </c>
      <c r="V22" s="50">
        <f t="shared" si="9"/>
        <v>805.92750000000001</v>
      </c>
      <c r="W22" s="53">
        <f t="shared" si="6"/>
        <v>4835.5650000000005</v>
      </c>
      <c r="Y22" s="54" t="s">
        <v>2712</v>
      </c>
      <c r="AE22" t="s">
        <v>2694</v>
      </c>
    </row>
    <row r="23" spans="1:31">
      <c r="A23" s="45" t="s">
        <v>2512</v>
      </c>
      <c r="B23" s="57">
        <v>69832250</v>
      </c>
      <c r="C23" s="46" t="s">
        <v>2513</v>
      </c>
      <c r="D23" s="36" t="s">
        <v>2514</v>
      </c>
      <c r="E23" s="36" t="s">
        <v>2518</v>
      </c>
      <c r="F23" s="36" t="s">
        <v>2236</v>
      </c>
      <c r="G23" s="36" t="s">
        <v>2515</v>
      </c>
      <c r="H23" s="46" t="s">
        <v>2517</v>
      </c>
      <c r="I23" s="52" t="s">
        <v>2516</v>
      </c>
      <c r="J23" s="36" t="s">
        <v>2105</v>
      </c>
      <c r="K23" s="36">
        <v>2</v>
      </c>
      <c r="L23" s="56">
        <v>44645</v>
      </c>
      <c r="M23" s="36">
        <f t="shared" si="0"/>
        <v>25</v>
      </c>
      <c r="N23" s="36">
        <f t="shared" si="1"/>
        <v>3</v>
      </c>
      <c r="O23" s="36">
        <f t="shared" si="2"/>
        <v>2022</v>
      </c>
      <c r="R23" s="48">
        <v>1240</v>
      </c>
      <c r="S23" s="48">
        <f>R23*1.09677</f>
        <v>1359.9947999999999</v>
      </c>
      <c r="T23" s="48">
        <f t="shared" si="8"/>
        <v>1428</v>
      </c>
      <c r="U23" s="48">
        <f t="shared" si="7"/>
        <v>1499.4</v>
      </c>
      <c r="V23" s="50">
        <f t="shared" si="9"/>
        <v>1611.855</v>
      </c>
      <c r="W23" s="53">
        <f t="shared" si="6"/>
        <v>9671.130000000001</v>
      </c>
      <c r="Y23" s="18" t="s">
        <v>2715</v>
      </c>
      <c r="AE23" t="s">
        <v>2512</v>
      </c>
    </row>
    <row r="24" spans="1:31">
      <c r="A24" s="45" t="s">
        <v>2186</v>
      </c>
      <c r="C24" s="69" t="s">
        <v>2191</v>
      </c>
      <c r="D24" s="37" t="s">
        <v>2198</v>
      </c>
      <c r="E24" s="37" t="s">
        <v>2187</v>
      </c>
      <c r="F24" s="37" t="s">
        <v>2188</v>
      </c>
      <c r="G24" s="37" t="s">
        <v>108</v>
      </c>
      <c r="H24" s="37" t="s">
        <v>2189</v>
      </c>
      <c r="I24" s="2" t="s">
        <v>2190</v>
      </c>
      <c r="J24" s="36" t="s">
        <v>1000</v>
      </c>
      <c r="K24" s="36">
        <v>1</v>
      </c>
      <c r="L24" s="56">
        <v>44791</v>
      </c>
      <c r="M24" s="36">
        <f t="shared" si="0"/>
        <v>18</v>
      </c>
      <c r="N24" s="36">
        <f t="shared" si="1"/>
        <v>8</v>
      </c>
      <c r="O24" s="36">
        <f t="shared" si="2"/>
        <v>2022</v>
      </c>
      <c r="P24"/>
      <c r="Q24"/>
      <c r="R24" s="66">
        <v>620</v>
      </c>
      <c r="S24" s="66">
        <f>R24*1.09677</f>
        <v>679.99739999999997</v>
      </c>
      <c r="T24" s="66">
        <f t="shared" si="8"/>
        <v>714</v>
      </c>
      <c r="U24" s="48">
        <f t="shared" si="7"/>
        <v>749.7</v>
      </c>
      <c r="V24" s="50">
        <f t="shared" si="9"/>
        <v>805.92750000000001</v>
      </c>
      <c r="W24" s="53">
        <f t="shared" si="6"/>
        <v>4835.5650000000005</v>
      </c>
      <c r="Y24" t="s">
        <v>2714</v>
      </c>
      <c r="AE24" t="s">
        <v>2186</v>
      </c>
    </row>
    <row r="25" spans="1:31">
      <c r="A25" s="45" t="s">
        <v>1669</v>
      </c>
      <c r="B25" s="57">
        <v>172619014</v>
      </c>
      <c r="C25" s="57" t="s">
        <v>2245</v>
      </c>
      <c r="D25" s="57" t="s">
        <v>1670</v>
      </c>
      <c r="E25" s="37" t="s">
        <v>1671</v>
      </c>
      <c r="F25" s="37" t="s">
        <v>1672</v>
      </c>
      <c r="G25" s="36" t="s">
        <v>108</v>
      </c>
      <c r="H25" s="37" t="s">
        <v>1696</v>
      </c>
      <c r="I25" t="s">
        <v>1673</v>
      </c>
      <c r="J25" s="36" t="s">
        <v>2520</v>
      </c>
      <c r="K25" s="36">
        <v>1</v>
      </c>
      <c r="L25" s="56">
        <v>44914</v>
      </c>
      <c r="M25" s="36">
        <f t="shared" si="0"/>
        <v>19</v>
      </c>
      <c r="N25" s="36">
        <f t="shared" si="1"/>
        <v>12</v>
      </c>
      <c r="O25" s="36">
        <f t="shared" si="2"/>
        <v>2022</v>
      </c>
      <c r="R25" s="70">
        <v>1200</v>
      </c>
      <c r="S25" s="71">
        <v>1200</v>
      </c>
      <c r="T25" s="70">
        <v>630</v>
      </c>
      <c r="U25" s="48">
        <f t="shared" si="7"/>
        <v>661.5</v>
      </c>
      <c r="V25" s="50">
        <f t="shared" si="9"/>
        <v>711.11249999999995</v>
      </c>
      <c r="W25" s="53">
        <f t="shared" si="6"/>
        <v>4266.6749999999993</v>
      </c>
      <c r="Y25" t="s">
        <v>2714</v>
      </c>
      <c r="AE25" t="s">
        <v>1669</v>
      </c>
    </row>
    <row r="26" spans="1:31">
      <c r="A26" s="45" t="s">
        <v>2289</v>
      </c>
      <c r="B26" s="57">
        <v>56614758</v>
      </c>
      <c r="C26" s="37" t="s">
        <v>2290</v>
      </c>
      <c r="D26" s="37" t="s">
        <v>2291</v>
      </c>
      <c r="E26" s="72" t="s">
        <v>2292</v>
      </c>
      <c r="F26" s="37" t="s">
        <v>2219</v>
      </c>
      <c r="G26" s="37" t="s">
        <v>108</v>
      </c>
      <c r="H26" s="64" t="s">
        <v>2302</v>
      </c>
      <c r="I26" s="2" t="s">
        <v>2293</v>
      </c>
      <c r="J26" s="36" t="s">
        <v>1793</v>
      </c>
      <c r="K26" s="36">
        <v>1</v>
      </c>
      <c r="L26" s="56">
        <v>45004</v>
      </c>
      <c r="M26" s="36">
        <f t="shared" si="0"/>
        <v>19</v>
      </c>
      <c r="N26" s="36">
        <f t="shared" si="1"/>
        <v>3</v>
      </c>
      <c r="O26" s="36">
        <f t="shared" si="2"/>
        <v>2023</v>
      </c>
      <c r="R26" s="48">
        <v>680</v>
      </c>
      <c r="S26" s="59">
        <v>680</v>
      </c>
      <c r="T26" s="59">
        <f>ROUNDUP(S26*1.05,2)</f>
        <v>714</v>
      </c>
      <c r="U26" s="48">
        <f t="shared" si="7"/>
        <v>749.7</v>
      </c>
      <c r="V26" s="50">
        <f t="shared" si="9"/>
        <v>805.92750000000001</v>
      </c>
      <c r="W26" s="53">
        <f t="shared" si="6"/>
        <v>4835.5650000000005</v>
      </c>
      <c r="Y26" t="s">
        <v>2714</v>
      </c>
      <c r="AE26" t="s">
        <v>2289</v>
      </c>
    </row>
    <row r="27" spans="1:31">
      <c r="A27" s="45" t="s">
        <v>2420</v>
      </c>
      <c r="B27" s="57" t="s">
        <v>2421</v>
      </c>
      <c r="C27" s="37" t="s">
        <v>2422</v>
      </c>
      <c r="D27" s="37" t="s">
        <v>2423</v>
      </c>
      <c r="E27" s="37" t="s">
        <v>2424</v>
      </c>
      <c r="F27" s="37" t="s">
        <v>2425</v>
      </c>
      <c r="G27" s="37" t="s">
        <v>108</v>
      </c>
      <c r="H27" s="57" t="s">
        <v>2453</v>
      </c>
      <c r="I27" s="2" t="s">
        <v>2452</v>
      </c>
      <c r="J27" s="36" t="s">
        <v>2426</v>
      </c>
      <c r="K27" s="36">
        <v>1</v>
      </c>
      <c r="L27" s="75">
        <v>45327</v>
      </c>
      <c r="M27" s="36">
        <f t="shared" si="0"/>
        <v>5</v>
      </c>
      <c r="N27" s="36">
        <f t="shared" si="1"/>
        <v>2</v>
      </c>
      <c r="O27" s="36">
        <f t="shared" si="2"/>
        <v>2024</v>
      </c>
      <c r="T27" s="59">
        <v>680</v>
      </c>
      <c r="U27" s="48">
        <f t="shared" si="7"/>
        <v>714</v>
      </c>
      <c r="V27" s="50">
        <f t="shared" si="9"/>
        <v>767.55</v>
      </c>
      <c r="W27" s="53">
        <f t="shared" si="6"/>
        <v>4605.2999999999993</v>
      </c>
      <c r="Y27" s="54" t="s">
        <v>2712</v>
      </c>
      <c r="AE27" t="s">
        <v>2420</v>
      </c>
    </row>
    <row r="28" spans="1:31">
      <c r="A28" s="45" t="s">
        <v>2459</v>
      </c>
      <c r="B28" s="57">
        <v>19994767</v>
      </c>
      <c r="C28" s="37" t="s">
        <v>2460</v>
      </c>
      <c r="D28" s="8" t="s">
        <v>2461</v>
      </c>
      <c r="E28" s="37" t="s">
        <v>2462</v>
      </c>
      <c r="F28" s="37" t="s">
        <v>1611</v>
      </c>
      <c r="G28" s="37" t="s">
        <v>108</v>
      </c>
      <c r="H28" s="37" t="s">
        <v>2463</v>
      </c>
      <c r="I28" s="2" t="s">
        <v>2464</v>
      </c>
      <c r="J28" s="36" t="s">
        <v>2465</v>
      </c>
      <c r="K28" s="37">
        <v>1</v>
      </c>
      <c r="L28" s="75">
        <v>45367</v>
      </c>
      <c r="M28" s="36">
        <f t="shared" si="0"/>
        <v>16</v>
      </c>
      <c r="N28" s="36">
        <f t="shared" si="1"/>
        <v>3</v>
      </c>
      <c r="O28" s="36">
        <f t="shared" si="2"/>
        <v>2024</v>
      </c>
      <c r="S28" s="59">
        <v>680</v>
      </c>
      <c r="T28" s="66">
        <v>680</v>
      </c>
      <c r="U28" s="48">
        <f t="shared" si="7"/>
        <v>714</v>
      </c>
      <c r="V28" s="50">
        <f t="shared" si="9"/>
        <v>767.55</v>
      </c>
      <c r="W28" s="53">
        <f t="shared" si="6"/>
        <v>4605.2999999999993</v>
      </c>
      <c r="Y28" t="s">
        <v>2714</v>
      </c>
      <c r="AE28" t="s">
        <v>2459</v>
      </c>
    </row>
    <row r="29" spans="1:31">
      <c r="A29" s="45" t="s">
        <v>2466</v>
      </c>
      <c r="B29" s="37" t="s">
        <v>2467</v>
      </c>
      <c r="C29" s="57">
        <v>78327024787</v>
      </c>
      <c r="D29" s="8" t="s">
        <v>2468</v>
      </c>
      <c r="E29" s="37" t="s">
        <v>2469</v>
      </c>
      <c r="F29" s="37" t="s">
        <v>1035</v>
      </c>
      <c r="G29" s="37" t="s">
        <v>108</v>
      </c>
      <c r="H29" s="37" t="s">
        <v>2470</v>
      </c>
      <c r="I29" s="2" t="s">
        <v>2471</v>
      </c>
      <c r="J29" s="36" t="s">
        <v>1793</v>
      </c>
      <c r="K29" s="36">
        <v>1</v>
      </c>
      <c r="L29" s="75">
        <v>45381</v>
      </c>
      <c r="M29" s="36">
        <f t="shared" si="0"/>
        <v>30</v>
      </c>
      <c r="N29" s="36">
        <f t="shared" si="1"/>
        <v>3</v>
      </c>
      <c r="O29" s="36">
        <f t="shared" si="2"/>
        <v>2024</v>
      </c>
      <c r="S29" s="59">
        <v>680</v>
      </c>
      <c r="T29" s="66">
        <v>680</v>
      </c>
      <c r="U29" s="48">
        <f t="shared" si="7"/>
        <v>714</v>
      </c>
      <c r="V29" s="50">
        <f t="shared" si="9"/>
        <v>767.55</v>
      </c>
      <c r="W29" s="53">
        <f t="shared" si="6"/>
        <v>4605.2999999999993</v>
      </c>
      <c r="Y29" s="18" t="s">
        <v>2715</v>
      </c>
      <c r="AE29" t="s">
        <v>2466</v>
      </c>
    </row>
    <row r="30" spans="1:31">
      <c r="A30" s="45" t="s">
        <v>2479</v>
      </c>
      <c r="B30" s="57">
        <v>308477236</v>
      </c>
      <c r="C30" s="57">
        <v>31978563841</v>
      </c>
      <c r="D30" s="8" t="s">
        <v>2480</v>
      </c>
      <c r="E30" s="72" t="s">
        <v>2481</v>
      </c>
      <c r="F30" s="37" t="s">
        <v>2482</v>
      </c>
      <c r="G30" s="37" t="s">
        <v>108</v>
      </c>
      <c r="H30" s="37" t="s">
        <v>2483</v>
      </c>
      <c r="I30" s="2" t="s">
        <v>2484</v>
      </c>
      <c r="J30" s="36" t="s">
        <v>2485</v>
      </c>
      <c r="K30" s="36">
        <v>1</v>
      </c>
      <c r="L30" s="75">
        <v>45434</v>
      </c>
      <c r="M30" s="36">
        <f t="shared" si="0"/>
        <v>22</v>
      </c>
      <c r="N30" s="36">
        <f t="shared" si="1"/>
        <v>5</v>
      </c>
      <c r="O30" s="36">
        <f t="shared" si="2"/>
        <v>2024</v>
      </c>
      <c r="S30" s="59">
        <v>680</v>
      </c>
      <c r="T30" s="66">
        <v>680</v>
      </c>
      <c r="U30" s="48">
        <f t="shared" si="7"/>
        <v>714</v>
      </c>
      <c r="V30" s="50">
        <f t="shared" si="9"/>
        <v>767.55</v>
      </c>
      <c r="W30" s="53">
        <f t="shared" si="6"/>
        <v>4605.2999999999993</v>
      </c>
      <c r="Y30" s="18" t="s">
        <v>2715</v>
      </c>
      <c r="AE30" t="s">
        <v>2479</v>
      </c>
    </row>
    <row r="31" spans="1:31">
      <c r="A31" s="45" t="s">
        <v>2494</v>
      </c>
      <c r="B31" s="57">
        <v>34539099</v>
      </c>
      <c r="C31" s="57" t="s">
        <v>2495</v>
      </c>
      <c r="D31" s="8" t="s">
        <v>2496</v>
      </c>
      <c r="E31" s="37" t="s">
        <v>2497</v>
      </c>
      <c r="F31" s="37" t="s">
        <v>2498</v>
      </c>
      <c r="G31" s="37" t="s">
        <v>108</v>
      </c>
      <c r="H31" s="37" t="s">
        <v>2499</v>
      </c>
      <c r="I31" s="2" t="s">
        <v>2511</v>
      </c>
      <c r="J31" s="36" t="s">
        <v>2500</v>
      </c>
      <c r="K31" s="36">
        <v>2</v>
      </c>
      <c r="L31" s="75">
        <v>45459</v>
      </c>
      <c r="M31" s="36">
        <f t="shared" si="0"/>
        <v>16</v>
      </c>
      <c r="N31" s="36">
        <f t="shared" si="1"/>
        <v>6</v>
      </c>
      <c r="O31" s="36">
        <f t="shared" si="2"/>
        <v>2024</v>
      </c>
      <c r="S31" s="59">
        <v>1250</v>
      </c>
      <c r="T31" s="66">
        <v>1250</v>
      </c>
      <c r="U31" s="48">
        <f t="shared" si="7"/>
        <v>1312.5</v>
      </c>
      <c r="V31" s="50">
        <f t="shared" si="9"/>
        <v>1410.9375</v>
      </c>
      <c r="W31" s="53">
        <f t="shared" si="6"/>
        <v>8465.625</v>
      </c>
      <c r="Y31" t="s">
        <v>2714</v>
      </c>
      <c r="AE31" t="s">
        <v>2494</v>
      </c>
    </row>
    <row r="32" spans="1:31">
      <c r="A32" s="45" t="s">
        <v>1663</v>
      </c>
      <c r="B32" s="57">
        <v>306529014</v>
      </c>
      <c r="C32" s="45" t="s">
        <v>2325</v>
      </c>
      <c r="D32" s="37" t="s">
        <v>1664</v>
      </c>
      <c r="E32" s="37" t="s">
        <v>1666</v>
      </c>
      <c r="F32" t="s">
        <v>214</v>
      </c>
      <c r="G32" s="36" t="s">
        <v>108</v>
      </c>
      <c r="H32" s="37" t="s">
        <v>1667</v>
      </c>
      <c r="I32" s="2" t="s">
        <v>1665</v>
      </c>
      <c r="J32" s="36" t="s">
        <v>2355</v>
      </c>
      <c r="K32" s="36">
        <v>2</v>
      </c>
      <c r="L32" s="76">
        <v>45533</v>
      </c>
      <c r="M32" s="36">
        <f t="shared" si="0"/>
        <v>29</v>
      </c>
      <c r="N32" s="36">
        <f t="shared" si="1"/>
        <v>8</v>
      </c>
      <c r="O32" s="36">
        <f t="shared" si="2"/>
        <v>2024</v>
      </c>
      <c r="P32" s="63">
        <v>1740</v>
      </c>
      <c r="Q32" s="48">
        <v>1740</v>
      </c>
      <c r="R32" s="49">
        <v>1926.4288200000001</v>
      </c>
      <c r="S32" s="50">
        <v>1408.57</v>
      </c>
      <c r="T32" s="48">
        <f>ROUNDUP(S32*1.05,2)</f>
        <v>1479</v>
      </c>
      <c r="U32" s="48">
        <f t="shared" si="7"/>
        <v>1552.95</v>
      </c>
      <c r="V32" s="50">
        <f t="shared" si="9"/>
        <v>1669.4212499999999</v>
      </c>
      <c r="W32" s="53">
        <f t="shared" si="6"/>
        <v>10016.5275</v>
      </c>
      <c r="Y32" s="18" t="s">
        <v>2715</v>
      </c>
      <c r="Z32">
        <f>'Ex residentes'!Y329+714</f>
        <v>46823</v>
      </c>
      <c r="AE32" t="s">
        <v>1663</v>
      </c>
    </row>
    <row r="33" spans="1:29">
      <c r="A33" s="45" t="s">
        <v>1156</v>
      </c>
      <c r="B33" s="57">
        <v>261831173</v>
      </c>
      <c r="C33" s="57" t="s">
        <v>2535</v>
      </c>
      <c r="D33" s="37" t="s">
        <v>1157</v>
      </c>
      <c r="E33" s="37" t="s">
        <v>2534</v>
      </c>
      <c r="F33" s="36" t="s">
        <v>2532</v>
      </c>
      <c r="G33" s="36" t="s">
        <v>108</v>
      </c>
      <c r="H33" s="37" t="s">
        <v>2533</v>
      </c>
      <c r="I33" s="2" t="s">
        <v>2019</v>
      </c>
      <c r="J33" s="36" t="s">
        <v>1153</v>
      </c>
      <c r="K33" s="36">
        <v>1</v>
      </c>
      <c r="L33" s="75">
        <v>45582</v>
      </c>
      <c r="M33" s="36">
        <f t="shared" si="0"/>
        <v>17</v>
      </c>
      <c r="N33" s="36">
        <f t="shared" si="1"/>
        <v>10</v>
      </c>
      <c r="O33" s="36">
        <f t="shared" si="2"/>
        <v>2024</v>
      </c>
      <c r="P33" s="77"/>
      <c r="Q33" s="78"/>
      <c r="T33" s="59">
        <v>680</v>
      </c>
      <c r="U33" s="48">
        <f t="shared" si="7"/>
        <v>714</v>
      </c>
      <c r="V33" s="50">
        <f t="shared" si="9"/>
        <v>767.55</v>
      </c>
      <c r="W33" s="53">
        <f t="shared" si="6"/>
        <v>4605.2999999999993</v>
      </c>
      <c r="Y33" t="s">
        <v>2714</v>
      </c>
    </row>
    <row r="34" spans="1:29">
      <c r="A34" s="45" t="s">
        <v>2547</v>
      </c>
      <c r="B34" s="57">
        <v>43421281</v>
      </c>
      <c r="C34" s="57">
        <v>33940435805</v>
      </c>
      <c r="D34" s="37" t="s">
        <v>2548</v>
      </c>
      <c r="E34" s="37" t="s">
        <v>2549</v>
      </c>
      <c r="F34" s="37" t="s">
        <v>2550</v>
      </c>
      <c r="G34" s="37" t="s">
        <v>2551</v>
      </c>
      <c r="H34" s="57" t="s">
        <v>2578</v>
      </c>
      <c r="I34" s="2" t="s">
        <v>2552</v>
      </c>
      <c r="J34" s="36" t="s">
        <v>2553</v>
      </c>
      <c r="K34" s="36">
        <v>1</v>
      </c>
      <c r="L34" s="75">
        <v>45643</v>
      </c>
      <c r="M34" s="36">
        <f t="shared" si="0"/>
        <v>17</v>
      </c>
      <c r="N34" s="36">
        <f t="shared" si="1"/>
        <v>12</v>
      </c>
      <c r="O34" s="36">
        <f t="shared" si="2"/>
        <v>2024</v>
      </c>
      <c r="T34" s="59">
        <v>680</v>
      </c>
      <c r="U34" s="48">
        <f t="shared" si="7"/>
        <v>714</v>
      </c>
      <c r="V34" s="50">
        <f t="shared" si="9"/>
        <v>767.55</v>
      </c>
      <c r="W34" s="53">
        <f t="shared" si="6"/>
        <v>4605.2999999999993</v>
      </c>
      <c r="Y34" t="s">
        <v>2714</v>
      </c>
    </row>
    <row r="35" spans="1:29">
      <c r="A35" s="45" t="s">
        <v>2561</v>
      </c>
      <c r="B35" s="37" t="s">
        <v>2562</v>
      </c>
      <c r="C35" s="37" t="s">
        <v>2563</v>
      </c>
      <c r="D35" s="57">
        <v>51967790103</v>
      </c>
      <c r="E35" s="37" t="s">
        <v>2564</v>
      </c>
      <c r="F35" s="37" t="s">
        <v>2565</v>
      </c>
      <c r="G35" s="37" t="s">
        <v>2566</v>
      </c>
      <c r="H35" s="37" t="s">
        <v>2567</v>
      </c>
      <c r="I35" s="2" t="s">
        <v>2581</v>
      </c>
      <c r="J35" s="36" t="s">
        <v>306</v>
      </c>
      <c r="K35" s="36">
        <v>1</v>
      </c>
      <c r="L35" s="75">
        <v>45647</v>
      </c>
      <c r="M35" s="36">
        <f t="shared" si="0"/>
        <v>21</v>
      </c>
      <c r="N35" s="36">
        <f t="shared" si="1"/>
        <v>12</v>
      </c>
      <c r="O35" s="36">
        <f t="shared" si="2"/>
        <v>2024</v>
      </c>
      <c r="P35" s="36">
        <f>DAY(O35)</f>
        <v>16</v>
      </c>
      <c r="Q35" s="36">
        <f>MONTH(O35)</f>
        <v>7</v>
      </c>
      <c r="R35" s="36">
        <f>YEAR(O35)</f>
        <v>1905</v>
      </c>
      <c r="S35" s="36">
        <f>DAY(R35)</f>
        <v>19</v>
      </c>
      <c r="T35" s="59">
        <v>680</v>
      </c>
      <c r="U35" s="48">
        <f t="shared" si="7"/>
        <v>714</v>
      </c>
      <c r="V35" s="50">
        <f t="shared" si="9"/>
        <v>767.55</v>
      </c>
      <c r="W35" s="53">
        <f t="shared" si="6"/>
        <v>4605.2999999999993</v>
      </c>
      <c r="Y35" s="18" t="s">
        <v>2715</v>
      </c>
    </row>
    <row r="36" spans="1:29">
      <c r="A36" s="45" t="s">
        <v>2568</v>
      </c>
      <c r="B36" s="57">
        <v>44966523</v>
      </c>
      <c r="C36" s="57" t="s">
        <v>2569</v>
      </c>
      <c r="D36" s="37" t="s">
        <v>2570</v>
      </c>
      <c r="E36" s="37" t="s">
        <v>2571</v>
      </c>
      <c r="F36" s="37" t="s">
        <v>808</v>
      </c>
      <c r="G36" s="37" t="s">
        <v>108</v>
      </c>
      <c r="H36" s="57" t="s">
        <v>2583</v>
      </c>
      <c r="I36" s="2" t="s">
        <v>2582</v>
      </c>
      <c r="J36" s="36" t="s">
        <v>2572</v>
      </c>
      <c r="K36" s="36">
        <v>1</v>
      </c>
      <c r="L36" s="75">
        <v>45653</v>
      </c>
      <c r="M36" s="36">
        <f t="shared" si="0"/>
        <v>27</v>
      </c>
      <c r="N36" s="36">
        <f t="shared" si="1"/>
        <v>12</v>
      </c>
      <c r="O36" s="36">
        <f t="shared" si="2"/>
        <v>2024</v>
      </c>
      <c r="T36" s="59">
        <v>680</v>
      </c>
      <c r="U36" s="48">
        <f t="shared" si="7"/>
        <v>714</v>
      </c>
      <c r="V36" s="50">
        <f t="shared" si="9"/>
        <v>767.55</v>
      </c>
      <c r="W36" s="53">
        <f t="shared" si="6"/>
        <v>4605.2999999999993</v>
      </c>
      <c r="Y36" s="18" t="s">
        <v>2715</v>
      </c>
    </row>
    <row r="37" spans="1:29">
      <c r="A37" s="45" t="s">
        <v>2585</v>
      </c>
      <c r="B37" s="57">
        <v>554163767</v>
      </c>
      <c r="C37" s="37" t="s">
        <v>2586</v>
      </c>
      <c r="D37" s="37" t="s">
        <v>2587</v>
      </c>
      <c r="E37" s="37" t="s">
        <v>2594</v>
      </c>
      <c r="F37" s="37" t="s">
        <v>2588</v>
      </c>
      <c r="G37" s="37" t="s">
        <v>2589</v>
      </c>
      <c r="H37" s="57" t="s">
        <v>2593</v>
      </c>
      <c r="I37" s="2" t="s">
        <v>2592</v>
      </c>
      <c r="J37" s="36" t="s">
        <v>2590</v>
      </c>
      <c r="K37" s="36">
        <v>3</v>
      </c>
      <c r="L37" s="75">
        <v>45667</v>
      </c>
      <c r="M37" s="36">
        <f t="shared" si="0"/>
        <v>10</v>
      </c>
      <c r="N37" s="36">
        <f t="shared" si="1"/>
        <v>1</v>
      </c>
      <c r="O37" s="36">
        <f t="shared" si="2"/>
        <v>2025</v>
      </c>
      <c r="P37"/>
      <c r="Q37"/>
      <c r="R37"/>
      <c r="S37"/>
      <c r="U37" s="79">
        <v>2040</v>
      </c>
      <c r="V37" s="50">
        <f t="shared" si="9"/>
        <v>2193</v>
      </c>
      <c r="W37" s="53">
        <f t="shared" si="6"/>
        <v>13158</v>
      </c>
      <c r="Y37" s="54" t="s">
        <v>2712</v>
      </c>
    </row>
    <row r="38" spans="1:29" ht="14.4">
      <c r="A38" s="45" t="s">
        <v>2603</v>
      </c>
      <c r="B38" s="37" t="s">
        <v>2604</v>
      </c>
      <c r="C38" s="37" t="s">
        <v>2605</v>
      </c>
      <c r="D38" s="57">
        <v>1146198490</v>
      </c>
      <c r="E38" s="37" t="s">
        <v>2615</v>
      </c>
      <c r="F38" s="37" t="s">
        <v>2606</v>
      </c>
      <c r="G38" s="37" t="s">
        <v>2607</v>
      </c>
      <c r="H38" s="80" t="s">
        <v>2617</v>
      </c>
      <c r="I38" s="2" t="s">
        <v>2613</v>
      </c>
      <c r="J38" s="73" t="s">
        <v>2608</v>
      </c>
      <c r="K38" s="73">
        <v>2</v>
      </c>
      <c r="L38" s="14">
        <v>45701</v>
      </c>
      <c r="M38" s="36">
        <f t="shared" si="0"/>
        <v>13</v>
      </c>
      <c r="N38" s="36">
        <f t="shared" si="1"/>
        <v>2</v>
      </c>
      <c r="O38" s="36">
        <f t="shared" si="2"/>
        <v>2025</v>
      </c>
      <c r="P38"/>
      <c r="Q38"/>
      <c r="R38"/>
      <c r="S38"/>
      <c r="U38" s="66">
        <v>1428</v>
      </c>
      <c r="V38" s="48">
        <f t="shared" si="9"/>
        <v>1535.1</v>
      </c>
      <c r="W38" s="53">
        <f t="shared" si="6"/>
        <v>9210.5999999999985</v>
      </c>
      <c r="Y38" s="18" t="s">
        <v>2714</v>
      </c>
    </row>
    <row r="39" spans="1:29">
      <c r="A39" s="45" t="s">
        <v>2609</v>
      </c>
      <c r="B39" s="15">
        <v>284291201</v>
      </c>
      <c r="C39" s="81" t="s">
        <v>2616</v>
      </c>
      <c r="D39" s="57" t="s">
        <v>2610</v>
      </c>
      <c r="E39" s="37" t="s">
        <v>2611</v>
      </c>
      <c r="F39" s="37" t="s">
        <v>214</v>
      </c>
      <c r="G39" s="37" t="s">
        <v>108</v>
      </c>
      <c r="H39" s="57" t="s">
        <v>1667</v>
      </c>
      <c r="I39" s="2" t="s">
        <v>2614</v>
      </c>
      <c r="J39" s="37" t="s">
        <v>2612</v>
      </c>
      <c r="K39" s="73">
        <v>1</v>
      </c>
      <c r="L39" s="75">
        <v>45727</v>
      </c>
      <c r="M39" s="36">
        <f t="shared" si="0"/>
        <v>11</v>
      </c>
      <c r="N39" s="36">
        <f t="shared" si="1"/>
        <v>3</v>
      </c>
      <c r="O39" s="36">
        <f t="shared" si="2"/>
        <v>2025</v>
      </c>
      <c r="P39"/>
      <c r="Q39"/>
      <c r="R39"/>
      <c r="S39"/>
      <c r="U39" s="66">
        <v>714</v>
      </c>
      <c r="V39" s="48">
        <f t="shared" si="9"/>
        <v>767.55</v>
      </c>
      <c r="W39" s="53">
        <f t="shared" si="6"/>
        <v>4605.2999999999993</v>
      </c>
      <c r="Y39" s="18" t="s">
        <v>2714</v>
      </c>
    </row>
    <row r="40" spans="1:29">
      <c r="A40" s="45" t="s">
        <v>2644</v>
      </c>
      <c r="B40" s="15">
        <v>9785232</v>
      </c>
      <c r="C40" s="37" t="s">
        <v>2645</v>
      </c>
      <c r="D40" s="37" t="s">
        <v>2646</v>
      </c>
      <c r="E40" s="37" t="s">
        <v>2647</v>
      </c>
      <c r="F40" s="37" t="s">
        <v>214</v>
      </c>
      <c r="G40" s="37" t="s">
        <v>108</v>
      </c>
      <c r="H40" s="37" t="s">
        <v>2663</v>
      </c>
      <c r="I40" s="2" t="s">
        <v>2648</v>
      </c>
      <c r="J40" s="73" t="s">
        <v>2649</v>
      </c>
      <c r="K40" s="73">
        <v>1</v>
      </c>
      <c r="L40" s="75">
        <v>45788</v>
      </c>
      <c r="M40" s="36">
        <f t="shared" si="0"/>
        <v>11</v>
      </c>
      <c r="N40" s="36">
        <f t="shared" si="1"/>
        <v>5</v>
      </c>
      <c r="O40" s="36">
        <f t="shared" si="2"/>
        <v>2025</v>
      </c>
      <c r="P40"/>
      <c r="Q40"/>
      <c r="R40"/>
      <c r="S40"/>
      <c r="T40" s="59">
        <v>714</v>
      </c>
      <c r="U40" s="59">
        <v>714</v>
      </c>
      <c r="V40" s="48">
        <f t="shared" si="9"/>
        <v>767.55</v>
      </c>
      <c r="W40" s="53">
        <f t="shared" si="6"/>
        <v>4605.2999999999993</v>
      </c>
      <c r="Y40" s="18" t="s">
        <v>2714</v>
      </c>
      <c r="Z40" s="82"/>
    </row>
    <row r="41" spans="1:29">
      <c r="A41" s="45" t="s">
        <v>2650</v>
      </c>
      <c r="B41" s="15">
        <v>376493264</v>
      </c>
      <c r="C41" s="37" t="s">
        <v>2651</v>
      </c>
      <c r="D41" s="37" t="s">
        <v>2652</v>
      </c>
      <c r="E41" s="37" t="s">
        <v>2653</v>
      </c>
      <c r="F41" s="37" t="s">
        <v>177</v>
      </c>
      <c r="G41" s="37" t="s">
        <v>108</v>
      </c>
      <c r="H41" s="37" t="s">
        <v>2654</v>
      </c>
      <c r="I41" s="2" t="s">
        <v>2655</v>
      </c>
      <c r="J41" s="73" t="s">
        <v>2656</v>
      </c>
      <c r="K41" s="73">
        <v>1</v>
      </c>
      <c r="L41" s="75">
        <v>45806</v>
      </c>
      <c r="M41" s="36">
        <f t="shared" si="0"/>
        <v>29</v>
      </c>
      <c r="N41" s="36">
        <f t="shared" si="1"/>
        <v>5</v>
      </c>
      <c r="O41" s="36">
        <f t="shared" si="2"/>
        <v>2025</v>
      </c>
      <c r="P41"/>
      <c r="Q41"/>
      <c r="R41"/>
      <c r="S41"/>
      <c r="T41" s="59">
        <v>700</v>
      </c>
      <c r="U41" s="66">
        <v>700</v>
      </c>
      <c r="V41" s="48">
        <f t="shared" si="9"/>
        <v>752.5</v>
      </c>
      <c r="W41" s="53">
        <f t="shared" si="6"/>
        <v>4515</v>
      </c>
      <c r="Y41" s="18" t="s">
        <v>2715</v>
      </c>
      <c r="Z41" s="82"/>
    </row>
    <row r="42" spans="1:29">
      <c r="A42" s="45" t="s">
        <v>2657</v>
      </c>
      <c r="B42" s="15">
        <v>12679297</v>
      </c>
      <c r="C42" s="37" t="s">
        <v>2658</v>
      </c>
      <c r="D42" s="37" t="s">
        <v>2659</v>
      </c>
      <c r="E42" s="37" t="s">
        <v>2660</v>
      </c>
      <c r="F42" s="37" t="s">
        <v>2546</v>
      </c>
      <c r="G42" s="37" t="s">
        <v>108</v>
      </c>
      <c r="H42" s="37" t="s">
        <v>2661</v>
      </c>
      <c r="I42" s="2" t="s">
        <v>2662</v>
      </c>
      <c r="J42" s="73" t="s">
        <v>1993</v>
      </c>
      <c r="K42" s="73">
        <v>1</v>
      </c>
      <c r="L42" s="75">
        <v>45815</v>
      </c>
      <c r="M42" s="36">
        <f t="shared" si="0"/>
        <v>7</v>
      </c>
      <c r="N42" s="36">
        <f t="shared" si="1"/>
        <v>6</v>
      </c>
      <c r="O42" s="36">
        <f t="shared" si="2"/>
        <v>2025</v>
      </c>
      <c r="T42" s="59">
        <v>700</v>
      </c>
      <c r="U42" s="66">
        <v>700</v>
      </c>
      <c r="V42" s="48">
        <f t="shared" si="9"/>
        <v>752.5</v>
      </c>
      <c r="W42" s="53">
        <f t="shared" si="6"/>
        <v>4515</v>
      </c>
      <c r="Y42" s="54" t="s">
        <v>2712</v>
      </c>
    </row>
    <row r="43" spans="1:29">
      <c r="A43" s="45" t="s">
        <v>2657</v>
      </c>
      <c r="B43" s="15">
        <v>12679297</v>
      </c>
      <c r="C43" s="37" t="s">
        <v>2658</v>
      </c>
      <c r="D43" s="37" t="s">
        <v>2659</v>
      </c>
      <c r="E43" s="37" t="s">
        <v>2660</v>
      </c>
      <c r="F43" s="37" t="s">
        <v>2546</v>
      </c>
      <c r="G43" s="37" t="s">
        <v>108</v>
      </c>
      <c r="H43" s="37" t="s">
        <v>2661</v>
      </c>
      <c r="I43" s="2" t="s">
        <v>2662</v>
      </c>
      <c r="J43" s="73" t="s">
        <v>2673</v>
      </c>
      <c r="K43" s="73">
        <v>1</v>
      </c>
      <c r="L43" s="75">
        <v>45857</v>
      </c>
      <c r="M43" s="36">
        <f t="shared" si="0"/>
        <v>19</v>
      </c>
      <c r="N43" s="36">
        <f t="shared" si="1"/>
        <v>7</v>
      </c>
      <c r="O43" s="36">
        <f t="shared" si="2"/>
        <v>2025</v>
      </c>
      <c r="T43" s="59">
        <v>700</v>
      </c>
      <c r="U43" s="66">
        <v>700</v>
      </c>
      <c r="V43" s="48">
        <f t="shared" si="9"/>
        <v>752.5</v>
      </c>
      <c r="W43" s="53">
        <f t="shared" si="6"/>
        <v>4515</v>
      </c>
      <c r="Y43" s="18" t="s">
        <v>2714</v>
      </c>
    </row>
    <row r="44" spans="1:29">
      <c r="A44" s="45" t="s">
        <v>1533</v>
      </c>
      <c r="B44" s="15">
        <v>32251583</v>
      </c>
      <c r="C44" s="57">
        <v>21497674816</v>
      </c>
      <c r="D44" s="37" t="s">
        <v>2675</v>
      </c>
      <c r="E44" s="37" t="s">
        <v>2676</v>
      </c>
      <c r="F44" s="37" t="s">
        <v>240</v>
      </c>
      <c r="G44" s="37" t="s">
        <v>108</v>
      </c>
      <c r="H44" s="57">
        <v>4538083</v>
      </c>
      <c r="I44" s="2" t="s">
        <v>1538</v>
      </c>
      <c r="J44" s="73" t="s">
        <v>1522</v>
      </c>
      <c r="K44" s="73">
        <v>1</v>
      </c>
      <c r="L44" s="75">
        <v>45918</v>
      </c>
      <c r="M44" s="73">
        <v>18</v>
      </c>
      <c r="N44" s="73">
        <v>9</v>
      </c>
      <c r="O44" s="73">
        <v>2025</v>
      </c>
      <c r="T44" s="59">
        <v>714</v>
      </c>
      <c r="U44" s="66">
        <v>714</v>
      </c>
      <c r="V44" s="48">
        <f t="shared" si="9"/>
        <v>767.55</v>
      </c>
      <c r="W44" s="53">
        <f t="shared" si="6"/>
        <v>4605.2999999999993</v>
      </c>
      <c r="Y44" s="18" t="s">
        <v>2714</v>
      </c>
    </row>
    <row r="45" spans="1:29">
      <c r="A45" s="45" t="s">
        <v>2528</v>
      </c>
      <c r="B45" s="57">
        <v>36959831</v>
      </c>
      <c r="C45" s="57" t="s">
        <v>2536</v>
      </c>
      <c r="D45" s="37" t="s">
        <v>2529</v>
      </c>
      <c r="E45" s="37" t="s">
        <v>2530</v>
      </c>
      <c r="F45" s="37" t="s">
        <v>11</v>
      </c>
      <c r="G45" s="37" t="s">
        <v>108</v>
      </c>
      <c r="H45" s="37" t="s">
        <v>2538</v>
      </c>
      <c r="I45" s="2" t="s">
        <v>2537</v>
      </c>
      <c r="J45" s="36" t="s">
        <v>2531</v>
      </c>
      <c r="K45" s="36">
        <v>1</v>
      </c>
      <c r="L45" s="75">
        <v>45919</v>
      </c>
      <c r="M45" s="36">
        <f>DAY(L45)</f>
        <v>19</v>
      </c>
      <c r="N45" s="36">
        <f>MONTH(L45)</f>
        <v>9</v>
      </c>
      <c r="O45" s="36">
        <f>YEAR(L45)</f>
        <v>2025</v>
      </c>
      <c r="T45" s="59">
        <v>680</v>
      </c>
      <c r="U45" s="59">
        <v>700</v>
      </c>
      <c r="V45" s="48">
        <f t="shared" si="9"/>
        <v>752.5</v>
      </c>
      <c r="W45" s="53">
        <f t="shared" si="6"/>
        <v>4515</v>
      </c>
      <c r="Y45" s="18" t="s">
        <v>2714</v>
      </c>
      <c r="AA45">
        <v>18</v>
      </c>
      <c r="AB45">
        <v>8</v>
      </c>
      <c r="AC45">
        <v>2025</v>
      </c>
    </row>
    <row r="46" spans="1:29">
      <c r="A46" s="45" t="s">
        <v>2678</v>
      </c>
      <c r="B46" s="57">
        <v>13130017</v>
      </c>
      <c r="C46" s="37" t="s">
        <v>2679</v>
      </c>
      <c r="D46" s="37" t="s">
        <v>2680</v>
      </c>
      <c r="E46" s="37" t="s">
        <v>2681</v>
      </c>
      <c r="F46" s="37" t="s">
        <v>579</v>
      </c>
      <c r="G46" s="37" t="s">
        <v>108</v>
      </c>
      <c r="H46" s="37" t="s">
        <v>2682</v>
      </c>
      <c r="I46" s="2" t="s">
        <v>2683</v>
      </c>
      <c r="J46" s="36" t="s">
        <v>2684</v>
      </c>
      <c r="K46" s="36">
        <v>1</v>
      </c>
      <c r="L46" s="75">
        <v>45934</v>
      </c>
      <c r="M46" s="36">
        <f>DAY(L46)</f>
        <v>4</v>
      </c>
      <c r="N46" s="36">
        <f>MONTH(L46)</f>
        <v>10</v>
      </c>
      <c r="O46" s="36">
        <f>YEAR(L46)</f>
        <v>2025</v>
      </c>
      <c r="T46" s="59">
        <v>700</v>
      </c>
      <c r="U46" s="66">
        <v>700</v>
      </c>
      <c r="V46" s="48">
        <f t="shared" si="9"/>
        <v>752.5</v>
      </c>
      <c r="W46" s="53">
        <f t="shared" si="6"/>
        <v>4515</v>
      </c>
      <c r="Y46" s="54" t="s">
        <v>2712</v>
      </c>
    </row>
    <row r="47" spans="1:29">
      <c r="A47" s="45" t="s">
        <v>2239</v>
      </c>
      <c r="B47" s="15">
        <v>347917604</v>
      </c>
      <c r="C47" s="37" t="s">
        <v>2240</v>
      </c>
      <c r="D47" s="37" t="s">
        <v>2686</v>
      </c>
      <c r="E47" s="37" t="s">
        <v>2242</v>
      </c>
      <c r="F47" s="37" t="s">
        <v>297</v>
      </c>
      <c r="G47" s="37" t="s">
        <v>108</v>
      </c>
      <c r="H47" s="37" t="s">
        <v>2250</v>
      </c>
      <c r="I47" s="2" t="s">
        <v>2687</v>
      </c>
      <c r="J47" s="36" t="s">
        <v>2244</v>
      </c>
      <c r="K47" s="36">
        <v>1</v>
      </c>
      <c r="L47" s="75">
        <v>45978</v>
      </c>
      <c r="M47" s="36">
        <v>17</v>
      </c>
      <c r="N47" s="36">
        <v>11</v>
      </c>
      <c r="O47" s="36">
        <v>2025</v>
      </c>
      <c r="T47" s="59">
        <v>714</v>
      </c>
      <c r="U47" s="214">
        <v>714</v>
      </c>
      <c r="V47" s="48">
        <v>752.5</v>
      </c>
      <c r="W47" s="53">
        <f t="shared" si="6"/>
        <v>4515</v>
      </c>
      <c r="Y47" s="18" t="s">
        <v>2714</v>
      </c>
    </row>
    <row r="48" spans="1:29">
      <c r="A48" s="45" t="s">
        <v>2702</v>
      </c>
      <c r="B48" s="15">
        <v>266088004</v>
      </c>
      <c r="C48" s="37" t="s">
        <v>2703</v>
      </c>
      <c r="D48" s="37" t="s">
        <v>2704</v>
      </c>
      <c r="E48" s="37" t="s">
        <v>2705</v>
      </c>
      <c r="F48" s="37" t="s">
        <v>2706</v>
      </c>
      <c r="G48" s="37" t="s">
        <v>2707</v>
      </c>
      <c r="H48" s="37" t="s">
        <v>2708</v>
      </c>
      <c r="I48" s="37" t="s">
        <v>2709</v>
      </c>
      <c r="J48" s="36" t="s">
        <v>2710</v>
      </c>
      <c r="K48" s="36">
        <v>2</v>
      </c>
      <c r="L48" s="75">
        <v>46001</v>
      </c>
      <c r="M48" s="36">
        <f>DAY(L48)</f>
        <v>10</v>
      </c>
      <c r="N48" s="36">
        <f>MONTH(L48)</f>
        <v>12</v>
      </c>
      <c r="O48" s="36">
        <f>YEAR(L48)</f>
        <v>2025</v>
      </c>
      <c r="T48" s="59">
        <v>1428</v>
      </c>
      <c r="U48" s="66">
        <v>1428</v>
      </c>
      <c r="V48" s="48">
        <f>U48*1.075</f>
        <v>1535.1</v>
      </c>
      <c r="W48" s="53">
        <f t="shared" si="6"/>
        <v>9210.5999999999985</v>
      </c>
      <c r="Y48" s="18" t="s">
        <v>2714</v>
      </c>
    </row>
    <row r="49" spans="1:28">
      <c r="A49" s="148" t="s">
        <v>2716</v>
      </c>
      <c r="B49" s="15">
        <v>18859730</v>
      </c>
      <c r="C49" s="8" t="s">
        <v>2717</v>
      </c>
      <c r="D49" s="8" t="s">
        <v>2718</v>
      </c>
      <c r="E49" s="8" t="s">
        <v>2719</v>
      </c>
      <c r="F49" s="8" t="s">
        <v>2720</v>
      </c>
      <c r="G49" s="8" t="s">
        <v>108</v>
      </c>
      <c r="H49" s="8" t="s">
        <v>2189</v>
      </c>
      <c r="I49" s="2" t="s">
        <v>2721</v>
      </c>
      <c r="J49" s="73" t="s">
        <v>2722</v>
      </c>
      <c r="K49" s="73">
        <v>1</v>
      </c>
      <c r="L49" s="14">
        <v>46007</v>
      </c>
      <c r="M49" s="73">
        <v>16</v>
      </c>
      <c r="N49" s="73">
        <v>12</v>
      </c>
      <c r="O49" s="73">
        <v>2025</v>
      </c>
      <c r="P49" s="7"/>
      <c r="Q49" s="7"/>
      <c r="R49" s="7"/>
      <c r="S49" s="7"/>
      <c r="U49" s="79">
        <v>714</v>
      </c>
      <c r="V49" s="48">
        <f>U49*1.075</f>
        <v>767.55</v>
      </c>
      <c r="W49" s="53">
        <f>2*U49+4*V49</f>
        <v>4498.2</v>
      </c>
      <c r="X49" s="7"/>
      <c r="Y49" s="18" t="s">
        <v>2714</v>
      </c>
      <c r="Z49" s="7"/>
      <c r="AA49" s="7"/>
      <c r="AB49" s="7"/>
    </row>
    <row r="50" spans="1:28">
      <c r="A50" s="148" t="s">
        <v>2723</v>
      </c>
      <c r="B50" s="15">
        <v>472882727</v>
      </c>
      <c r="C50" s="8" t="s">
        <v>2743</v>
      </c>
      <c r="D50" s="8" t="s">
        <v>2724</v>
      </c>
      <c r="E50" s="8" t="s">
        <v>2725</v>
      </c>
      <c r="F50" s="8" t="s">
        <v>2726</v>
      </c>
      <c r="G50" s="8" t="s">
        <v>108</v>
      </c>
      <c r="H50" s="15" t="s">
        <v>2727</v>
      </c>
      <c r="I50" s="7" t="s">
        <v>2728</v>
      </c>
      <c r="J50" s="73" t="s">
        <v>2410</v>
      </c>
      <c r="K50" s="73">
        <v>1</v>
      </c>
      <c r="L50" s="14">
        <v>46010</v>
      </c>
      <c r="M50" s="73">
        <v>19</v>
      </c>
      <c r="N50" s="73">
        <v>12</v>
      </c>
      <c r="O50" s="73">
        <v>2025</v>
      </c>
      <c r="P50" s="7"/>
      <c r="Q50" s="7"/>
      <c r="R50" s="7"/>
      <c r="S50" s="7"/>
      <c r="U50" s="79">
        <v>714</v>
      </c>
      <c r="V50" s="48">
        <f>U50*1.075</f>
        <v>767.55</v>
      </c>
      <c r="W50" s="53">
        <f>2*U50+4*V50</f>
        <v>4498.2</v>
      </c>
      <c r="X50" s="7"/>
      <c r="Y50" s="18" t="s">
        <v>2714</v>
      </c>
      <c r="Z50" s="7"/>
      <c r="AA50" s="7"/>
      <c r="AB50" s="7"/>
    </row>
    <row r="51" spans="1:28">
      <c r="A51" s="148" t="s">
        <v>2729</v>
      </c>
      <c r="B51" s="15">
        <v>21929817</v>
      </c>
      <c r="C51" s="8" t="s">
        <v>2730</v>
      </c>
      <c r="D51" s="8" t="s">
        <v>2731</v>
      </c>
      <c r="E51" s="8" t="s">
        <v>2732</v>
      </c>
      <c r="F51" s="8" t="s">
        <v>2733</v>
      </c>
      <c r="G51" s="8" t="s">
        <v>2734</v>
      </c>
      <c r="H51" s="15" t="s">
        <v>2744</v>
      </c>
      <c r="I51" s="2" t="s">
        <v>2735</v>
      </c>
      <c r="J51" s="73" t="s">
        <v>2574</v>
      </c>
      <c r="K51" s="73">
        <v>1</v>
      </c>
      <c r="L51" s="14">
        <v>46025</v>
      </c>
      <c r="M51" s="73">
        <v>3</v>
      </c>
      <c r="N51" s="73">
        <v>1</v>
      </c>
      <c r="O51" s="73">
        <v>2026</v>
      </c>
      <c r="P51" s="7"/>
      <c r="Q51" s="7"/>
      <c r="R51" s="7"/>
      <c r="S51" s="7"/>
      <c r="U51" s="138">
        <v>767.55</v>
      </c>
      <c r="V51" s="138">
        <v>767.55</v>
      </c>
      <c r="W51" s="53">
        <f>5*V51</f>
        <v>3837.75</v>
      </c>
      <c r="X51" s="7"/>
      <c r="Y51" s="18" t="s">
        <v>2745</v>
      </c>
      <c r="Z51" s="7"/>
      <c r="AA51" s="7"/>
      <c r="AB51" s="7"/>
    </row>
    <row r="52" spans="1:28">
      <c r="A52" s="148" t="s">
        <v>2736</v>
      </c>
      <c r="B52" s="15">
        <v>439409317</v>
      </c>
      <c r="C52" s="8" t="s">
        <v>2737</v>
      </c>
      <c r="D52" s="8" t="s">
        <v>2738</v>
      </c>
      <c r="E52" s="8" t="s">
        <v>2739</v>
      </c>
      <c r="F52" s="8" t="s">
        <v>2740</v>
      </c>
      <c r="G52" s="8" t="s">
        <v>108</v>
      </c>
      <c r="H52" s="7">
        <v>3226000</v>
      </c>
      <c r="I52" s="7" t="s">
        <v>2741</v>
      </c>
      <c r="J52" s="73" t="s">
        <v>2742</v>
      </c>
      <c r="K52" s="73">
        <v>1</v>
      </c>
      <c r="L52" s="14">
        <v>46029</v>
      </c>
      <c r="M52" s="73">
        <v>7</v>
      </c>
      <c r="N52" s="73">
        <v>1</v>
      </c>
      <c r="O52" s="73">
        <v>2026</v>
      </c>
      <c r="P52" s="7"/>
      <c r="Q52" s="7"/>
      <c r="R52" s="7"/>
      <c r="S52" s="7"/>
      <c r="U52" s="138">
        <v>767.55</v>
      </c>
      <c r="V52" s="138">
        <v>767.55</v>
      </c>
      <c r="W52" s="53">
        <f>5*V52</f>
        <v>3837.75</v>
      </c>
      <c r="X52" s="7"/>
      <c r="Y52" s="18" t="s">
        <v>2745</v>
      </c>
      <c r="Z52" s="7"/>
      <c r="AA52" s="7"/>
      <c r="AB52" s="7"/>
    </row>
    <row r="53" spans="1:28">
      <c r="A53" s="148" t="s">
        <v>2753</v>
      </c>
      <c r="B53" s="15">
        <v>289552655</v>
      </c>
      <c r="C53" s="37" t="s">
        <v>2754</v>
      </c>
      <c r="D53" s="37" t="s">
        <v>2755</v>
      </c>
      <c r="E53" s="37" t="s">
        <v>2756</v>
      </c>
      <c r="F53" s="37" t="s">
        <v>2757</v>
      </c>
      <c r="G53" s="37" t="s">
        <v>108</v>
      </c>
      <c r="H53" s="57" t="s">
        <v>2758</v>
      </c>
      <c r="I53" s="2" t="s">
        <v>2759</v>
      </c>
      <c r="J53" s="36" t="s">
        <v>1349</v>
      </c>
      <c r="K53" s="36">
        <v>1</v>
      </c>
      <c r="L53" s="75">
        <v>46074</v>
      </c>
      <c r="M53" s="36">
        <f>DAY(L53)</f>
        <v>21</v>
      </c>
      <c r="N53" s="36">
        <f>MONTH(L53)</f>
        <v>2</v>
      </c>
      <c r="O53" s="36">
        <f>YEAR(L53)</f>
        <v>2026</v>
      </c>
      <c r="U53" s="51">
        <v>767.55</v>
      </c>
      <c r="V53" s="51">
        <v>767.55</v>
      </c>
      <c r="W53" s="53">
        <f>4*V53</f>
        <v>3070.2</v>
      </c>
      <c r="Y53" s="18" t="s">
        <v>2780</v>
      </c>
    </row>
    <row r="54" spans="1:28">
      <c r="A54" s="148" t="s">
        <v>2760</v>
      </c>
      <c r="B54" s="15">
        <v>261065348</v>
      </c>
      <c r="C54" s="37" t="s">
        <v>2761</v>
      </c>
      <c r="D54" s="37" t="s">
        <v>2762</v>
      </c>
      <c r="E54" s="37" t="s">
        <v>2763</v>
      </c>
      <c r="F54" s="37" t="s">
        <v>11</v>
      </c>
      <c r="G54" s="37" t="s">
        <v>108</v>
      </c>
      <c r="H54" s="57"/>
      <c r="I54" s="2" t="s">
        <v>2764</v>
      </c>
      <c r="J54" s="36" t="s">
        <v>334</v>
      </c>
      <c r="K54" s="36">
        <v>1</v>
      </c>
      <c r="L54" s="75">
        <v>46074</v>
      </c>
      <c r="M54" s="36">
        <f>DAY(L54)</f>
        <v>21</v>
      </c>
      <c r="N54" s="36">
        <f>MONTH(L54)</f>
        <v>2</v>
      </c>
      <c r="O54" s="36">
        <f>YEAR(L54)</f>
        <v>2026</v>
      </c>
      <c r="U54" s="51">
        <v>767.55</v>
      </c>
      <c r="V54" s="51">
        <v>767.55</v>
      </c>
      <c r="W54" s="53">
        <f>4*V54</f>
        <v>3070.2</v>
      </c>
      <c r="Y54" s="18" t="s">
        <v>2780</v>
      </c>
    </row>
    <row r="55" spans="1:28">
      <c r="A55" s="148" t="s">
        <v>2765</v>
      </c>
      <c r="B55" s="15">
        <v>45003824</v>
      </c>
      <c r="C55" s="37" t="s">
        <v>2766</v>
      </c>
      <c r="D55" s="37" t="s">
        <v>2767</v>
      </c>
      <c r="E55" s="37" t="s">
        <v>2768</v>
      </c>
      <c r="F55" s="37" t="s">
        <v>424</v>
      </c>
      <c r="G55" s="37" t="s">
        <v>108</v>
      </c>
      <c r="H55" s="57" t="s">
        <v>1077</v>
      </c>
      <c r="I55" t="s">
        <v>2769</v>
      </c>
      <c r="J55" s="36" t="s">
        <v>2770</v>
      </c>
      <c r="K55" s="36">
        <v>2</v>
      </c>
      <c r="L55" s="75">
        <v>46091</v>
      </c>
      <c r="M55" s="36">
        <f>DAY(L55)</f>
        <v>10</v>
      </c>
      <c r="N55" s="36">
        <f>MONTH(L55)</f>
        <v>3</v>
      </c>
      <c r="O55" s="36">
        <f>YEAR(L55)</f>
        <v>2026</v>
      </c>
      <c r="V55" s="70">
        <v>1535.1</v>
      </c>
      <c r="W55" s="53">
        <f>3*V55</f>
        <v>4605.2999999999993</v>
      </c>
      <c r="Y55" s="18" t="s">
        <v>2781</v>
      </c>
    </row>
    <row r="56" spans="1:28">
      <c r="A56" s="148" t="s">
        <v>2771</v>
      </c>
      <c r="B56" s="15">
        <v>1742755</v>
      </c>
      <c r="C56" s="37" t="s">
        <v>2772</v>
      </c>
      <c r="D56" s="37" t="s">
        <v>2773</v>
      </c>
      <c r="E56" s="37" t="s">
        <v>2774</v>
      </c>
      <c r="F56" s="37" t="s">
        <v>1514</v>
      </c>
      <c r="G56" s="37" t="s">
        <v>2775</v>
      </c>
      <c r="H56" s="57" t="s">
        <v>2782</v>
      </c>
      <c r="I56" s="37" t="s">
        <v>2776</v>
      </c>
      <c r="J56" s="36" t="s">
        <v>2777</v>
      </c>
      <c r="K56" s="36">
        <v>2</v>
      </c>
      <c r="L56" s="75">
        <v>46107</v>
      </c>
      <c r="M56" s="36">
        <f>DAY(L56)</f>
        <v>26</v>
      </c>
      <c r="N56" s="36">
        <f>MONTH(L56)</f>
        <v>3</v>
      </c>
      <c r="O56" s="36">
        <f>YEAR(L56)</f>
        <v>2026</v>
      </c>
      <c r="V56" s="70">
        <v>1515</v>
      </c>
      <c r="W56" s="53">
        <f>3*V56</f>
        <v>4545</v>
      </c>
      <c r="Y56" s="18" t="s">
        <v>2781</v>
      </c>
    </row>
    <row r="58" spans="1:28">
      <c r="V58" s="66"/>
    </row>
    <row r="59" spans="1:28">
      <c r="V59" s="66"/>
    </row>
  </sheetData>
  <autoFilter ref="A1:AC56" xr:uid="{7E578B46-F5C3-468E-8CD0-BC25CE6D0CA7}"/>
  <phoneticPr fontId="0" type="noConversion"/>
  <hyperlinks>
    <hyperlink ref="I4" r:id="rId1" xr:uid="{1640298E-0B06-4975-B94B-56AD9AF1DE3C}"/>
    <hyperlink ref="I9" r:id="rId2" xr:uid="{91570B9B-FAAF-4A2B-95F0-C92F1F4C540C}"/>
    <hyperlink ref="I11" r:id="rId3" xr:uid="{45358BA9-7285-4B29-A0FA-9D2C0FC9C892}"/>
    <hyperlink ref="I12" r:id="rId4" xr:uid="{FB8C25A6-DB9F-4188-A4B8-6ACCD5F1DF31}"/>
    <hyperlink ref="I13" r:id="rId5" xr:uid="{CC672629-3633-4DD0-8030-9DC18B9DBA41}"/>
    <hyperlink ref="I5" r:id="rId6" display="luciaxaviergarcia@gmail.com" xr:uid="{86727F43-9860-4BB6-BAD0-BE2990825E96}"/>
    <hyperlink ref="I10" r:id="rId7" xr:uid="{F96B144F-61AE-4104-A4E6-443618470394}"/>
    <hyperlink ref="I8" r:id="rId8" xr:uid="{1EBE5741-23E0-45C2-BB8A-15F6DFA25AD5}"/>
    <hyperlink ref="I18" r:id="rId9" display="suelen.targino@hotmail.com" xr:uid="{9522A241-3923-46CE-9B37-CF0BC13C582F}"/>
    <hyperlink ref="I19" r:id="rId10" xr:uid="{3951963C-84E8-48AC-AAB0-93F58468AF0A}"/>
    <hyperlink ref="I20" r:id="rId11" xr:uid="{191E8158-ED45-4D26-84BC-D515DEA28AB2}"/>
    <hyperlink ref="I21" r:id="rId12" xr:uid="{1D64224F-C21D-4EA9-ABA1-AEAF52CE115D}"/>
    <hyperlink ref="I22" r:id="rId13" xr:uid="{A44F618D-CCCF-4886-82A4-04E3F5E5D93B}"/>
    <hyperlink ref="I3" r:id="rId14" xr:uid="{D5AA91AF-405F-44D4-B1B3-7DCC3F60D0DE}"/>
    <hyperlink ref="I14" r:id="rId15" xr:uid="{6DDBC8F0-0F2A-4F8E-8D0E-BE4E3ED16E97}"/>
    <hyperlink ref="I17" r:id="rId16" xr:uid="{D9A81C1D-8C7F-4CE3-A2D0-81F1122AADB1}"/>
    <hyperlink ref="I16" r:id="rId17" xr:uid="{A10353E2-DD43-4009-A51E-44F52B1C7EC1}"/>
    <hyperlink ref="I6" r:id="rId18" xr:uid="{2AAE98DF-ED11-45D2-A54E-4A40AEDCF339}"/>
    <hyperlink ref="I7" r:id="rId19" xr:uid="{CBF2C22F-8ABB-4331-8B88-902664883D4E}"/>
    <hyperlink ref="I24" r:id="rId20" xr:uid="{10B0AF9B-C921-4D86-9234-42463F586F08}"/>
    <hyperlink ref="I26" r:id="rId21" xr:uid="{B8334760-4126-4F29-BD24-F7A45233CD4D}"/>
    <hyperlink ref="I27" r:id="rId22" xr:uid="{F5782F2A-C348-4C90-8C55-E3A002719DC4}"/>
    <hyperlink ref="I29" r:id="rId23" xr:uid="{6CBA5E1F-1B3B-4D40-9623-4BA4F7E7E173}"/>
    <hyperlink ref="I28" r:id="rId24" xr:uid="{31024D2C-89A5-4CC1-81A2-2C918ABC3BD2}"/>
    <hyperlink ref="I31" r:id="rId25" xr:uid="{054D4DBC-843B-4AD3-AD46-0B54B64E1774}"/>
    <hyperlink ref="I23" r:id="rId26" xr:uid="{9D8BC163-4EC9-4590-AD9D-14EB5B365642}"/>
    <hyperlink ref="I30" r:id="rId27" xr:uid="{C62C05E1-7BC4-4E1B-8A2F-DFBB3575093D}"/>
    <hyperlink ref="I32" r:id="rId28" xr:uid="{6728BF72-C870-46EF-A903-8EF36004CFEC}"/>
    <hyperlink ref="I33" r:id="rId29" xr:uid="{3D03DF1D-B42A-441A-8520-A18851C24584}"/>
    <hyperlink ref="I34" r:id="rId30" xr:uid="{E416EC78-9894-4767-97F4-B854EE838213}"/>
    <hyperlink ref="I35" r:id="rId31" xr:uid="{BF7EC4D2-89A7-43B5-BF49-737B8C4348B6}"/>
    <hyperlink ref="I36" r:id="rId32" xr:uid="{DB78B2BD-2383-4F8C-97DE-3F788EDDF857}"/>
    <hyperlink ref="I37" r:id="rId33" xr:uid="{CD712FBD-33C6-487E-A393-4EDCCEF1F858}"/>
    <hyperlink ref="I38" r:id="rId34" xr:uid="{5C38E18D-334A-4D98-9E56-3442BA7F718F}"/>
    <hyperlink ref="I39" r:id="rId35" xr:uid="{F2D11818-32D4-4C18-B03B-527E849EE208}"/>
    <hyperlink ref="I40" r:id="rId36" xr:uid="{092F6A3A-9526-4165-9811-9437470EB059}"/>
    <hyperlink ref="I41" r:id="rId37" xr:uid="{CF1B5E90-ABE0-46BF-A0DC-3EEAEB201F76}"/>
    <hyperlink ref="I42" r:id="rId38" xr:uid="{8B53E977-880C-45A9-A5FE-68CF773CB856}"/>
    <hyperlink ref="I43" r:id="rId39" xr:uid="{156ECAA5-F9C4-4C1E-A82C-AD26D72EA1EB}"/>
    <hyperlink ref="I45" r:id="rId40" xr:uid="{E1C49175-BEBF-440E-9912-05BCBF1E34A8}"/>
    <hyperlink ref="I44" r:id="rId41" xr:uid="{33B40D5F-3E81-42F8-A7BD-D819B1838C40}"/>
    <hyperlink ref="I46" r:id="rId42" xr:uid="{FFF83C5B-082A-435D-AEB7-325ACC84027F}"/>
    <hyperlink ref="I47" r:id="rId43" xr:uid="{F9477169-4A23-4EC0-8F62-709AD9F727D7}"/>
    <hyperlink ref="I49" r:id="rId44" xr:uid="{7D86BF95-AD13-4F25-86A0-4A76131F463D}"/>
    <hyperlink ref="I51" r:id="rId45" xr:uid="{04ABC973-0E78-4B86-B771-F7DD7F827645}"/>
    <hyperlink ref="I53" r:id="rId46" xr:uid="{93384BD8-0382-4CA2-958F-5C8D85513731}"/>
    <hyperlink ref="I54" r:id="rId47" xr:uid="{87DA7F1B-4DE3-4819-A63F-8180E87CE712}"/>
  </hyperlinks>
  <pageMargins left="0.78740157499999996" right="0.78740157499999996" top="0.984251969" bottom="0.984251969" header="0.49212598499999999" footer="0.49212598499999999"/>
  <pageSetup paperSize="9" orientation="landscape" horizontalDpi="4294967295" r:id="rId48"/>
  <headerFooter alignWithMargins="0"/>
  <legacyDrawing r:id="rId4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C8A7-72AA-4043-8A6B-719CD1849561}">
  <dimension ref="A1:AD330"/>
  <sheetViews>
    <sheetView zoomScale="115" zoomScaleNormal="115" workbookViewId="0">
      <pane xSplit="1" ySplit="1" topLeftCell="X321" activePane="bottomRight" state="frozen"/>
      <selection pane="topRight" activeCell="B1" sqref="B1"/>
      <selection pane="bottomLeft" activeCell="A2" sqref="A2"/>
      <selection pane="bottomRight" activeCell="Z336" sqref="Z336"/>
    </sheetView>
  </sheetViews>
  <sheetFormatPr defaultRowHeight="13.2"/>
  <cols>
    <col min="1" max="1" width="33.88671875" bestFit="1" customWidth="1"/>
    <col min="2" max="2" width="10" bestFit="1" customWidth="1"/>
    <col min="3" max="3" width="14.44140625" customWidth="1"/>
    <col min="4" max="4" width="16.6640625" customWidth="1"/>
    <col min="5" max="5" width="51.44140625" bestFit="1" customWidth="1"/>
    <col min="10" max="10" width="36" customWidth="1"/>
    <col min="12" max="12" width="16.6640625" bestFit="1" customWidth="1"/>
    <col min="16" max="21" width="15.88671875" customWidth="1"/>
    <col min="22" max="22" width="15" customWidth="1"/>
    <col min="23" max="23" width="11.6640625" customWidth="1"/>
    <col min="24" max="24" width="21.109375" customWidth="1"/>
    <col min="25" max="25" width="15.33203125" style="82" bestFit="1" customWidth="1"/>
    <col min="26" max="26" width="10.109375" bestFit="1" customWidth="1"/>
    <col min="28" max="28" width="10.109375" bestFit="1" customWidth="1"/>
  </cols>
  <sheetData>
    <row r="1" spans="1:28">
      <c r="A1" s="37" t="s">
        <v>3</v>
      </c>
      <c r="B1" s="37" t="s">
        <v>2</v>
      </c>
      <c r="C1" s="37" t="s">
        <v>6</v>
      </c>
      <c r="D1" s="37" t="s">
        <v>1</v>
      </c>
      <c r="E1" s="37" t="s">
        <v>7</v>
      </c>
      <c r="F1" s="37" t="s">
        <v>0</v>
      </c>
      <c r="G1" s="37" t="s">
        <v>79</v>
      </c>
      <c r="H1" s="37" t="s">
        <v>4</v>
      </c>
      <c r="I1" s="37" t="s">
        <v>8</v>
      </c>
      <c r="J1" s="37" t="s">
        <v>9</v>
      </c>
      <c r="K1" s="37" t="s">
        <v>61</v>
      </c>
      <c r="L1" s="37" t="s">
        <v>10</v>
      </c>
      <c r="M1" s="38" t="s">
        <v>83</v>
      </c>
      <c r="N1" s="38" t="s">
        <v>167</v>
      </c>
      <c r="O1" s="38" t="s">
        <v>168</v>
      </c>
      <c r="P1" s="37" t="s">
        <v>5</v>
      </c>
      <c r="Q1" t="s">
        <v>926</v>
      </c>
      <c r="R1" s="43" t="s">
        <v>927</v>
      </c>
      <c r="S1" s="18" t="s">
        <v>2032</v>
      </c>
      <c r="T1" s="43" t="s">
        <v>165</v>
      </c>
      <c r="U1" t="s">
        <v>922</v>
      </c>
      <c r="V1" t="s">
        <v>923</v>
      </c>
      <c r="W1" t="s">
        <v>924</v>
      </c>
      <c r="X1" t="s">
        <v>925</v>
      </c>
      <c r="Y1" s="82" t="s">
        <v>839</v>
      </c>
      <c r="Z1" t="s">
        <v>840</v>
      </c>
      <c r="AA1" t="s">
        <v>841</v>
      </c>
      <c r="AB1" t="s">
        <v>842</v>
      </c>
    </row>
    <row r="2" spans="1:28" s="51" customFormat="1">
      <c r="A2" s="36" t="s">
        <v>85</v>
      </c>
      <c r="B2" s="46" t="s">
        <v>91</v>
      </c>
      <c r="C2" s="36" t="s">
        <v>95</v>
      </c>
      <c r="D2" s="36" t="s">
        <v>92</v>
      </c>
      <c r="E2" s="36" t="s">
        <v>93</v>
      </c>
      <c r="F2" s="36" t="s">
        <v>97</v>
      </c>
      <c r="G2" s="36" t="s">
        <v>96</v>
      </c>
      <c r="H2" s="46" t="s">
        <v>98</v>
      </c>
      <c r="I2" s="36" t="s">
        <v>86</v>
      </c>
      <c r="J2" s="36" t="s">
        <v>166</v>
      </c>
      <c r="K2" s="36">
        <v>1</v>
      </c>
      <c r="L2" s="47">
        <v>40690</v>
      </c>
      <c r="M2" s="36">
        <f>DAY(L2)</f>
        <v>27</v>
      </c>
      <c r="N2" s="36">
        <f>MONTH(L2)</f>
        <v>5</v>
      </c>
      <c r="O2" s="36">
        <f>YEAR(L2)</f>
        <v>2011</v>
      </c>
      <c r="P2" s="84">
        <v>425</v>
      </c>
      <c r="Q2" t="s">
        <v>162</v>
      </c>
      <c r="R2" s="1">
        <f>P2*6</f>
        <v>2550</v>
      </c>
      <c r="Y2" s="82"/>
      <c r="Z2" s="51" t="str">
        <f t="shared" ref="Z2:Z33" si="0">IF($Y2=0,"",DAY($Y2))</f>
        <v/>
      </c>
      <c r="AA2" s="51" t="str">
        <f t="shared" ref="AA2:AA33" si="1">IF($Y2=0,"",MONTH($Y2))</f>
        <v/>
      </c>
      <c r="AB2" s="51" t="str">
        <f t="shared" ref="AB2:AB33" si="2">IF($Y2=0,"",YEAR($Y2))</f>
        <v/>
      </c>
    </row>
    <row r="3" spans="1:28" s="51" customFormat="1">
      <c r="A3" s="36" t="s">
        <v>148</v>
      </c>
      <c r="B3" s="46">
        <v>16474292</v>
      </c>
      <c r="C3" s="46" t="s">
        <v>163</v>
      </c>
      <c r="D3" s="46" t="s">
        <v>149</v>
      </c>
      <c r="E3" s="36" t="s">
        <v>150</v>
      </c>
      <c r="F3" s="36" t="s">
        <v>151</v>
      </c>
      <c r="G3" s="36" t="s">
        <v>108</v>
      </c>
      <c r="H3" s="36" t="s">
        <v>152</v>
      </c>
      <c r="I3" s="36" t="s">
        <v>153</v>
      </c>
      <c r="J3" s="36" t="s">
        <v>154</v>
      </c>
      <c r="K3" s="36">
        <v>1</v>
      </c>
      <c r="L3" s="47">
        <v>41080</v>
      </c>
      <c r="M3" s="36">
        <f>DAY(L3)</f>
        <v>20</v>
      </c>
      <c r="N3" s="36">
        <f>MONTH(L3)</f>
        <v>6</v>
      </c>
      <c r="O3" s="36">
        <f>YEAR(L3)</f>
        <v>2012</v>
      </c>
      <c r="P3" s="84">
        <v>450</v>
      </c>
      <c r="Q3" t="s">
        <v>162</v>
      </c>
      <c r="R3" s="1">
        <f>P3*6</f>
        <v>2700</v>
      </c>
      <c r="T3" s="36"/>
      <c r="U3" s="46"/>
      <c r="V3" s="46"/>
      <c r="W3" s="46"/>
      <c r="X3" s="36"/>
      <c r="Y3" s="82"/>
      <c r="Z3" s="51" t="str">
        <f t="shared" si="0"/>
        <v/>
      </c>
      <c r="AA3" s="51" t="str">
        <f t="shared" si="1"/>
        <v/>
      </c>
      <c r="AB3" s="51" t="str">
        <f t="shared" si="2"/>
        <v/>
      </c>
    </row>
    <row r="4" spans="1:28" s="51" customFormat="1">
      <c r="A4" s="36" t="s">
        <v>131</v>
      </c>
      <c r="B4" s="46">
        <v>228021996</v>
      </c>
      <c r="C4" s="46" t="s">
        <v>146</v>
      </c>
      <c r="D4" s="46" t="s">
        <v>132</v>
      </c>
      <c r="E4" s="36" t="s">
        <v>133</v>
      </c>
      <c r="F4" s="36" t="s">
        <v>134</v>
      </c>
      <c r="G4" s="36" t="s">
        <v>135</v>
      </c>
      <c r="H4" s="36" t="s">
        <v>136</v>
      </c>
      <c r="I4" s="36" t="s">
        <v>137</v>
      </c>
      <c r="J4" s="36" t="s">
        <v>138</v>
      </c>
      <c r="K4" s="36">
        <v>1</v>
      </c>
      <c r="L4" s="47">
        <v>41004</v>
      </c>
      <c r="M4" s="36">
        <f>DAY(L4)</f>
        <v>5</v>
      </c>
      <c r="N4" s="36">
        <f>MONTH(L4)</f>
        <v>4</v>
      </c>
      <c r="O4" s="36">
        <f>YEAR(L4)</f>
        <v>2012</v>
      </c>
      <c r="P4" s="84">
        <v>695</v>
      </c>
      <c r="Q4"/>
      <c r="R4" s="1">
        <f>P4*6</f>
        <v>4170</v>
      </c>
      <c r="T4" s="36"/>
      <c r="U4" s="46"/>
      <c r="V4" s="46"/>
      <c r="W4" s="46"/>
      <c r="X4" s="36"/>
      <c r="Y4" s="82"/>
      <c r="Z4" s="51" t="str">
        <f t="shared" si="0"/>
        <v/>
      </c>
      <c r="AA4" s="51" t="str">
        <f t="shared" si="1"/>
        <v/>
      </c>
      <c r="AB4" s="51" t="str">
        <f t="shared" si="2"/>
        <v/>
      </c>
    </row>
    <row r="5" spans="1:28" s="51" customFormat="1">
      <c r="A5" s="36" t="s">
        <v>203</v>
      </c>
      <c r="B5" s="46" t="s">
        <v>205</v>
      </c>
      <c r="C5" s="36" t="s">
        <v>204</v>
      </c>
      <c r="D5" s="36" t="s">
        <v>206</v>
      </c>
      <c r="E5" s="36" t="s">
        <v>230</v>
      </c>
      <c r="F5" s="36" t="s">
        <v>231</v>
      </c>
      <c r="G5" s="36" t="s">
        <v>80</v>
      </c>
      <c r="H5" s="36" t="s">
        <v>232</v>
      </c>
      <c r="I5" s="36" t="s">
        <v>208</v>
      </c>
      <c r="J5" s="36" t="s">
        <v>207</v>
      </c>
      <c r="K5" s="36">
        <v>1</v>
      </c>
      <c r="L5" s="47">
        <v>41503</v>
      </c>
      <c r="M5" s="36">
        <v>17</v>
      </c>
      <c r="N5" s="36">
        <v>8</v>
      </c>
      <c r="O5" s="36">
        <v>2013</v>
      </c>
      <c r="P5" s="84">
        <v>425</v>
      </c>
      <c r="Q5" s="48">
        <f>ROUNDUP((P5*1.1294),2)</f>
        <v>480</v>
      </c>
      <c r="R5" s="48">
        <f>Q5*6</f>
        <v>2880</v>
      </c>
      <c r="T5" s="51" t="s">
        <v>165</v>
      </c>
      <c r="U5" s="51" t="s">
        <v>282</v>
      </c>
      <c r="Y5" s="82"/>
      <c r="Z5" s="51" t="str">
        <f t="shared" si="0"/>
        <v/>
      </c>
      <c r="AA5" s="51" t="str">
        <f t="shared" si="1"/>
        <v/>
      </c>
      <c r="AB5" s="51" t="str">
        <f t="shared" si="2"/>
        <v/>
      </c>
    </row>
    <row r="6" spans="1:28" s="51" customFormat="1">
      <c r="A6" s="85" t="s">
        <v>26</v>
      </c>
      <c r="B6" s="46">
        <v>355986255</v>
      </c>
      <c r="C6" s="36" t="s">
        <v>69</v>
      </c>
      <c r="D6" s="36" t="s">
        <v>27</v>
      </c>
      <c r="E6" s="36" t="s">
        <v>28</v>
      </c>
      <c r="F6" s="36" t="s">
        <v>29</v>
      </c>
      <c r="G6" s="36" t="s">
        <v>81</v>
      </c>
      <c r="H6" s="36" t="s">
        <v>30</v>
      </c>
      <c r="I6" s="36" t="s">
        <v>31</v>
      </c>
      <c r="J6" s="86" t="s">
        <v>185</v>
      </c>
      <c r="K6" s="36">
        <v>1</v>
      </c>
      <c r="L6" s="58">
        <v>40488</v>
      </c>
      <c r="M6" s="36">
        <f>DAY(L6)</f>
        <v>6</v>
      </c>
      <c r="N6" s="36">
        <f>MONTH(L6)</f>
        <v>11</v>
      </c>
      <c r="O6" s="36">
        <f>YEAR(L6)</f>
        <v>2010</v>
      </c>
      <c r="P6" s="87">
        <v>425</v>
      </c>
      <c r="Q6" s="48">
        <f>ROUNDUP((P6*1.1294),2)</f>
        <v>480</v>
      </c>
      <c r="R6" s="48">
        <v>2101.5</v>
      </c>
      <c r="T6" s="51" t="s">
        <v>165</v>
      </c>
      <c r="U6" s="51" t="s">
        <v>283</v>
      </c>
      <c r="Y6" s="82"/>
      <c r="Z6" s="51" t="str">
        <f t="shared" si="0"/>
        <v/>
      </c>
      <c r="AA6" s="51" t="str">
        <f t="shared" si="1"/>
        <v/>
      </c>
      <c r="AB6" s="51" t="str">
        <f t="shared" si="2"/>
        <v/>
      </c>
    </row>
    <row r="7" spans="1:28" s="51" customFormat="1">
      <c r="A7" s="36" t="s">
        <v>55</v>
      </c>
      <c r="B7" s="46">
        <v>17141448</v>
      </c>
      <c r="C7" s="36" t="s">
        <v>66</v>
      </c>
      <c r="D7" s="36" t="s">
        <v>56</v>
      </c>
      <c r="E7" s="36" t="s">
        <v>57</v>
      </c>
      <c r="F7" s="36" t="s">
        <v>58</v>
      </c>
      <c r="G7" s="36" t="s">
        <v>81</v>
      </c>
      <c r="H7" s="36" t="s">
        <v>59</v>
      </c>
      <c r="I7" s="36" t="s">
        <v>73</v>
      </c>
      <c r="J7" s="86" t="s">
        <v>60</v>
      </c>
      <c r="K7" s="36">
        <v>1</v>
      </c>
      <c r="L7" s="47">
        <v>40492</v>
      </c>
      <c r="M7" s="36">
        <f>DAY(L7)</f>
        <v>10</v>
      </c>
      <c r="N7" s="36">
        <f>MONTH(L7)</f>
        <v>11</v>
      </c>
      <c r="O7" s="36">
        <f>YEAR(L7)</f>
        <v>2010</v>
      </c>
      <c r="P7" s="84">
        <v>425</v>
      </c>
      <c r="Q7" s="48">
        <f>ROUNDUP((P7*1.1294),2)</f>
        <v>480</v>
      </c>
      <c r="R7" s="48">
        <f>Q7*6</f>
        <v>2880</v>
      </c>
      <c r="U7" s="51" t="s">
        <v>282</v>
      </c>
      <c r="Y7" s="82"/>
      <c r="Z7" s="51" t="str">
        <f t="shared" si="0"/>
        <v/>
      </c>
      <c r="AA7" s="51" t="str">
        <f t="shared" si="1"/>
        <v/>
      </c>
      <c r="AB7" s="51" t="str">
        <f t="shared" si="2"/>
        <v/>
      </c>
    </row>
    <row r="8" spans="1:28" s="51" customFormat="1">
      <c r="A8" s="36" t="s">
        <v>324</v>
      </c>
      <c r="B8" s="46">
        <v>51547922</v>
      </c>
      <c r="C8" s="51">
        <v>94316066820</v>
      </c>
      <c r="D8" s="36" t="s">
        <v>325</v>
      </c>
      <c r="E8" s="36" t="s">
        <v>326</v>
      </c>
      <c r="F8" s="36" t="s">
        <v>327</v>
      </c>
      <c r="G8" s="36" t="s">
        <v>81</v>
      </c>
      <c r="H8" s="46">
        <v>6794090</v>
      </c>
      <c r="I8" s="88" t="s">
        <v>328</v>
      </c>
      <c r="J8" s="36" t="s">
        <v>329</v>
      </c>
      <c r="K8" s="36">
        <v>1</v>
      </c>
      <c r="L8" s="47">
        <v>41900</v>
      </c>
      <c r="M8" s="36">
        <v>18</v>
      </c>
      <c r="N8" s="36">
        <v>9</v>
      </c>
      <c r="O8" s="36">
        <v>2014</v>
      </c>
      <c r="P8" s="84">
        <v>480</v>
      </c>
      <c r="Q8" s="48">
        <v>654</v>
      </c>
      <c r="R8" s="48">
        <f>Q8*3</f>
        <v>1962</v>
      </c>
      <c r="U8" s="51" t="s">
        <v>358</v>
      </c>
      <c r="Y8" s="82"/>
      <c r="Z8" s="51" t="str">
        <f t="shared" si="0"/>
        <v/>
      </c>
      <c r="AA8" s="51" t="str">
        <f t="shared" si="1"/>
        <v/>
      </c>
      <c r="AB8" s="51" t="str">
        <f t="shared" si="2"/>
        <v/>
      </c>
    </row>
    <row r="9" spans="1:28" s="51" customFormat="1">
      <c r="A9" s="36" t="s">
        <v>32</v>
      </c>
      <c r="B9" s="46" t="s">
        <v>33</v>
      </c>
      <c r="C9" s="36" t="s">
        <v>64</v>
      </c>
      <c r="D9" s="36" t="s">
        <v>34</v>
      </c>
      <c r="E9" s="36" t="s">
        <v>35</v>
      </c>
      <c r="F9" s="36" t="s">
        <v>36</v>
      </c>
      <c r="G9" s="36" t="s">
        <v>81</v>
      </c>
      <c r="H9" s="36" t="s">
        <v>37</v>
      </c>
      <c r="I9" s="36" t="s">
        <v>38</v>
      </c>
      <c r="J9" s="86" t="s">
        <v>39</v>
      </c>
      <c r="K9" s="36">
        <v>1</v>
      </c>
      <c r="L9" s="47">
        <v>40500</v>
      </c>
      <c r="M9" s="36">
        <f>DAY(L9)</f>
        <v>18</v>
      </c>
      <c r="N9" s="36">
        <f>MONTH(L9)</f>
        <v>11</v>
      </c>
      <c r="O9" s="36">
        <f>YEAR(L9)</f>
        <v>2010</v>
      </c>
      <c r="P9" s="84">
        <v>390</v>
      </c>
      <c r="Q9" s="48">
        <v>480</v>
      </c>
      <c r="R9" s="48">
        <f t="shared" ref="R9:R18" si="3">Q9*6</f>
        <v>2880</v>
      </c>
      <c r="U9" s="51" t="s">
        <v>282</v>
      </c>
      <c r="Y9" s="82"/>
      <c r="Z9" s="51" t="str">
        <f t="shared" si="0"/>
        <v/>
      </c>
      <c r="AA9" s="51" t="str">
        <f t="shared" si="1"/>
        <v/>
      </c>
      <c r="AB9" s="51" t="str">
        <f t="shared" si="2"/>
        <v/>
      </c>
    </row>
    <row r="10" spans="1:28" s="51" customFormat="1">
      <c r="A10" s="36" t="s">
        <v>114</v>
      </c>
      <c r="B10" s="46" t="s">
        <v>115</v>
      </c>
      <c r="C10" s="36" t="s">
        <v>116</v>
      </c>
      <c r="D10" s="36" t="s">
        <v>117</v>
      </c>
      <c r="E10" s="36" t="s">
        <v>118</v>
      </c>
      <c r="F10" s="36" t="s">
        <v>119</v>
      </c>
      <c r="G10" s="36" t="s">
        <v>82</v>
      </c>
      <c r="H10" s="36" t="s">
        <v>120</v>
      </c>
      <c r="I10" s="36" t="s">
        <v>121</v>
      </c>
      <c r="J10" s="86" t="s">
        <v>122</v>
      </c>
      <c r="K10" s="36">
        <v>1</v>
      </c>
      <c r="L10" s="47">
        <v>40951</v>
      </c>
      <c r="M10" s="36">
        <f>DAY(L10)</f>
        <v>12</v>
      </c>
      <c r="N10" s="36">
        <f>MONTH(L10)</f>
        <v>2</v>
      </c>
      <c r="O10" s="36">
        <f>YEAR(L10)</f>
        <v>2012</v>
      </c>
      <c r="P10" s="84">
        <v>480</v>
      </c>
      <c r="Q10" s="48">
        <v>542.12</v>
      </c>
      <c r="R10" s="48">
        <f t="shared" si="3"/>
        <v>3252.7200000000003</v>
      </c>
      <c r="U10" s="51" t="s">
        <v>282</v>
      </c>
      <c r="Y10" s="82"/>
      <c r="Z10" s="51" t="str">
        <f t="shared" si="0"/>
        <v/>
      </c>
      <c r="AA10" s="51" t="str">
        <f t="shared" si="1"/>
        <v/>
      </c>
      <c r="AB10" s="51" t="str">
        <f t="shared" si="2"/>
        <v/>
      </c>
    </row>
    <row r="11" spans="1:28" s="51" customFormat="1">
      <c r="A11" s="36" t="s">
        <v>351</v>
      </c>
      <c r="B11" s="46" t="s">
        <v>352</v>
      </c>
      <c r="C11" s="36">
        <v>83653740720</v>
      </c>
      <c r="D11" s="36" t="s">
        <v>353</v>
      </c>
      <c r="E11" s="36" t="s">
        <v>354</v>
      </c>
      <c r="F11" s="36" t="s">
        <v>63</v>
      </c>
      <c r="G11" s="36" t="s">
        <v>81</v>
      </c>
      <c r="H11" s="36" t="s">
        <v>355</v>
      </c>
      <c r="I11" s="36" t="s">
        <v>356</v>
      </c>
      <c r="J11" s="36" t="s">
        <v>357</v>
      </c>
      <c r="K11" s="36">
        <v>2</v>
      </c>
      <c r="L11" s="47">
        <v>41861</v>
      </c>
      <c r="M11" s="36">
        <v>10</v>
      </c>
      <c r="N11" s="36">
        <v>8</v>
      </c>
      <c r="O11" s="36">
        <v>2014</v>
      </c>
      <c r="P11" s="84">
        <v>912</v>
      </c>
      <c r="Q11" s="48">
        <f>P11</f>
        <v>912</v>
      </c>
      <c r="R11" s="48">
        <f t="shared" si="3"/>
        <v>5472</v>
      </c>
      <c r="Y11" s="82"/>
      <c r="Z11" s="51" t="str">
        <f t="shared" si="0"/>
        <v/>
      </c>
      <c r="AA11" s="51" t="str">
        <f t="shared" si="1"/>
        <v/>
      </c>
      <c r="AB11" s="51" t="str">
        <f t="shared" si="2"/>
        <v/>
      </c>
    </row>
    <row r="12" spans="1:28" s="51" customFormat="1">
      <c r="A12" s="36" t="s">
        <v>363</v>
      </c>
      <c r="B12" s="46" t="s">
        <v>364</v>
      </c>
      <c r="C12" s="36" t="s">
        <v>380</v>
      </c>
      <c r="D12" s="36" t="s">
        <v>365</v>
      </c>
      <c r="E12" s="36" t="s">
        <v>381</v>
      </c>
      <c r="F12" s="36" t="s">
        <v>366</v>
      </c>
      <c r="G12" s="36" t="s">
        <v>81</v>
      </c>
      <c r="H12" s="36" t="s">
        <v>367</v>
      </c>
      <c r="I12" s="36" t="s">
        <v>368</v>
      </c>
      <c r="J12" s="86" t="s">
        <v>369</v>
      </c>
      <c r="K12" s="36">
        <v>1</v>
      </c>
      <c r="L12" s="47">
        <v>41933</v>
      </c>
      <c r="M12" s="36">
        <v>21</v>
      </c>
      <c r="N12" s="36">
        <v>10</v>
      </c>
      <c r="O12" s="36">
        <v>2014</v>
      </c>
      <c r="P12" s="84">
        <v>480</v>
      </c>
      <c r="Q12" s="48">
        <f>P12</f>
        <v>480</v>
      </c>
      <c r="R12" s="48">
        <f t="shared" si="3"/>
        <v>2880</v>
      </c>
      <c r="Y12" s="82"/>
      <c r="Z12" s="51" t="str">
        <f t="shared" si="0"/>
        <v/>
      </c>
      <c r="AA12" s="51" t="str">
        <f t="shared" si="1"/>
        <v/>
      </c>
      <c r="AB12" s="51" t="str">
        <f t="shared" si="2"/>
        <v/>
      </c>
    </row>
    <row r="13" spans="1:28">
      <c r="A13" s="36" t="s">
        <v>370</v>
      </c>
      <c r="B13" s="57">
        <v>13270736</v>
      </c>
      <c r="C13" s="37" t="s">
        <v>371</v>
      </c>
      <c r="D13" s="37" t="s">
        <v>372</v>
      </c>
      <c r="E13" s="36" t="s">
        <v>373</v>
      </c>
      <c r="F13" s="37" t="s">
        <v>374</v>
      </c>
      <c r="G13" s="36" t="s">
        <v>81</v>
      </c>
      <c r="H13" s="57">
        <v>1304000</v>
      </c>
      <c r="I13" s="37" t="s">
        <v>375</v>
      </c>
      <c r="J13" s="36" t="s">
        <v>376</v>
      </c>
      <c r="K13" s="36">
        <v>1</v>
      </c>
      <c r="L13" s="89" t="s">
        <v>377</v>
      </c>
      <c r="M13" s="37">
        <v>23</v>
      </c>
      <c r="N13" s="37">
        <v>10</v>
      </c>
      <c r="O13" s="37">
        <v>2014</v>
      </c>
      <c r="P13" s="90">
        <v>480</v>
      </c>
      <c r="Q13" s="61">
        <f>P13</f>
        <v>480</v>
      </c>
      <c r="R13" s="48">
        <f t="shared" si="3"/>
        <v>2880</v>
      </c>
      <c r="Z13" s="51" t="str">
        <f t="shared" si="0"/>
        <v/>
      </c>
      <c r="AA13" s="51" t="str">
        <f t="shared" si="1"/>
        <v/>
      </c>
      <c r="AB13" s="51" t="str">
        <f t="shared" si="2"/>
        <v/>
      </c>
    </row>
    <row r="14" spans="1:28">
      <c r="A14" s="36" t="s">
        <v>313</v>
      </c>
      <c r="B14" s="57">
        <v>21976363</v>
      </c>
      <c r="C14" s="37" t="s">
        <v>359</v>
      </c>
      <c r="D14" s="37" t="s">
        <v>314</v>
      </c>
      <c r="E14" s="36" t="s">
        <v>315</v>
      </c>
      <c r="F14" s="37" t="s">
        <v>23</v>
      </c>
      <c r="G14" s="36" t="s">
        <v>81</v>
      </c>
      <c r="H14" s="57">
        <v>5036040</v>
      </c>
      <c r="I14" s="37" t="s">
        <v>316</v>
      </c>
      <c r="J14" s="36" t="s">
        <v>281</v>
      </c>
      <c r="K14" s="36">
        <v>1</v>
      </c>
      <c r="L14" s="89">
        <v>41884</v>
      </c>
      <c r="M14" s="37">
        <v>2</v>
      </c>
      <c r="N14" s="37">
        <v>9</v>
      </c>
      <c r="O14" s="37">
        <v>2014</v>
      </c>
      <c r="P14" s="90">
        <v>480</v>
      </c>
      <c r="Q14" s="61">
        <f>P14</f>
        <v>480</v>
      </c>
      <c r="R14" s="48">
        <f t="shared" si="3"/>
        <v>2880</v>
      </c>
      <c r="U14" t="s">
        <v>378</v>
      </c>
      <c r="Z14" s="51" t="str">
        <f t="shared" si="0"/>
        <v/>
      </c>
      <c r="AA14" s="51" t="str">
        <f t="shared" si="1"/>
        <v/>
      </c>
      <c r="AB14" s="51" t="str">
        <f t="shared" si="2"/>
        <v/>
      </c>
    </row>
    <row r="15" spans="1:28" s="51" customFormat="1">
      <c r="A15" s="36" t="s">
        <v>71</v>
      </c>
      <c r="B15" s="46" t="s">
        <v>15</v>
      </c>
      <c r="C15" s="36" t="s">
        <v>72</v>
      </c>
      <c r="D15" s="36" t="s">
        <v>16</v>
      </c>
      <c r="E15" s="36" t="s">
        <v>234</v>
      </c>
      <c r="F15" s="36" t="s">
        <v>233</v>
      </c>
      <c r="G15" s="36" t="s">
        <v>81</v>
      </c>
      <c r="H15" s="36" t="s">
        <v>202</v>
      </c>
      <c r="I15" s="36" t="s">
        <v>17</v>
      </c>
      <c r="J15" s="86" t="s">
        <v>54</v>
      </c>
      <c r="K15" s="36">
        <v>1</v>
      </c>
      <c r="L15" s="47">
        <v>40047</v>
      </c>
      <c r="M15" s="36">
        <f>DAY(L15)</f>
        <v>22</v>
      </c>
      <c r="N15" s="36">
        <f>MONTH(L15)</f>
        <v>8</v>
      </c>
      <c r="O15" s="36">
        <f>YEAR(L15)</f>
        <v>2009</v>
      </c>
      <c r="P15" s="84">
        <v>590</v>
      </c>
      <c r="Q15" s="48">
        <f>ROUNDUP((P15*1.1294),2)</f>
        <v>666.35</v>
      </c>
      <c r="R15" s="48">
        <f t="shared" si="3"/>
        <v>3998.1000000000004</v>
      </c>
      <c r="Y15" s="82"/>
      <c r="Z15" s="51" t="str">
        <f t="shared" si="0"/>
        <v/>
      </c>
      <c r="AA15" s="51" t="str">
        <f t="shared" si="1"/>
        <v/>
      </c>
      <c r="AB15" s="51" t="str">
        <f t="shared" si="2"/>
        <v/>
      </c>
    </row>
    <row r="16" spans="1:28" s="51" customFormat="1">
      <c r="A16" s="36" t="s">
        <v>285</v>
      </c>
      <c r="B16" s="91">
        <v>5327039</v>
      </c>
      <c r="C16" s="46" t="s">
        <v>286</v>
      </c>
      <c r="D16" s="36" t="s">
        <v>287</v>
      </c>
      <c r="E16" s="36" t="s">
        <v>288</v>
      </c>
      <c r="F16" s="36" t="s">
        <v>289</v>
      </c>
      <c r="G16" s="36" t="s">
        <v>81</v>
      </c>
      <c r="H16" s="92" t="s">
        <v>290</v>
      </c>
      <c r="I16" s="36" t="s">
        <v>291</v>
      </c>
      <c r="J16" s="36" t="s">
        <v>292</v>
      </c>
      <c r="K16" s="36">
        <v>1</v>
      </c>
      <c r="L16" s="47">
        <v>41836</v>
      </c>
      <c r="M16" s="36">
        <v>16</v>
      </c>
      <c r="N16" s="36">
        <v>7</v>
      </c>
      <c r="O16" s="36">
        <v>2014</v>
      </c>
      <c r="P16" s="84">
        <v>480</v>
      </c>
      <c r="Q16" s="93">
        <f>P16</f>
        <v>480</v>
      </c>
      <c r="R16" s="48">
        <f t="shared" si="3"/>
        <v>2880</v>
      </c>
      <c r="U16" s="51" t="s">
        <v>379</v>
      </c>
      <c r="Y16" s="82"/>
      <c r="Z16" s="51" t="str">
        <f t="shared" si="0"/>
        <v/>
      </c>
      <c r="AA16" s="51" t="str">
        <f t="shared" si="1"/>
        <v/>
      </c>
      <c r="AB16" s="51" t="str">
        <f t="shared" si="2"/>
        <v/>
      </c>
    </row>
    <row r="17" spans="1:28" s="51" customFormat="1">
      <c r="A17" s="36" t="s">
        <v>293</v>
      </c>
      <c r="B17" s="36" t="s">
        <v>294</v>
      </c>
      <c r="C17" s="36" t="s">
        <v>300</v>
      </c>
      <c r="D17" s="36" t="s">
        <v>295</v>
      </c>
      <c r="E17" s="36" t="s">
        <v>296</v>
      </c>
      <c r="F17" s="36" t="s">
        <v>297</v>
      </c>
      <c r="G17" s="36" t="s">
        <v>81</v>
      </c>
      <c r="H17" s="46">
        <v>4126000</v>
      </c>
      <c r="I17" s="36" t="s">
        <v>298</v>
      </c>
      <c r="J17" s="36" t="s">
        <v>299</v>
      </c>
      <c r="K17" s="36">
        <v>2</v>
      </c>
      <c r="L17" s="47">
        <v>41838</v>
      </c>
      <c r="M17" s="36">
        <v>18</v>
      </c>
      <c r="N17" s="36">
        <v>7</v>
      </c>
      <c r="O17" s="36">
        <v>2014</v>
      </c>
      <c r="P17" s="84">
        <v>912</v>
      </c>
      <c r="Q17" s="93">
        <f>P17</f>
        <v>912</v>
      </c>
      <c r="R17" s="48">
        <f t="shared" si="3"/>
        <v>5472</v>
      </c>
      <c r="Y17" s="82"/>
      <c r="Z17" s="51" t="str">
        <f t="shared" si="0"/>
        <v/>
      </c>
      <c r="AA17" s="51" t="str">
        <f t="shared" si="1"/>
        <v/>
      </c>
      <c r="AB17" s="51" t="str">
        <f t="shared" si="2"/>
        <v/>
      </c>
    </row>
    <row r="18" spans="1:28" s="51" customFormat="1">
      <c r="A18" s="36" t="s">
        <v>102</v>
      </c>
      <c r="B18" s="36" t="s">
        <v>103</v>
      </c>
      <c r="C18" s="36" t="s">
        <v>107</v>
      </c>
      <c r="D18" s="36" t="s">
        <v>104</v>
      </c>
      <c r="E18" s="36" t="s">
        <v>248</v>
      </c>
      <c r="F18" s="36" t="s">
        <v>63</v>
      </c>
      <c r="G18" s="36" t="s">
        <v>81</v>
      </c>
      <c r="H18" s="36" t="s">
        <v>105</v>
      </c>
      <c r="I18" s="52" t="s">
        <v>244</v>
      </c>
      <c r="J18" s="36" t="s">
        <v>106</v>
      </c>
      <c r="K18" s="36">
        <v>1</v>
      </c>
      <c r="L18" s="47">
        <v>40815</v>
      </c>
      <c r="M18" s="36">
        <f>DAY(L18)</f>
        <v>29</v>
      </c>
      <c r="N18" s="36">
        <f>MONTH(L18)</f>
        <v>9</v>
      </c>
      <c r="O18" s="36">
        <f>YEAR(L18)</f>
        <v>2011</v>
      </c>
      <c r="P18" s="84">
        <v>425</v>
      </c>
      <c r="Q18" s="48">
        <v>380</v>
      </c>
      <c r="R18" s="48">
        <f t="shared" si="3"/>
        <v>2280</v>
      </c>
      <c r="U18" s="51" t="s">
        <v>378</v>
      </c>
      <c r="Y18" s="82"/>
      <c r="Z18" s="51" t="str">
        <f t="shared" si="0"/>
        <v/>
      </c>
      <c r="AA18" s="51" t="str">
        <f t="shared" si="1"/>
        <v/>
      </c>
      <c r="AB18" s="51" t="str">
        <f t="shared" si="2"/>
        <v/>
      </c>
    </row>
    <row r="19" spans="1:28">
      <c r="A19" s="37" t="s">
        <v>402</v>
      </c>
      <c r="B19" s="37" t="s">
        <v>403</v>
      </c>
      <c r="C19" s="36" t="s">
        <v>416</v>
      </c>
      <c r="D19" t="s">
        <v>404</v>
      </c>
      <c r="E19" s="36" t="s">
        <v>405</v>
      </c>
      <c r="F19" s="37" t="s">
        <v>406</v>
      </c>
      <c r="G19" s="36" t="s">
        <v>108</v>
      </c>
      <c r="H19" s="37"/>
      <c r="I19" s="37" t="s">
        <v>407</v>
      </c>
      <c r="J19" s="36" t="s">
        <v>408</v>
      </c>
      <c r="K19" s="36">
        <v>2</v>
      </c>
      <c r="L19" s="56">
        <v>42063</v>
      </c>
      <c r="M19" s="37">
        <v>28</v>
      </c>
      <c r="N19" s="37">
        <v>2</v>
      </c>
      <c r="O19" s="37">
        <v>2015</v>
      </c>
      <c r="P19" s="90">
        <v>3600</v>
      </c>
      <c r="Q19" s="61">
        <v>900</v>
      </c>
      <c r="R19" s="37">
        <v>900</v>
      </c>
      <c r="Z19" s="51" t="str">
        <f t="shared" si="0"/>
        <v/>
      </c>
      <c r="AA19" s="51" t="str">
        <f t="shared" si="1"/>
        <v/>
      </c>
      <c r="AB19" s="51" t="str">
        <f t="shared" si="2"/>
        <v/>
      </c>
    </row>
    <row r="20" spans="1:28" s="51" customFormat="1">
      <c r="A20" s="36" t="s">
        <v>124</v>
      </c>
      <c r="B20" s="46">
        <v>4370568972</v>
      </c>
      <c r="C20" s="46" t="s">
        <v>130</v>
      </c>
      <c r="D20" s="46" t="s">
        <v>125</v>
      </c>
      <c r="E20" s="36" t="s">
        <v>126</v>
      </c>
      <c r="F20" s="36" t="s">
        <v>62</v>
      </c>
      <c r="G20" s="36" t="s">
        <v>81</v>
      </c>
      <c r="H20" s="36" t="s">
        <v>127</v>
      </c>
      <c r="I20" s="36" t="s">
        <v>128</v>
      </c>
      <c r="J20" s="36" t="s">
        <v>129</v>
      </c>
      <c r="K20" s="36">
        <v>1</v>
      </c>
      <c r="L20" s="47">
        <v>40995</v>
      </c>
      <c r="M20" s="36">
        <f t="shared" ref="M20:M25" si="4">DAY(L20)</f>
        <v>27</v>
      </c>
      <c r="N20" s="36">
        <f t="shared" ref="N20:N25" si="5">MONTH(L20)</f>
        <v>3</v>
      </c>
      <c r="O20" s="36">
        <f t="shared" ref="O20:O25" si="6">YEAR(L20)</f>
        <v>2012</v>
      </c>
      <c r="P20" s="84">
        <v>425</v>
      </c>
      <c r="Q20" s="48">
        <f>ROUNDUP((P20*1.1294),2)</f>
        <v>480</v>
      </c>
      <c r="R20" s="48">
        <f t="shared" ref="R20:R25" si="7">Q20*6</f>
        <v>2880</v>
      </c>
      <c r="T20" s="36"/>
      <c r="V20" s="46"/>
      <c r="W20" s="46"/>
      <c r="X20" s="36"/>
      <c r="Y20" s="82"/>
      <c r="Z20" s="51" t="str">
        <f t="shared" si="0"/>
        <v/>
      </c>
      <c r="AA20" s="51" t="str">
        <f t="shared" si="1"/>
        <v/>
      </c>
      <c r="AB20" s="51" t="str">
        <f t="shared" si="2"/>
        <v/>
      </c>
    </row>
    <row r="21" spans="1:28" s="51" customFormat="1">
      <c r="A21" s="36" t="s">
        <v>74</v>
      </c>
      <c r="B21" s="46">
        <v>81151792</v>
      </c>
      <c r="C21" s="36" t="s">
        <v>78</v>
      </c>
      <c r="D21" s="36" t="s">
        <v>75</v>
      </c>
      <c r="E21" s="36" t="s">
        <v>99</v>
      </c>
      <c r="F21" s="36" t="s">
        <v>100</v>
      </c>
      <c r="G21" s="36" t="s">
        <v>81</v>
      </c>
      <c r="H21" s="36" t="s">
        <v>101</v>
      </c>
      <c r="I21" s="36" t="s">
        <v>76</v>
      </c>
      <c r="J21" s="86" t="s">
        <v>77</v>
      </c>
      <c r="K21" s="36">
        <v>1</v>
      </c>
      <c r="L21" s="47">
        <v>40551</v>
      </c>
      <c r="M21" s="36">
        <f t="shared" si="4"/>
        <v>8</v>
      </c>
      <c r="N21" s="36">
        <f t="shared" si="5"/>
        <v>1</v>
      </c>
      <c r="O21" s="36">
        <f t="shared" si="6"/>
        <v>2011</v>
      </c>
      <c r="P21" s="84">
        <v>415</v>
      </c>
      <c r="Q21" s="48">
        <f>ROUNDUP((P21*1.1294),2)</f>
        <v>468.71</v>
      </c>
      <c r="R21" s="48">
        <f t="shared" si="7"/>
        <v>2812.2599999999998</v>
      </c>
      <c r="U21" s="51" t="s">
        <v>445</v>
      </c>
      <c r="Y21" s="82"/>
      <c r="Z21" s="51" t="str">
        <f t="shared" si="0"/>
        <v/>
      </c>
      <c r="AA21" s="51" t="str">
        <f t="shared" si="1"/>
        <v/>
      </c>
      <c r="AB21" s="51" t="str">
        <f t="shared" si="2"/>
        <v/>
      </c>
    </row>
    <row r="22" spans="1:28" s="51" customFormat="1">
      <c r="A22" s="36" t="s">
        <v>335</v>
      </c>
      <c r="B22" s="46" t="s">
        <v>336</v>
      </c>
      <c r="C22" s="54" t="s">
        <v>337</v>
      </c>
      <c r="D22" s="36" t="s">
        <v>338</v>
      </c>
      <c r="E22" s="36" t="s">
        <v>339</v>
      </c>
      <c r="F22" s="36" t="s">
        <v>340</v>
      </c>
      <c r="G22" s="36" t="s">
        <v>265</v>
      </c>
      <c r="H22" s="36" t="s">
        <v>341</v>
      </c>
      <c r="I22" s="36" t="s">
        <v>342</v>
      </c>
      <c r="J22" s="36" t="s">
        <v>343</v>
      </c>
      <c r="K22" s="36">
        <v>1</v>
      </c>
      <c r="L22" s="47">
        <v>41878</v>
      </c>
      <c r="M22" s="36">
        <f t="shared" si="4"/>
        <v>27</v>
      </c>
      <c r="N22" s="36">
        <f t="shared" si="5"/>
        <v>8</v>
      </c>
      <c r="O22" s="36">
        <f t="shared" si="6"/>
        <v>2014</v>
      </c>
      <c r="P22" s="84">
        <v>550</v>
      </c>
      <c r="Q22" s="48">
        <f>P22</f>
        <v>550</v>
      </c>
      <c r="R22" s="48">
        <f t="shared" si="7"/>
        <v>3300</v>
      </c>
      <c r="U22" s="51" t="s">
        <v>445</v>
      </c>
      <c r="Y22" s="82"/>
      <c r="Z22" s="51" t="str">
        <f t="shared" si="0"/>
        <v/>
      </c>
      <c r="AA22" s="51" t="str">
        <f t="shared" si="1"/>
        <v/>
      </c>
      <c r="AB22" s="51" t="str">
        <f t="shared" si="2"/>
        <v/>
      </c>
    </row>
    <row r="23" spans="1:28" s="51" customFormat="1">
      <c r="A23" s="36" t="s">
        <v>307</v>
      </c>
      <c r="B23" s="46">
        <v>305433945</v>
      </c>
      <c r="C23" s="46" t="s">
        <v>450</v>
      </c>
      <c r="D23" s="36" t="s">
        <v>308</v>
      </c>
      <c r="E23" s="36" t="s">
        <v>309</v>
      </c>
      <c r="F23" s="36" t="s">
        <v>310</v>
      </c>
      <c r="G23" s="36" t="s">
        <v>81</v>
      </c>
      <c r="H23" s="46">
        <v>4273200</v>
      </c>
      <c r="I23" s="36" t="s">
        <v>311</v>
      </c>
      <c r="J23" s="36" t="s">
        <v>312</v>
      </c>
      <c r="K23" s="36">
        <v>1</v>
      </c>
      <c r="L23" s="47">
        <v>41860</v>
      </c>
      <c r="M23" s="36">
        <f t="shared" si="4"/>
        <v>9</v>
      </c>
      <c r="N23" s="36">
        <f t="shared" si="5"/>
        <v>8</v>
      </c>
      <c r="O23" s="36">
        <f t="shared" si="6"/>
        <v>2014</v>
      </c>
      <c r="P23" s="84">
        <v>480</v>
      </c>
      <c r="Q23" s="48">
        <f>P23</f>
        <v>480</v>
      </c>
      <c r="R23" s="48">
        <f t="shared" si="7"/>
        <v>2880</v>
      </c>
      <c r="T23" s="51" t="s">
        <v>165</v>
      </c>
      <c r="U23" s="51" t="s">
        <v>445</v>
      </c>
      <c r="Y23" s="82"/>
      <c r="Z23" s="51" t="str">
        <f t="shared" si="0"/>
        <v/>
      </c>
      <c r="AA23" s="51" t="str">
        <f t="shared" si="1"/>
        <v/>
      </c>
      <c r="AB23" s="51" t="str">
        <f t="shared" si="2"/>
        <v/>
      </c>
    </row>
    <row r="24" spans="1:28" s="51" customFormat="1">
      <c r="A24" s="86" t="s">
        <v>109</v>
      </c>
      <c r="B24" s="46">
        <v>277595277</v>
      </c>
      <c r="C24" s="36" t="s">
        <v>113</v>
      </c>
      <c r="D24" s="36" t="s">
        <v>110</v>
      </c>
      <c r="E24" s="36" t="s">
        <v>228</v>
      </c>
      <c r="F24" s="36" t="s">
        <v>229</v>
      </c>
      <c r="G24" s="36" t="s">
        <v>81</v>
      </c>
      <c r="H24" s="36" t="s">
        <v>245</v>
      </c>
      <c r="I24" s="36" t="s">
        <v>111</v>
      </c>
      <c r="J24" s="36" t="s">
        <v>112</v>
      </c>
      <c r="K24" s="36">
        <v>1</v>
      </c>
      <c r="L24" s="47">
        <v>40927</v>
      </c>
      <c r="M24" s="36">
        <f t="shared" si="4"/>
        <v>19</v>
      </c>
      <c r="N24" s="36">
        <f t="shared" si="5"/>
        <v>1</v>
      </c>
      <c r="O24" s="36">
        <f t="shared" si="6"/>
        <v>2012</v>
      </c>
      <c r="P24" s="84">
        <v>390</v>
      </c>
      <c r="Q24" s="48">
        <v>480</v>
      </c>
      <c r="R24" s="48">
        <f t="shared" si="7"/>
        <v>2880</v>
      </c>
      <c r="U24" s="51" t="s">
        <v>445</v>
      </c>
      <c r="Y24" s="82"/>
      <c r="Z24" s="51" t="str">
        <f t="shared" si="0"/>
        <v/>
      </c>
      <c r="AA24" s="51" t="str">
        <f t="shared" si="1"/>
        <v/>
      </c>
      <c r="AB24" s="51" t="str">
        <f t="shared" si="2"/>
        <v/>
      </c>
    </row>
    <row r="25" spans="1:28" s="51" customFormat="1">
      <c r="A25" s="36" t="s">
        <v>249</v>
      </c>
      <c r="B25" s="46">
        <v>300910010</v>
      </c>
      <c r="C25" s="36" t="s">
        <v>453</v>
      </c>
      <c r="D25" s="36" t="s">
        <v>250</v>
      </c>
      <c r="E25" s="36" t="s">
        <v>251</v>
      </c>
      <c r="F25" s="36" t="s">
        <v>252</v>
      </c>
      <c r="G25" s="36" t="s">
        <v>81</v>
      </c>
      <c r="H25" s="36" t="s">
        <v>253</v>
      </c>
      <c r="I25" s="36" t="s">
        <v>254</v>
      </c>
      <c r="J25" s="36" t="s">
        <v>255</v>
      </c>
      <c r="K25" s="36">
        <v>1</v>
      </c>
      <c r="L25" s="47">
        <v>41683</v>
      </c>
      <c r="M25" s="36">
        <f t="shared" si="4"/>
        <v>13</v>
      </c>
      <c r="N25" s="36">
        <f t="shared" si="5"/>
        <v>2</v>
      </c>
      <c r="O25" s="36">
        <f t="shared" si="6"/>
        <v>2014</v>
      </c>
      <c r="P25" s="84">
        <v>480</v>
      </c>
      <c r="Q25" s="48">
        <v>480</v>
      </c>
      <c r="R25" s="48">
        <f t="shared" si="7"/>
        <v>2880</v>
      </c>
      <c r="U25" s="51" t="s">
        <v>445</v>
      </c>
      <c r="Y25" s="82"/>
      <c r="Z25" s="51" t="str">
        <f t="shared" si="0"/>
        <v/>
      </c>
      <c r="AA25" s="51" t="str">
        <f t="shared" si="1"/>
        <v/>
      </c>
      <c r="AB25" s="51" t="str">
        <f t="shared" si="2"/>
        <v/>
      </c>
    </row>
    <row r="26" spans="1:28" s="51" customFormat="1">
      <c r="A26" s="86" t="s">
        <v>351</v>
      </c>
      <c r="B26" s="46" t="s">
        <v>467</v>
      </c>
      <c r="C26" s="36" t="s">
        <v>496</v>
      </c>
      <c r="D26" s="36" t="s">
        <v>468</v>
      </c>
      <c r="E26" s="36" t="s">
        <v>469</v>
      </c>
      <c r="F26" s="36" t="s">
        <v>63</v>
      </c>
      <c r="G26" s="36" t="s">
        <v>81</v>
      </c>
      <c r="H26" s="36" t="s">
        <v>355</v>
      </c>
      <c r="I26" s="36" t="s">
        <v>470</v>
      </c>
      <c r="J26" s="36" t="s">
        <v>471</v>
      </c>
      <c r="K26" s="36">
        <v>1</v>
      </c>
      <c r="L26" s="58">
        <v>42183</v>
      </c>
      <c r="M26" s="36">
        <v>28</v>
      </c>
      <c r="N26" s="36">
        <v>6</v>
      </c>
      <c r="O26" s="36">
        <v>2015</v>
      </c>
      <c r="P26" s="84">
        <v>480</v>
      </c>
      <c r="Q26" s="48">
        <v>480</v>
      </c>
      <c r="R26" s="48">
        <f>Q26*3</f>
        <v>1440</v>
      </c>
      <c r="U26" s="28" t="s">
        <v>472</v>
      </c>
      <c r="V26" s="28"/>
      <c r="W26" s="28"/>
      <c r="Y26" s="82"/>
      <c r="Z26" s="51" t="str">
        <f t="shared" si="0"/>
        <v/>
      </c>
      <c r="AA26" s="51" t="str">
        <f t="shared" si="1"/>
        <v/>
      </c>
      <c r="AB26" s="51" t="str">
        <f t="shared" si="2"/>
        <v/>
      </c>
    </row>
    <row r="27" spans="1:28" s="51" customFormat="1">
      <c r="A27" s="36" t="s">
        <v>521</v>
      </c>
      <c r="B27" s="36">
        <v>13737201</v>
      </c>
      <c r="C27" s="36" t="s">
        <v>524</v>
      </c>
      <c r="D27" s="36" t="s">
        <v>525</v>
      </c>
      <c r="E27" s="36" t="s">
        <v>526</v>
      </c>
      <c r="F27" s="36" t="s">
        <v>297</v>
      </c>
      <c r="G27" s="36" t="s">
        <v>108</v>
      </c>
      <c r="H27" s="36" t="s">
        <v>527</v>
      </c>
      <c r="I27" s="36" t="s">
        <v>528</v>
      </c>
      <c r="J27" s="36" t="s">
        <v>501</v>
      </c>
      <c r="K27" s="36">
        <v>1</v>
      </c>
      <c r="L27" s="47">
        <v>42271</v>
      </c>
      <c r="M27" s="36">
        <v>28</v>
      </c>
      <c r="N27" s="36">
        <v>6</v>
      </c>
      <c r="O27" s="36">
        <v>2015</v>
      </c>
      <c r="P27" s="84">
        <v>400</v>
      </c>
      <c r="Q27" s="66">
        <v>1200</v>
      </c>
      <c r="R27" s="66"/>
      <c r="U27" s="51" t="s">
        <v>530</v>
      </c>
      <c r="Y27" s="82"/>
      <c r="Z27" s="51" t="str">
        <f t="shared" si="0"/>
        <v/>
      </c>
      <c r="AA27" s="51" t="str">
        <f t="shared" si="1"/>
        <v/>
      </c>
      <c r="AB27" s="51" t="str">
        <f t="shared" si="2"/>
        <v/>
      </c>
    </row>
    <row r="28" spans="1:28" s="51" customFormat="1">
      <c r="A28" s="36" t="s">
        <v>382</v>
      </c>
      <c r="B28" s="36">
        <v>141308254</v>
      </c>
      <c r="C28" s="36" t="s">
        <v>388</v>
      </c>
      <c r="D28" s="36" t="s">
        <v>383</v>
      </c>
      <c r="E28" s="36" t="s">
        <v>384</v>
      </c>
      <c r="F28" s="36" t="s">
        <v>385</v>
      </c>
      <c r="G28" s="36" t="s">
        <v>108</v>
      </c>
      <c r="H28" s="36" t="s">
        <v>448</v>
      </c>
      <c r="I28" s="36" t="s">
        <v>386</v>
      </c>
      <c r="J28" s="36" t="s">
        <v>387</v>
      </c>
      <c r="K28" s="36">
        <v>2</v>
      </c>
      <c r="L28" s="47">
        <v>42010</v>
      </c>
      <c r="M28" s="36">
        <f t="shared" ref="M28:M59" si="8">DAY(L28)</f>
        <v>6</v>
      </c>
      <c r="N28" s="36">
        <f t="shared" ref="N28:N59" si="9">MONTH(L28)</f>
        <v>1</v>
      </c>
      <c r="O28" s="36">
        <f t="shared" ref="O28:O59" si="10">YEAR(L28)</f>
        <v>2015</v>
      </c>
      <c r="P28" s="84">
        <v>912</v>
      </c>
      <c r="Q28" s="66">
        <v>912</v>
      </c>
      <c r="R28" s="48">
        <f>Q28*6</f>
        <v>5472</v>
      </c>
      <c r="U28" s="51" t="s">
        <v>544</v>
      </c>
      <c r="Y28" s="82"/>
      <c r="Z28" s="51" t="str">
        <f t="shared" si="0"/>
        <v/>
      </c>
      <c r="AA28" s="51" t="str">
        <f t="shared" si="1"/>
        <v/>
      </c>
      <c r="AB28" s="51" t="str">
        <f t="shared" si="2"/>
        <v/>
      </c>
    </row>
    <row r="29" spans="1:28" s="51" customFormat="1">
      <c r="A29" s="36" t="s">
        <v>317</v>
      </c>
      <c r="B29" s="36" t="s">
        <v>318</v>
      </c>
      <c r="C29" s="36" t="s">
        <v>449</v>
      </c>
      <c r="D29" s="36" t="s">
        <v>319</v>
      </c>
      <c r="E29" s="36" t="s">
        <v>320</v>
      </c>
      <c r="F29" s="36" t="s">
        <v>233</v>
      </c>
      <c r="G29" s="36" t="s">
        <v>81</v>
      </c>
      <c r="H29" s="36" t="s">
        <v>321</v>
      </c>
      <c r="I29" s="36" t="s">
        <v>322</v>
      </c>
      <c r="J29" s="36" t="s">
        <v>323</v>
      </c>
      <c r="K29" s="36">
        <v>1</v>
      </c>
      <c r="L29" s="47">
        <v>41866</v>
      </c>
      <c r="M29" s="36">
        <f t="shared" si="8"/>
        <v>15</v>
      </c>
      <c r="N29" s="36">
        <f t="shared" si="9"/>
        <v>8</v>
      </c>
      <c r="O29" s="36">
        <f t="shared" si="10"/>
        <v>2014</v>
      </c>
      <c r="P29" s="84">
        <v>480</v>
      </c>
      <c r="Q29" s="66">
        <v>480</v>
      </c>
      <c r="R29" s="48">
        <f>Q29*6</f>
        <v>2880</v>
      </c>
      <c r="U29" s="51" t="s">
        <v>544</v>
      </c>
      <c r="Y29" s="82"/>
      <c r="Z29" s="51" t="str">
        <f t="shared" si="0"/>
        <v/>
      </c>
      <c r="AA29" s="51" t="str">
        <f t="shared" si="1"/>
        <v/>
      </c>
      <c r="AB29" s="51" t="str">
        <f t="shared" si="2"/>
        <v/>
      </c>
    </row>
    <row r="30" spans="1:28" s="51" customFormat="1">
      <c r="A30" s="36" t="s">
        <v>514</v>
      </c>
      <c r="B30" s="36" t="s">
        <v>515</v>
      </c>
      <c r="C30" s="36" t="s">
        <v>523</v>
      </c>
      <c r="D30" s="36" t="s">
        <v>516</v>
      </c>
      <c r="E30" s="36" t="s">
        <v>517</v>
      </c>
      <c r="F30" s="36" t="s">
        <v>518</v>
      </c>
      <c r="G30" s="36" t="s">
        <v>108</v>
      </c>
      <c r="H30" s="36" t="s">
        <v>519</v>
      </c>
      <c r="I30" s="36" t="s">
        <v>520</v>
      </c>
      <c r="J30" s="36" t="s">
        <v>500</v>
      </c>
      <c r="K30" s="36">
        <v>1</v>
      </c>
      <c r="L30" s="47">
        <v>42266</v>
      </c>
      <c r="M30" s="36">
        <f t="shared" si="8"/>
        <v>19</v>
      </c>
      <c r="N30" s="36">
        <f t="shared" si="9"/>
        <v>9</v>
      </c>
      <c r="O30" s="36">
        <f t="shared" si="10"/>
        <v>2015</v>
      </c>
      <c r="P30" s="84"/>
      <c r="Q30" s="66">
        <v>480</v>
      </c>
      <c r="R30" s="48">
        <f>Q30*6</f>
        <v>2880</v>
      </c>
      <c r="U30" s="51" t="s">
        <v>544</v>
      </c>
      <c r="Y30" s="82"/>
      <c r="Z30" s="51" t="str">
        <f t="shared" si="0"/>
        <v/>
      </c>
      <c r="AA30" s="51" t="str">
        <f t="shared" si="1"/>
        <v/>
      </c>
      <c r="AB30" s="51" t="str">
        <f t="shared" si="2"/>
        <v/>
      </c>
    </row>
    <row r="31" spans="1:28" s="51" customFormat="1">
      <c r="A31" s="36" t="s">
        <v>483</v>
      </c>
      <c r="B31" s="36">
        <v>34361179</v>
      </c>
      <c r="C31" s="36" t="s">
        <v>498</v>
      </c>
      <c r="D31" s="36" t="s">
        <v>479</v>
      </c>
      <c r="E31" s="36" t="s">
        <v>480</v>
      </c>
      <c r="F31" s="36" t="s">
        <v>481</v>
      </c>
      <c r="G31" s="36" t="s">
        <v>108</v>
      </c>
      <c r="H31" s="36" t="s">
        <v>499</v>
      </c>
      <c r="I31" s="36" t="s">
        <v>482</v>
      </c>
      <c r="J31" s="36" t="s">
        <v>484</v>
      </c>
      <c r="K31" s="36">
        <v>1</v>
      </c>
      <c r="L31" s="47">
        <v>42225</v>
      </c>
      <c r="M31" s="36">
        <f t="shared" si="8"/>
        <v>9</v>
      </c>
      <c r="N31" s="36">
        <f t="shared" si="9"/>
        <v>8</v>
      </c>
      <c r="O31" s="36">
        <f t="shared" si="10"/>
        <v>2015</v>
      </c>
      <c r="P31" s="84">
        <v>480</v>
      </c>
      <c r="Q31" s="66">
        <v>480</v>
      </c>
      <c r="R31" s="48">
        <f>Q31*6</f>
        <v>2880</v>
      </c>
      <c r="U31" s="51" t="s">
        <v>544</v>
      </c>
      <c r="Y31" s="82"/>
      <c r="Z31" s="51" t="str">
        <f t="shared" si="0"/>
        <v/>
      </c>
      <c r="AA31" s="51" t="str">
        <f t="shared" si="1"/>
        <v/>
      </c>
      <c r="AB31" s="51" t="str">
        <f t="shared" si="2"/>
        <v/>
      </c>
    </row>
    <row r="32" spans="1:28" s="51" customFormat="1">
      <c r="A32" s="36" t="s">
        <v>557</v>
      </c>
      <c r="B32" s="36">
        <v>8229130</v>
      </c>
      <c r="C32" s="36" t="s">
        <v>590</v>
      </c>
      <c r="D32" s="36" t="s">
        <v>591</v>
      </c>
      <c r="E32" s="36" t="s">
        <v>558</v>
      </c>
      <c r="F32" s="36" t="s">
        <v>559</v>
      </c>
      <c r="G32" s="36" t="s">
        <v>108</v>
      </c>
      <c r="H32" s="36" t="s">
        <v>560</v>
      </c>
      <c r="I32" s="36" t="s">
        <v>561</v>
      </c>
      <c r="J32" s="36" t="s">
        <v>562</v>
      </c>
      <c r="K32" s="36">
        <v>1</v>
      </c>
      <c r="L32" s="47">
        <v>42392</v>
      </c>
      <c r="M32" s="36">
        <f t="shared" si="8"/>
        <v>23</v>
      </c>
      <c r="N32" s="36">
        <f t="shared" si="9"/>
        <v>1</v>
      </c>
      <c r="O32" s="36">
        <f t="shared" si="10"/>
        <v>2016</v>
      </c>
      <c r="P32" s="84"/>
      <c r="Q32" s="66">
        <v>420</v>
      </c>
      <c r="R32" s="48">
        <f>Q32*5</f>
        <v>2100</v>
      </c>
      <c r="U32" s="51" t="s">
        <v>601</v>
      </c>
      <c r="Y32" s="82"/>
      <c r="Z32" s="51" t="str">
        <f t="shared" si="0"/>
        <v/>
      </c>
      <c r="AA32" s="51" t="str">
        <f t="shared" si="1"/>
        <v/>
      </c>
      <c r="AB32" s="51" t="str">
        <f t="shared" si="2"/>
        <v/>
      </c>
    </row>
    <row r="33" spans="1:28" s="51" customFormat="1">
      <c r="A33" s="36" t="s">
        <v>507</v>
      </c>
      <c r="B33" s="36" t="s">
        <v>508</v>
      </c>
      <c r="C33" s="36" t="s">
        <v>522</v>
      </c>
      <c r="D33" s="36" t="s">
        <v>509</v>
      </c>
      <c r="E33" s="36" t="s">
        <v>510</v>
      </c>
      <c r="F33" s="36" t="s">
        <v>50</v>
      </c>
      <c r="G33" s="36" t="s">
        <v>108</v>
      </c>
      <c r="H33" s="36" t="s">
        <v>511</v>
      </c>
      <c r="I33" s="36" t="s">
        <v>512</v>
      </c>
      <c r="J33" s="36" t="s">
        <v>513</v>
      </c>
      <c r="K33" s="36">
        <v>1</v>
      </c>
      <c r="L33" s="47">
        <v>42264</v>
      </c>
      <c r="M33" s="36">
        <f t="shared" si="8"/>
        <v>17</v>
      </c>
      <c r="N33" s="36">
        <f t="shared" si="9"/>
        <v>9</v>
      </c>
      <c r="O33" s="36">
        <f t="shared" si="10"/>
        <v>2015</v>
      </c>
      <c r="P33" s="84"/>
      <c r="Q33" s="66">
        <v>400</v>
      </c>
      <c r="R33" s="48">
        <f>Q33*6</f>
        <v>2400</v>
      </c>
      <c r="U33" s="51" t="s">
        <v>604</v>
      </c>
      <c r="Y33" s="82"/>
      <c r="Z33" s="51" t="str">
        <f t="shared" si="0"/>
        <v/>
      </c>
      <c r="AA33" s="51" t="str">
        <f t="shared" si="1"/>
        <v/>
      </c>
      <c r="AB33" s="51" t="str">
        <f t="shared" si="2"/>
        <v/>
      </c>
    </row>
    <row r="34" spans="1:28" s="51" customFormat="1">
      <c r="A34" s="36" t="s">
        <v>613</v>
      </c>
      <c r="B34" s="36">
        <v>302112455</v>
      </c>
      <c r="C34" s="36" t="s">
        <v>626</v>
      </c>
      <c r="D34" s="36" t="s">
        <v>614</v>
      </c>
      <c r="E34" s="36" t="s">
        <v>615</v>
      </c>
      <c r="F34" s="36" t="s">
        <v>616</v>
      </c>
      <c r="G34" s="36" t="s">
        <v>108</v>
      </c>
      <c r="H34" s="36" t="s">
        <v>630</v>
      </c>
      <c r="I34" s="36" t="s">
        <v>617</v>
      </c>
      <c r="J34" s="36" t="s">
        <v>618</v>
      </c>
      <c r="K34" s="36">
        <v>1</v>
      </c>
      <c r="L34" s="47">
        <v>42390</v>
      </c>
      <c r="M34" s="36">
        <f t="shared" si="8"/>
        <v>21</v>
      </c>
      <c r="N34" s="36">
        <f t="shared" si="9"/>
        <v>1</v>
      </c>
      <c r="O34" s="36">
        <f t="shared" si="10"/>
        <v>2016</v>
      </c>
      <c r="P34" s="84"/>
      <c r="Q34" s="66">
        <v>480</v>
      </c>
      <c r="R34" s="48">
        <f>Q34*5</f>
        <v>2400</v>
      </c>
      <c r="Y34" s="82"/>
      <c r="Z34" s="51" t="str">
        <f t="shared" ref="Z34:Z65" si="11">IF($Y34=0,"",DAY($Y34))</f>
        <v/>
      </c>
      <c r="AA34" s="51" t="str">
        <f t="shared" ref="AA34:AA65" si="12">IF($Y34=0,"",MONTH($Y34))</f>
        <v/>
      </c>
      <c r="AB34" s="51" t="str">
        <f t="shared" ref="AB34:AB65" si="13">IF($Y34=0,"",YEAR($Y34))</f>
        <v/>
      </c>
    </row>
    <row r="35" spans="1:28" s="51" customFormat="1">
      <c r="A35" s="36" t="s">
        <v>174</v>
      </c>
      <c r="B35" s="36">
        <v>17016885</v>
      </c>
      <c r="C35" s="36" t="s">
        <v>180</v>
      </c>
      <c r="D35" s="36" t="s">
        <v>175</v>
      </c>
      <c r="E35" s="36" t="s">
        <v>176</v>
      </c>
      <c r="F35" s="36" t="s">
        <v>177</v>
      </c>
      <c r="G35" s="36" t="s">
        <v>81</v>
      </c>
      <c r="H35" s="36" t="s">
        <v>178</v>
      </c>
      <c r="I35" s="36" t="s">
        <v>179</v>
      </c>
      <c r="J35" s="36" t="s">
        <v>329</v>
      </c>
      <c r="K35" s="36">
        <v>1</v>
      </c>
      <c r="L35" s="47">
        <v>41178</v>
      </c>
      <c r="M35" s="36">
        <f t="shared" si="8"/>
        <v>26</v>
      </c>
      <c r="N35" s="36">
        <f t="shared" si="9"/>
        <v>9</v>
      </c>
      <c r="O35" s="36">
        <f t="shared" si="10"/>
        <v>2012</v>
      </c>
      <c r="P35" s="84">
        <v>1026</v>
      </c>
      <c r="Q35" s="66">
        <v>400</v>
      </c>
      <c r="R35" s="48">
        <f>Q35*6</f>
        <v>2400</v>
      </c>
      <c r="U35" s="51" t="s">
        <v>544</v>
      </c>
      <c r="Y35" s="82"/>
      <c r="Z35" s="51" t="str">
        <f t="shared" si="11"/>
        <v/>
      </c>
      <c r="AA35" s="51" t="str">
        <f t="shared" si="12"/>
        <v/>
      </c>
      <c r="AB35" s="51" t="str">
        <f t="shared" si="13"/>
        <v/>
      </c>
    </row>
    <row r="36" spans="1:28" s="51" customFormat="1">
      <c r="A36" s="36" t="s">
        <v>573</v>
      </c>
      <c r="B36" s="36">
        <v>364214041</v>
      </c>
      <c r="C36" s="36" t="s">
        <v>598</v>
      </c>
      <c r="D36" s="36" t="s">
        <v>600</v>
      </c>
      <c r="E36" s="36" t="s">
        <v>574</v>
      </c>
      <c r="F36" s="36" t="s">
        <v>575</v>
      </c>
      <c r="G36" s="36" t="s">
        <v>108</v>
      </c>
      <c r="H36" s="36" t="s">
        <v>599</v>
      </c>
      <c r="I36" s="36"/>
      <c r="J36" s="36" t="s">
        <v>576</v>
      </c>
      <c r="K36" s="36">
        <v>1</v>
      </c>
      <c r="L36" s="47">
        <v>42395</v>
      </c>
      <c r="M36" s="36">
        <f t="shared" si="8"/>
        <v>26</v>
      </c>
      <c r="N36" s="36">
        <f t="shared" si="9"/>
        <v>1</v>
      </c>
      <c r="O36" s="36">
        <f t="shared" si="10"/>
        <v>2016</v>
      </c>
      <c r="P36" s="84"/>
      <c r="Q36" s="66">
        <v>480</v>
      </c>
      <c r="R36" s="48">
        <f>Q36*5</f>
        <v>2400</v>
      </c>
      <c r="U36" s="51" t="s">
        <v>601</v>
      </c>
      <c r="Y36" s="82"/>
      <c r="Z36" s="51" t="str">
        <f t="shared" si="11"/>
        <v/>
      </c>
      <c r="AA36" s="51" t="str">
        <f t="shared" si="12"/>
        <v/>
      </c>
      <c r="AB36" s="51" t="str">
        <f t="shared" si="13"/>
        <v/>
      </c>
    </row>
    <row r="37" spans="1:28" s="51" customFormat="1">
      <c r="A37" s="36" t="s">
        <v>330</v>
      </c>
      <c r="B37" s="36">
        <v>6329430</v>
      </c>
      <c r="C37" s="36" t="s">
        <v>360</v>
      </c>
      <c r="D37" s="36" t="s">
        <v>331</v>
      </c>
      <c r="E37" s="36" t="s">
        <v>332</v>
      </c>
      <c r="F37" s="36" t="s">
        <v>270</v>
      </c>
      <c r="G37" s="36" t="s">
        <v>81</v>
      </c>
      <c r="H37" s="36">
        <v>1408000</v>
      </c>
      <c r="I37" s="36" t="s">
        <v>333</v>
      </c>
      <c r="J37" s="36" t="s">
        <v>334</v>
      </c>
      <c r="K37" s="36">
        <v>1</v>
      </c>
      <c r="L37" s="47">
        <v>41896</v>
      </c>
      <c r="M37" s="36">
        <f t="shared" si="8"/>
        <v>14</v>
      </c>
      <c r="N37" s="36">
        <f t="shared" si="9"/>
        <v>9</v>
      </c>
      <c r="O37" s="36">
        <f t="shared" si="10"/>
        <v>2014</v>
      </c>
      <c r="P37" s="84">
        <v>480</v>
      </c>
      <c r="Q37" s="66">
        <f>P37</f>
        <v>480</v>
      </c>
      <c r="R37" s="48">
        <f>Q37*6</f>
        <v>2880</v>
      </c>
      <c r="T37" s="51" t="s">
        <v>165</v>
      </c>
      <c r="U37" s="51" t="s">
        <v>544</v>
      </c>
      <c r="Y37" s="82"/>
      <c r="Z37" s="51" t="str">
        <f t="shared" si="11"/>
        <v/>
      </c>
      <c r="AA37" s="51" t="str">
        <f t="shared" si="12"/>
        <v/>
      </c>
      <c r="AB37" s="51" t="str">
        <f t="shared" si="13"/>
        <v/>
      </c>
    </row>
    <row r="38" spans="1:28" s="51" customFormat="1">
      <c r="A38" s="36" t="s">
        <v>389</v>
      </c>
      <c r="B38" s="36">
        <v>254129997</v>
      </c>
      <c r="C38" s="36" t="s">
        <v>414</v>
      </c>
      <c r="D38" s="36" t="s">
        <v>390</v>
      </c>
      <c r="E38" s="36" t="s">
        <v>421</v>
      </c>
      <c r="F38" s="36" t="s">
        <v>391</v>
      </c>
      <c r="G38" s="36" t="s">
        <v>392</v>
      </c>
      <c r="H38" s="36" t="s">
        <v>420</v>
      </c>
      <c r="I38" s="36" t="s">
        <v>393</v>
      </c>
      <c r="J38" s="36" t="s">
        <v>394</v>
      </c>
      <c r="K38" s="36">
        <v>2</v>
      </c>
      <c r="L38" s="47">
        <v>42077</v>
      </c>
      <c r="M38" s="36">
        <f t="shared" si="8"/>
        <v>14</v>
      </c>
      <c r="N38" s="36">
        <f t="shared" si="9"/>
        <v>3</v>
      </c>
      <c r="O38" s="36">
        <f t="shared" si="10"/>
        <v>2015</v>
      </c>
      <c r="P38" s="84">
        <v>912</v>
      </c>
      <c r="Q38" s="66">
        <f>P38</f>
        <v>912</v>
      </c>
      <c r="R38" s="48">
        <f>Q38*6</f>
        <v>5472</v>
      </c>
      <c r="U38" s="51" t="s">
        <v>544</v>
      </c>
      <c r="Y38" s="82"/>
      <c r="Z38" s="51" t="str">
        <f t="shared" si="11"/>
        <v/>
      </c>
      <c r="AA38" s="51" t="str">
        <f t="shared" si="12"/>
        <v/>
      </c>
      <c r="AB38" s="51" t="str">
        <f t="shared" si="13"/>
        <v/>
      </c>
    </row>
    <row r="39" spans="1:28" s="51" customFormat="1">
      <c r="A39" s="36" t="s">
        <v>585</v>
      </c>
      <c r="B39" s="36" t="s">
        <v>577</v>
      </c>
      <c r="C39" s="36" t="s">
        <v>578</v>
      </c>
      <c r="D39" s="36" t="s">
        <v>603</v>
      </c>
      <c r="E39" s="36" t="s">
        <v>602</v>
      </c>
      <c r="F39" s="36" t="s">
        <v>579</v>
      </c>
      <c r="G39" s="36" t="s">
        <v>108</v>
      </c>
      <c r="H39" s="36" t="s">
        <v>580</v>
      </c>
      <c r="I39" s="36" t="s">
        <v>581</v>
      </c>
      <c r="J39" s="36" t="s">
        <v>582</v>
      </c>
      <c r="K39" s="36">
        <v>1</v>
      </c>
      <c r="L39" s="47">
        <v>42396</v>
      </c>
      <c r="M39" s="36">
        <f t="shared" si="8"/>
        <v>27</v>
      </c>
      <c r="N39" s="36">
        <f t="shared" si="9"/>
        <v>1</v>
      </c>
      <c r="O39" s="36">
        <f t="shared" si="10"/>
        <v>2016</v>
      </c>
      <c r="P39" s="84"/>
      <c r="Q39" s="66">
        <v>480</v>
      </c>
      <c r="R39" s="48"/>
      <c r="U39" s="51" t="s">
        <v>604</v>
      </c>
      <c r="X39" s="51" t="s">
        <v>583</v>
      </c>
      <c r="Y39" s="82"/>
      <c r="Z39" s="51" t="str">
        <f t="shared" si="11"/>
        <v/>
      </c>
      <c r="AA39" s="51" t="str">
        <f t="shared" si="12"/>
        <v/>
      </c>
      <c r="AB39" s="51" t="str">
        <f t="shared" si="13"/>
        <v/>
      </c>
    </row>
    <row r="40" spans="1:28" s="51" customFormat="1">
      <c r="A40" s="36" t="s">
        <v>567</v>
      </c>
      <c r="B40" s="36">
        <v>21565970</v>
      </c>
      <c r="C40" s="36" t="s">
        <v>593</v>
      </c>
      <c r="D40" s="36" t="s">
        <v>595</v>
      </c>
      <c r="E40" s="36" t="s">
        <v>568</v>
      </c>
      <c r="F40" s="36" t="s">
        <v>569</v>
      </c>
      <c r="G40" s="36" t="s">
        <v>108</v>
      </c>
      <c r="H40" s="36" t="s">
        <v>594</v>
      </c>
      <c r="I40" s="36" t="s">
        <v>570</v>
      </c>
      <c r="J40" s="36" t="s">
        <v>571</v>
      </c>
      <c r="K40" s="36">
        <v>1</v>
      </c>
      <c r="L40" s="47">
        <v>42393</v>
      </c>
      <c r="M40" s="36">
        <f t="shared" si="8"/>
        <v>24</v>
      </c>
      <c r="N40" s="36">
        <f t="shared" si="9"/>
        <v>1</v>
      </c>
      <c r="O40" s="36">
        <f t="shared" si="10"/>
        <v>2016</v>
      </c>
      <c r="P40" s="84"/>
      <c r="Q40" s="66">
        <v>480</v>
      </c>
      <c r="R40" s="48">
        <f>Q40*5</f>
        <v>2400</v>
      </c>
      <c r="U40" s="51" t="s">
        <v>601</v>
      </c>
      <c r="Y40" s="82"/>
      <c r="Z40" s="51" t="str">
        <f t="shared" si="11"/>
        <v/>
      </c>
      <c r="AA40" s="51" t="str">
        <f t="shared" si="12"/>
        <v/>
      </c>
      <c r="AB40" s="51" t="str">
        <f t="shared" si="13"/>
        <v/>
      </c>
    </row>
    <row r="41" spans="1:28" s="51" customFormat="1">
      <c r="A41" s="36" t="s">
        <v>642</v>
      </c>
      <c r="B41" s="36">
        <v>9840532</v>
      </c>
      <c r="C41" s="36" t="s">
        <v>643</v>
      </c>
      <c r="D41" s="36" t="s">
        <v>644</v>
      </c>
      <c r="E41" s="36" t="s">
        <v>645</v>
      </c>
      <c r="F41" s="36" t="s">
        <v>646</v>
      </c>
      <c r="G41" s="36" t="s">
        <v>647</v>
      </c>
      <c r="H41" s="36" t="s">
        <v>648</v>
      </c>
      <c r="I41" s="36" t="s">
        <v>649</v>
      </c>
      <c r="J41" s="36" t="s">
        <v>650</v>
      </c>
      <c r="K41" s="36">
        <v>1</v>
      </c>
      <c r="L41" s="47">
        <v>42450</v>
      </c>
      <c r="M41" s="36">
        <f t="shared" si="8"/>
        <v>21</v>
      </c>
      <c r="N41" s="36">
        <f t="shared" si="9"/>
        <v>3</v>
      </c>
      <c r="O41" s="36">
        <f t="shared" si="10"/>
        <v>2016</v>
      </c>
      <c r="P41" s="84"/>
      <c r="Q41" s="66">
        <v>480</v>
      </c>
      <c r="R41" s="48">
        <v>480</v>
      </c>
      <c r="T41" s="51" t="s">
        <v>583</v>
      </c>
      <c r="U41" s="51" t="s">
        <v>651</v>
      </c>
      <c r="Y41" s="82"/>
      <c r="Z41" s="51" t="str">
        <f t="shared" si="11"/>
        <v/>
      </c>
      <c r="AA41" s="51" t="str">
        <f t="shared" si="12"/>
        <v/>
      </c>
      <c r="AB41" s="51" t="str">
        <f t="shared" si="13"/>
        <v/>
      </c>
    </row>
    <row r="42" spans="1:28" s="51" customFormat="1">
      <c r="A42" s="36" t="s">
        <v>235</v>
      </c>
      <c r="B42" s="36">
        <v>54910699</v>
      </c>
      <c r="C42" s="36" t="s">
        <v>452</v>
      </c>
      <c r="D42" s="36" t="s">
        <v>197</v>
      </c>
      <c r="E42" s="36" t="s">
        <v>198</v>
      </c>
      <c r="F42" s="36" t="s">
        <v>142</v>
      </c>
      <c r="G42" s="36" t="s">
        <v>81</v>
      </c>
      <c r="H42" s="36" t="s">
        <v>143</v>
      </c>
      <c r="I42" s="36" t="s">
        <v>201</v>
      </c>
      <c r="J42" s="36" t="s">
        <v>199</v>
      </c>
      <c r="K42" s="36">
        <v>1</v>
      </c>
      <c r="L42" s="47">
        <v>41307</v>
      </c>
      <c r="M42" s="36">
        <f t="shared" si="8"/>
        <v>2</v>
      </c>
      <c r="N42" s="36">
        <f t="shared" si="9"/>
        <v>2</v>
      </c>
      <c r="O42" s="36">
        <f t="shared" si="10"/>
        <v>2013</v>
      </c>
      <c r="P42" s="84">
        <v>425</v>
      </c>
      <c r="Q42" s="66">
        <v>450</v>
      </c>
      <c r="R42" s="48">
        <f>Q42*6</f>
        <v>2700</v>
      </c>
      <c r="T42" s="51" t="s">
        <v>165</v>
      </c>
      <c r="U42" s="51" t="s">
        <v>544</v>
      </c>
      <c r="Y42" s="82"/>
      <c r="Z42" s="51" t="str">
        <f t="shared" si="11"/>
        <v/>
      </c>
      <c r="AA42" s="51" t="str">
        <f t="shared" si="12"/>
        <v/>
      </c>
      <c r="AB42" s="51" t="str">
        <f t="shared" si="13"/>
        <v/>
      </c>
    </row>
    <row r="43" spans="1:28" s="51" customFormat="1">
      <c r="A43" s="36" t="s">
        <v>546</v>
      </c>
      <c r="B43" s="36">
        <v>261831173</v>
      </c>
      <c r="C43" s="36" t="s">
        <v>547</v>
      </c>
      <c r="D43" s="36" t="s">
        <v>586</v>
      </c>
      <c r="E43" s="36" t="s">
        <v>584</v>
      </c>
      <c r="F43" s="36" t="s">
        <v>548</v>
      </c>
      <c r="G43" s="36" t="s">
        <v>108</v>
      </c>
      <c r="H43" s="36" t="s">
        <v>549</v>
      </c>
      <c r="I43" s="36" t="s">
        <v>550</v>
      </c>
      <c r="J43" s="36" t="s">
        <v>551</v>
      </c>
      <c r="K43" s="36">
        <v>2</v>
      </c>
      <c r="L43" s="47">
        <v>42387</v>
      </c>
      <c r="M43" s="36">
        <f t="shared" si="8"/>
        <v>18</v>
      </c>
      <c r="N43" s="36">
        <f t="shared" si="9"/>
        <v>1</v>
      </c>
      <c r="O43" s="36">
        <f t="shared" si="10"/>
        <v>2016</v>
      </c>
      <c r="P43" s="84"/>
      <c r="Q43" s="66">
        <v>1125</v>
      </c>
      <c r="R43" s="48">
        <f>Q43*5</f>
        <v>5625</v>
      </c>
      <c r="U43" s="51" t="s">
        <v>601</v>
      </c>
      <c r="X43" s="51" t="s">
        <v>552</v>
      </c>
      <c r="Y43" s="82"/>
      <c r="Z43" s="51" t="str">
        <f t="shared" si="11"/>
        <v/>
      </c>
      <c r="AA43" s="51" t="str">
        <f t="shared" si="12"/>
        <v/>
      </c>
      <c r="AB43" s="51" t="str">
        <f t="shared" si="13"/>
        <v/>
      </c>
    </row>
    <row r="44" spans="1:28" s="51" customFormat="1">
      <c r="A44" s="36" t="s">
        <v>605</v>
      </c>
      <c r="B44" s="36">
        <v>283052338</v>
      </c>
      <c r="C44" s="36" t="s">
        <v>628</v>
      </c>
      <c r="D44" s="36" t="s">
        <v>632</v>
      </c>
      <c r="E44" s="36" t="s">
        <v>606</v>
      </c>
      <c r="F44" s="36" t="s">
        <v>607</v>
      </c>
      <c r="G44" s="36" t="s">
        <v>108</v>
      </c>
      <c r="H44" s="36" t="s">
        <v>608</v>
      </c>
      <c r="I44" s="36" t="s">
        <v>609</v>
      </c>
      <c r="J44" s="36" t="s">
        <v>610</v>
      </c>
      <c r="K44" s="36">
        <v>1</v>
      </c>
      <c r="L44" s="47">
        <v>42405</v>
      </c>
      <c r="M44" s="36">
        <f t="shared" si="8"/>
        <v>5</v>
      </c>
      <c r="N44" s="36">
        <f t="shared" si="9"/>
        <v>2</v>
      </c>
      <c r="O44" s="36">
        <f t="shared" si="10"/>
        <v>2016</v>
      </c>
      <c r="P44" s="84"/>
      <c r="Q44" s="66">
        <v>590</v>
      </c>
      <c r="R44" s="48">
        <f>Q44*4</f>
        <v>2360</v>
      </c>
      <c r="T44" s="51" t="s">
        <v>165</v>
      </c>
      <c r="Y44" s="82"/>
      <c r="Z44" s="51" t="str">
        <f t="shared" si="11"/>
        <v/>
      </c>
      <c r="AA44" s="51" t="str">
        <f t="shared" si="12"/>
        <v/>
      </c>
      <c r="AB44" s="51" t="str">
        <f t="shared" si="13"/>
        <v/>
      </c>
    </row>
    <row r="45" spans="1:28" s="51" customFormat="1">
      <c r="A45" s="36" t="s">
        <v>267</v>
      </c>
      <c r="B45" s="36">
        <v>33087354</v>
      </c>
      <c r="C45" s="36" t="s">
        <v>451</v>
      </c>
      <c r="D45" s="36" t="s">
        <v>268</v>
      </c>
      <c r="E45" s="36" t="s">
        <v>269</v>
      </c>
      <c r="F45" s="36" t="s">
        <v>270</v>
      </c>
      <c r="G45" s="36" t="s">
        <v>81</v>
      </c>
      <c r="H45" s="36">
        <v>1410001</v>
      </c>
      <c r="I45" s="36" t="s">
        <v>271</v>
      </c>
      <c r="J45" s="36" t="s">
        <v>272</v>
      </c>
      <c r="K45" s="36">
        <v>1</v>
      </c>
      <c r="L45" s="47">
        <v>41773</v>
      </c>
      <c r="M45" s="36">
        <f t="shared" si="8"/>
        <v>14</v>
      </c>
      <c r="N45" s="36">
        <f t="shared" si="9"/>
        <v>5</v>
      </c>
      <c r="O45" s="36">
        <f t="shared" si="10"/>
        <v>2014</v>
      </c>
      <c r="P45" s="84"/>
      <c r="Q45" s="66">
        <v>275</v>
      </c>
      <c r="R45" s="48">
        <f t="shared" ref="R45:R50" si="14">Q45*6</f>
        <v>1650</v>
      </c>
      <c r="T45" s="51" t="s">
        <v>165</v>
      </c>
      <c r="U45" s="51" t="s">
        <v>544</v>
      </c>
      <c r="Y45" s="82"/>
      <c r="Z45" s="51" t="str">
        <f t="shared" si="11"/>
        <v/>
      </c>
      <c r="AA45" s="51" t="str">
        <f t="shared" si="12"/>
        <v/>
      </c>
      <c r="AB45" s="51" t="str">
        <f t="shared" si="13"/>
        <v/>
      </c>
    </row>
    <row r="46" spans="1:28" s="51" customFormat="1">
      <c r="A46" s="36" t="s">
        <v>409</v>
      </c>
      <c r="B46" s="36" t="s">
        <v>410</v>
      </c>
      <c r="C46" s="36" t="s">
        <v>417</v>
      </c>
      <c r="D46" s="36" t="s">
        <v>466</v>
      </c>
      <c r="E46" s="36" t="s">
        <v>411</v>
      </c>
      <c r="F46" s="36" t="s">
        <v>23</v>
      </c>
      <c r="G46" s="36" t="s">
        <v>108</v>
      </c>
      <c r="H46" s="36" t="s">
        <v>419</v>
      </c>
      <c r="I46" s="36" t="s">
        <v>412</v>
      </c>
      <c r="J46" s="36" t="s">
        <v>413</v>
      </c>
      <c r="K46" s="36">
        <v>1</v>
      </c>
      <c r="L46" s="47">
        <v>42105</v>
      </c>
      <c r="M46" s="36">
        <f t="shared" si="8"/>
        <v>11</v>
      </c>
      <c r="N46" s="36">
        <f t="shared" si="9"/>
        <v>4</v>
      </c>
      <c r="O46" s="36">
        <f t="shared" si="10"/>
        <v>2015</v>
      </c>
      <c r="P46" s="84">
        <v>480</v>
      </c>
      <c r="Q46" s="66">
        <f>P46</f>
        <v>480</v>
      </c>
      <c r="R46" s="48">
        <f t="shared" si="14"/>
        <v>2880</v>
      </c>
      <c r="Y46" s="82"/>
      <c r="Z46" s="51" t="str">
        <f t="shared" si="11"/>
        <v/>
      </c>
      <c r="AA46" s="51" t="str">
        <f t="shared" si="12"/>
        <v/>
      </c>
      <c r="AB46" s="51" t="str">
        <f t="shared" si="13"/>
        <v/>
      </c>
    </row>
    <row r="47" spans="1:28" s="51" customFormat="1">
      <c r="A47" s="36" t="s">
        <v>181</v>
      </c>
      <c r="B47" s="91">
        <v>11335768</v>
      </c>
      <c r="C47" s="36" t="s">
        <v>184</v>
      </c>
      <c r="D47" s="36" t="s">
        <v>182</v>
      </c>
      <c r="E47" s="36" t="s">
        <v>226</v>
      </c>
      <c r="F47" s="36" t="s">
        <v>227</v>
      </c>
      <c r="G47" s="36" t="s">
        <v>81</v>
      </c>
      <c r="H47" s="46">
        <v>5025000</v>
      </c>
      <c r="I47" s="36" t="s">
        <v>183</v>
      </c>
      <c r="J47" s="36" t="s">
        <v>200</v>
      </c>
      <c r="K47" s="36">
        <v>1</v>
      </c>
      <c r="L47" s="47">
        <v>41216</v>
      </c>
      <c r="M47" s="36">
        <f t="shared" si="8"/>
        <v>3</v>
      </c>
      <c r="N47" s="36">
        <f t="shared" si="9"/>
        <v>11</v>
      </c>
      <c r="O47" s="36">
        <f t="shared" si="10"/>
        <v>2012</v>
      </c>
      <c r="P47" s="84">
        <v>425</v>
      </c>
      <c r="Q47" s="48">
        <f>ROUNDUP((P47*1.1294),2)</f>
        <v>480</v>
      </c>
      <c r="R47" s="48">
        <f t="shared" si="14"/>
        <v>2880</v>
      </c>
      <c r="T47" s="51" t="s">
        <v>165</v>
      </c>
      <c r="Y47" s="82"/>
      <c r="Z47" s="51" t="str">
        <f t="shared" si="11"/>
        <v/>
      </c>
      <c r="AA47" s="51" t="str">
        <f t="shared" si="12"/>
        <v/>
      </c>
      <c r="AB47" s="51" t="str">
        <f t="shared" si="13"/>
        <v/>
      </c>
    </row>
    <row r="48" spans="1:28" s="51" customFormat="1">
      <c r="A48" s="94" t="s">
        <v>189</v>
      </c>
      <c r="B48" s="46">
        <v>183400835</v>
      </c>
      <c r="C48" s="36" t="s">
        <v>461</v>
      </c>
      <c r="D48" s="36" t="s">
        <v>191</v>
      </c>
      <c r="E48" s="36" t="s">
        <v>192</v>
      </c>
      <c r="F48" s="36" t="s">
        <v>193</v>
      </c>
      <c r="G48" s="36" t="s">
        <v>81</v>
      </c>
      <c r="H48" s="36" t="s">
        <v>194</v>
      </c>
      <c r="I48" s="36" t="s">
        <v>195</v>
      </c>
      <c r="J48" s="36" t="s">
        <v>671</v>
      </c>
      <c r="K48" s="36">
        <v>4</v>
      </c>
      <c r="L48" s="47">
        <v>42403</v>
      </c>
      <c r="M48" s="36">
        <f t="shared" si="8"/>
        <v>3</v>
      </c>
      <c r="N48" s="36">
        <f t="shared" si="9"/>
        <v>2</v>
      </c>
      <c r="O48" s="36">
        <f t="shared" si="10"/>
        <v>2016</v>
      </c>
      <c r="P48" s="84"/>
      <c r="Q48" s="48">
        <f>K48*380</f>
        <v>1520</v>
      </c>
      <c r="R48" s="48">
        <f t="shared" si="14"/>
        <v>9120</v>
      </c>
      <c r="T48" s="51" t="s">
        <v>625</v>
      </c>
      <c r="U48" s="51" t="s">
        <v>669</v>
      </c>
      <c r="Y48" s="82"/>
      <c r="Z48" s="51" t="str">
        <f t="shared" si="11"/>
        <v/>
      </c>
      <c r="AA48" s="51" t="str">
        <f t="shared" si="12"/>
        <v/>
      </c>
      <c r="AB48" s="51" t="str">
        <f t="shared" si="13"/>
        <v/>
      </c>
    </row>
    <row r="49" spans="1:28" s="51" customFormat="1">
      <c r="A49" s="94" t="s">
        <v>189</v>
      </c>
      <c r="B49" s="46">
        <v>183400835</v>
      </c>
      <c r="C49" s="36" t="s">
        <v>461</v>
      </c>
      <c r="D49" s="36" t="s">
        <v>191</v>
      </c>
      <c r="E49" s="36" t="s">
        <v>192</v>
      </c>
      <c r="F49" s="36" t="s">
        <v>193</v>
      </c>
      <c r="G49" s="36" t="s">
        <v>81</v>
      </c>
      <c r="H49" s="36" t="s">
        <v>194</v>
      </c>
      <c r="I49" s="36" t="s">
        <v>195</v>
      </c>
      <c r="J49" s="36" t="s">
        <v>545</v>
      </c>
      <c r="K49" s="36">
        <v>3</v>
      </c>
      <c r="L49" s="47">
        <v>41273</v>
      </c>
      <c r="M49" s="36">
        <f t="shared" si="8"/>
        <v>30</v>
      </c>
      <c r="N49" s="36">
        <f t="shared" si="9"/>
        <v>12</v>
      </c>
      <c r="O49" s="36">
        <f t="shared" si="10"/>
        <v>2012</v>
      </c>
      <c r="P49" s="84"/>
      <c r="Q49" s="48">
        <v>1344</v>
      </c>
      <c r="R49" s="48">
        <f t="shared" si="14"/>
        <v>8064</v>
      </c>
      <c r="U49" s="51" t="s">
        <v>670</v>
      </c>
      <c r="Y49" s="82"/>
      <c r="Z49" s="51" t="str">
        <f t="shared" si="11"/>
        <v/>
      </c>
      <c r="AA49" s="51" t="str">
        <f t="shared" si="12"/>
        <v/>
      </c>
      <c r="AB49" s="51" t="str">
        <f t="shared" si="13"/>
        <v/>
      </c>
    </row>
    <row r="50" spans="1:28" s="51" customFormat="1">
      <c r="A50" s="36" t="s">
        <v>485</v>
      </c>
      <c r="B50" s="46" t="s">
        <v>486</v>
      </c>
      <c r="C50" s="36" t="s">
        <v>487</v>
      </c>
      <c r="D50" s="36" t="s">
        <v>488</v>
      </c>
      <c r="E50" s="36" t="s">
        <v>489</v>
      </c>
      <c r="F50" s="36" t="s">
        <v>490</v>
      </c>
      <c r="G50" s="36" t="s">
        <v>491</v>
      </c>
      <c r="H50" s="46" t="s">
        <v>493</v>
      </c>
      <c r="I50" s="52" t="s">
        <v>494</v>
      </c>
      <c r="J50" s="36" t="s">
        <v>495</v>
      </c>
      <c r="K50" s="36">
        <v>1</v>
      </c>
      <c r="L50" s="47">
        <v>42227</v>
      </c>
      <c r="M50" s="36">
        <f t="shared" si="8"/>
        <v>11</v>
      </c>
      <c r="N50" s="36">
        <f t="shared" si="9"/>
        <v>8</v>
      </c>
      <c r="O50" s="36">
        <f t="shared" si="10"/>
        <v>2015</v>
      </c>
      <c r="P50" s="84"/>
      <c r="Q50" s="48">
        <v>480</v>
      </c>
      <c r="R50" s="48">
        <f t="shared" si="14"/>
        <v>2880</v>
      </c>
      <c r="T50" s="51" t="s">
        <v>165</v>
      </c>
      <c r="U50" s="51" t="s">
        <v>668</v>
      </c>
      <c r="Y50" s="82"/>
      <c r="Z50" s="51" t="str">
        <f t="shared" si="11"/>
        <v/>
      </c>
      <c r="AA50" s="51" t="str">
        <f t="shared" si="12"/>
        <v/>
      </c>
      <c r="AB50" s="51" t="str">
        <f t="shared" si="13"/>
        <v/>
      </c>
    </row>
    <row r="51" spans="1:28" s="51" customFormat="1">
      <c r="A51" s="36" t="s">
        <v>712</v>
      </c>
      <c r="B51" s="46">
        <v>34822280</v>
      </c>
      <c r="C51" s="36" t="s">
        <v>738</v>
      </c>
      <c r="D51" s="36" t="s">
        <v>713</v>
      </c>
      <c r="E51" s="36" t="s">
        <v>714</v>
      </c>
      <c r="F51" s="36" t="s">
        <v>715</v>
      </c>
      <c r="G51" s="36" t="s">
        <v>108</v>
      </c>
      <c r="H51" s="54" t="s">
        <v>716</v>
      </c>
      <c r="I51" s="52" t="s">
        <v>717</v>
      </c>
      <c r="J51" s="36" t="s">
        <v>718</v>
      </c>
      <c r="K51" s="36">
        <v>1</v>
      </c>
      <c r="L51" s="47">
        <v>42581</v>
      </c>
      <c r="M51" s="36">
        <f t="shared" si="8"/>
        <v>30</v>
      </c>
      <c r="N51" s="36">
        <f t="shared" si="9"/>
        <v>7</v>
      </c>
      <c r="O51" s="36">
        <f t="shared" si="10"/>
        <v>2016</v>
      </c>
      <c r="P51" s="93"/>
      <c r="Q51" s="95">
        <v>380</v>
      </c>
      <c r="R51" s="48">
        <f>Q51*5</f>
        <v>1900</v>
      </c>
      <c r="U51" s="51" t="s">
        <v>699</v>
      </c>
      <c r="Y51" s="82"/>
      <c r="Z51" s="51" t="str">
        <f t="shared" si="11"/>
        <v/>
      </c>
      <c r="AA51" s="51" t="str">
        <f t="shared" si="12"/>
        <v/>
      </c>
      <c r="AB51" s="51" t="str">
        <f t="shared" si="13"/>
        <v/>
      </c>
    </row>
    <row r="52" spans="1:28" s="51" customFormat="1">
      <c r="A52" s="36" t="s">
        <v>395</v>
      </c>
      <c r="B52" s="36" t="s">
        <v>396</v>
      </c>
      <c r="C52" s="36" t="s">
        <v>415</v>
      </c>
      <c r="D52" s="36" t="s">
        <v>397</v>
      </c>
      <c r="E52" s="36" t="s">
        <v>398</v>
      </c>
      <c r="F52" s="36" t="s">
        <v>399</v>
      </c>
      <c r="G52" s="36" t="s">
        <v>81</v>
      </c>
      <c r="H52" s="36" t="s">
        <v>418</v>
      </c>
      <c r="I52" s="36" t="s">
        <v>400</v>
      </c>
      <c r="J52" s="36" t="s">
        <v>401</v>
      </c>
      <c r="K52" s="36">
        <v>2</v>
      </c>
      <c r="L52" s="47">
        <v>42105</v>
      </c>
      <c r="M52" s="36">
        <f t="shared" si="8"/>
        <v>11</v>
      </c>
      <c r="N52" s="36">
        <f t="shared" si="9"/>
        <v>4</v>
      </c>
      <c r="O52" s="36">
        <f t="shared" si="10"/>
        <v>2015</v>
      </c>
      <c r="P52" s="84">
        <v>912</v>
      </c>
      <c r="Q52" s="66">
        <f>P52</f>
        <v>912</v>
      </c>
      <c r="R52" s="48">
        <f>Q52*6</f>
        <v>5472</v>
      </c>
      <c r="T52" s="51" t="s">
        <v>165</v>
      </c>
      <c r="U52" s="51" t="s">
        <v>668</v>
      </c>
      <c r="Y52" s="82"/>
      <c r="Z52" s="51" t="str">
        <f t="shared" si="11"/>
        <v/>
      </c>
      <c r="AA52" s="51" t="str">
        <f t="shared" si="12"/>
        <v/>
      </c>
      <c r="AB52" s="51" t="str">
        <f t="shared" si="13"/>
        <v/>
      </c>
    </row>
    <row r="53" spans="1:28" s="51" customFormat="1">
      <c r="A53" s="36" t="s">
        <v>687</v>
      </c>
      <c r="B53" s="46">
        <v>477513335</v>
      </c>
      <c r="C53" s="46" t="s">
        <v>697</v>
      </c>
      <c r="D53" s="36" t="s">
        <v>688</v>
      </c>
      <c r="E53" s="36" t="s">
        <v>689</v>
      </c>
      <c r="F53" s="36" t="s">
        <v>690</v>
      </c>
      <c r="G53" s="36" t="s">
        <v>108</v>
      </c>
      <c r="H53" s="51" t="s">
        <v>691</v>
      </c>
      <c r="I53" s="52" t="s">
        <v>692</v>
      </c>
      <c r="J53" s="36" t="s">
        <v>693</v>
      </c>
      <c r="K53" s="36">
        <v>1</v>
      </c>
      <c r="L53" s="47">
        <v>42560</v>
      </c>
      <c r="M53" s="36">
        <f t="shared" si="8"/>
        <v>9</v>
      </c>
      <c r="N53" s="36">
        <f t="shared" si="9"/>
        <v>7</v>
      </c>
      <c r="O53" s="36">
        <f t="shared" si="10"/>
        <v>2016</v>
      </c>
      <c r="P53" s="93"/>
      <c r="Q53" s="95">
        <v>380</v>
      </c>
      <c r="R53" s="66">
        <f>Q53*5</f>
        <v>1900</v>
      </c>
      <c r="U53" s="51" t="s">
        <v>699</v>
      </c>
      <c r="Y53" s="82"/>
      <c r="Z53" s="51" t="str">
        <f t="shared" si="11"/>
        <v/>
      </c>
      <c r="AA53" s="51" t="str">
        <f t="shared" si="12"/>
        <v/>
      </c>
      <c r="AB53" s="51" t="str">
        <f t="shared" si="13"/>
        <v/>
      </c>
    </row>
    <row r="54" spans="1:28" s="51" customFormat="1">
      <c r="A54" s="86" t="s">
        <v>703</v>
      </c>
      <c r="B54" s="57">
        <v>41299991</v>
      </c>
      <c r="C54" s="57">
        <v>30956162878</v>
      </c>
      <c r="D54" s="37" t="s">
        <v>754</v>
      </c>
      <c r="E54" s="37" t="s">
        <v>704</v>
      </c>
      <c r="F54" s="36" t="s">
        <v>548</v>
      </c>
      <c r="G54" s="36" t="s">
        <v>108</v>
      </c>
      <c r="H54" s="57">
        <v>4130040</v>
      </c>
      <c r="I54" s="96" t="s">
        <v>705</v>
      </c>
      <c r="J54" s="36" t="s">
        <v>755</v>
      </c>
      <c r="K54" s="36">
        <v>1</v>
      </c>
      <c r="L54" s="56">
        <v>42597</v>
      </c>
      <c r="M54" s="36">
        <f t="shared" si="8"/>
        <v>15</v>
      </c>
      <c r="N54" s="36">
        <f t="shared" si="9"/>
        <v>8</v>
      </c>
      <c r="O54" s="36">
        <f t="shared" si="10"/>
        <v>2016</v>
      </c>
      <c r="P54" s="43"/>
      <c r="Q54" s="97">
        <v>380</v>
      </c>
      <c r="R54"/>
      <c r="T54" s="18" t="s">
        <v>756</v>
      </c>
      <c r="U54"/>
      <c r="V54"/>
      <c r="W54"/>
      <c r="X54"/>
      <c r="Y54" s="82"/>
      <c r="Z54" s="51" t="str">
        <f t="shared" si="11"/>
        <v/>
      </c>
      <c r="AA54" s="51" t="str">
        <f t="shared" si="12"/>
        <v/>
      </c>
      <c r="AB54" s="51" t="str">
        <f t="shared" si="13"/>
        <v/>
      </c>
    </row>
    <row r="55" spans="1:28" s="51" customFormat="1">
      <c r="A55" s="98" t="s">
        <v>635</v>
      </c>
      <c r="B55" s="46">
        <v>21485976</v>
      </c>
      <c r="C55" s="36" t="s">
        <v>636</v>
      </c>
      <c r="D55" s="36" t="s">
        <v>637</v>
      </c>
      <c r="E55" s="36" t="s">
        <v>638</v>
      </c>
      <c r="F55" s="36" t="s">
        <v>270</v>
      </c>
      <c r="G55" s="36" t="s">
        <v>108</v>
      </c>
      <c r="H55" s="36" t="s">
        <v>639</v>
      </c>
      <c r="I55" s="36" t="s">
        <v>640</v>
      </c>
      <c r="J55" s="36" t="s">
        <v>641</v>
      </c>
      <c r="K55" s="36">
        <v>3</v>
      </c>
      <c r="L55" s="58">
        <v>42446</v>
      </c>
      <c r="M55" s="36">
        <f t="shared" si="8"/>
        <v>17</v>
      </c>
      <c r="N55" s="36">
        <f t="shared" si="9"/>
        <v>3</v>
      </c>
      <c r="O55" s="36">
        <f t="shared" si="10"/>
        <v>2016</v>
      </c>
      <c r="P55" s="84"/>
      <c r="Q55" s="48">
        <v>1344</v>
      </c>
      <c r="R55" s="48">
        <f>Q55*5</f>
        <v>6720</v>
      </c>
      <c r="T55" s="28"/>
      <c r="U55" s="99" t="s">
        <v>765</v>
      </c>
      <c r="V55" s="99"/>
      <c r="W55" s="99"/>
      <c r="X55" s="99"/>
      <c r="Y55" s="82"/>
      <c r="Z55" s="51" t="str">
        <f t="shared" si="11"/>
        <v/>
      </c>
      <c r="AA55" s="51" t="str">
        <f t="shared" si="12"/>
        <v/>
      </c>
      <c r="AB55" s="51" t="str">
        <f t="shared" si="13"/>
        <v/>
      </c>
    </row>
    <row r="56" spans="1:28" s="51" customFormat="1">
      <c r="A56" s="36" t="s">
        <v>553</v>
      </c>
      <c r="B56" s="100">
        <v>2832893</v>
      </c>
      <c r="C56" s="100" t="s">
        <v>587</v>
      </c>
      <c r="D56" s="92" t="s">
        <v>589</v>
      </c>
      <c r="E56" s="92" t="s">
        <v>554</v>
      </c>
      <c r="F56" s="92" t="s">
        <v>555</v>
      </c>
      <c r="G56" s="92" t="s">
        <v>81</v>
      </c>
      <c r="H56" s="100" t="s">
        <v>588</v>
      </c>
      <c r="I56" s="92" t="s">
        <v>556</v>
      </c>
      <c r="J56" s="36" t="s">
        <v>471</v>
      </c>
      <c r="K56" s="36">
        <v>1</v>
      </c>
      <c r="L56" s="47">
        <v>42391</v>
      </c>
      <c r="M56" s="36">
        <f t="shared" si="8"/>
        <v>22</v>
      </c>
      <c r="N56" s="36">
        <f t="shared" si="9"/>
        <v>1</v>
      </c>
      <c r="O56" s="36">
        <f t="shared" si="10"/>
        <v>2016</v>
      </c>
      <c r="P56" s="93"/>
      <c r="Q56" s="48">
        <v>480</v>
      </c>
      <c r="R56" s="48">
        <f>Q56*6</f>
        <v>2880</v>
      </c>
      <c r="U56" s="51" t="s">
        <v>668</v>
      </c>
      <c r="Y56" s="82"/>
      <c r="Z56" s="51" t="str">
        <f t="shared" si="11"/>
        <v/>
      </c>
      <c r="AA56" s="51" t="str">
        <f t="shared" si="12"/>
        <v/>
      </c>
      <c r="AB56" s="51" t="str">
        <f t="shared" si="13"/>
        <v/>
      </c>
    </row>
    <row r="57" spans="1:28" s="51" customFormat="1">
      <c r="A57" s="36" t="s">
        <v>473</v>
      </c>
      <c r="B57" s="36" t="s">
        <v>474</v>
      </c>
      <c r="C57" s="36" t="s">
        <v>497</v>
      </c>
      <c r="D57" s="36" t="s">
        <v>813</v>
      </c>
      <c r="E57" s="36" t="s">
        <v>475</v>
      </c>
      <c r="F57" s="36" t="s">
        <v>476</v>
      </c>
      <c r="G57" s="36" t="s">
        <v>108</v>
      </c>
      <c r="H57" s="46" t="s">
        <v>492</v>
      </c>
      <c r="I57" s="52" t="s">
        <v>477</v>
      </c>
      <c r="J57" s="36" t="s">
        <v>478</v>
      </c>
      <c r="K57" s="36">
        <v>1</v>
      </c>
      <c r="L57" s="47">
        <v>42215</v>
      </c>
      <c r="M57" s="36">
        <f t="shared" si="8"/>
        <v>30</v>
      </c>
      <c r="N57" s="36">
        <f t="shared" si="9"/>
        <v>7</v>
      </c>
      <c r="O57" s="36">
        <f t="shared" si="10"/>
        <v>2015</v>
      </c>
      <c r="P57" s="84">
        <v>440</v>
      </c>
      <c r="Q57" s="48">
        <v>480</v>
      </c>
      <c r="R57" s="48">
        <f>Q57*6+21</f>
        <v>2901</v>
      </c>
      <c r="U57" s="51" t="s">
        <v>668</v>
      </c>
      <c r="Y57" s="82"/>
      <c r="Z57" s="51" t="str">
        <f t="shared" si="11"/>
        <v/>
      </c>
      <c r="AA57" s="51" t="str">
        <f t="shared" si="12"/>
        <v/>
      </c>
      <c r="AB57" s="51" t="str">
        <f t="shared" si="13"/>
        <v/>
      </c>
    </row>
    <row r="58" spans="1:28" s="51" customFormat="1">
      <c r="A58" s="36" t="s">
        <v>660</v>
      </c>
      <c r="B58" s="46">
        <v>18121168</v>
      </c>
      <c r="C58" s="36" t="s">
        <v>661</v>
      </c>
      <c r="D58" s="36" t="s">
        <v>666</v>
      </c>
      <c r="E58" s="36" t="s">
        <v>662</v>
      </c>
      <c r="F58" s="36" t="s">
        <v>238</v>
      </c>
      <c r="G58" s="36" t="s">
        <v>108</v>
      </c>
      <c r="H58" s="36" t="s">
        <v>663</v>
      </c>
      <c r="I58" s="52" t="s">
        <v>667</v>
      </c>
      <c r="J58" s="36" t="s">
        <v>664</v>
      </c>
      <c r="K58" s="36">
        <v>1</v>
      </c>
      <c r="L58" s="58">
        <v>42506</v>
      </c>
      <c r="M58" s="36">
        <f t="shared" si="8"/>
        <v>16</v>
      </c>
      <c r="N58" s="36">
        <f t="shared" si="9"/>
        <v>5</v>
      </c>
      <c r="O58" s="36">
        <f t="shared" si="10"/>
        <v>2016</v>
      </c>
      <c r="P58" s="84"/>
      <c r="Q58" s="48">
        <v>480</v>
      </c>
      <c r="R58" s="48">
        <f>Q58*6</f>
        <v>2880</v>
      </c>
      <c r="U58" s="51" t="s">
        <v>668</v>
      </c>
      <c r="Y58" s="82"/>
      <c r="Z58" s="51" t="str">
        <f t="shared" si="11"/>
        <v/>
      </c>
      <c r="AA58" s="51" t="str">
        <f t="shared" si="12"/>
        <v/>
      </c>
      <c r="AB58" s="51" t="str">
        <f t="shared" si="13"/>
        <v/>
      </c>
    </row>
    <row r="59" spans="1:28" s="51" customFormat="1">
      <c r="A59" s="36" t="s">
        <v>432</v>
      </c>
      <c r="B59" s="51" t="s">
        <v>433</v>
      </c>
      <c r="C59" s="36" t="s">
        <v>457</v>
      </c>
      <c r="D59" s="36" t="s">
        <v>464</v>
      </c>
      <c r="E59" s="36" t="s">
        <v>434</v>
      </c>
      <c r="F59" s="36" t="s">
        <v>435</v>
      </c>
      <c r="G59" s="36" t="s">
        <v>81</v>
      </c>
      <c r="H59" s="46">
        <v>4674225</v>
      </c>
      <c r="I59" s="51" t="s">
        <v>436</v>
      </c>
      <c r="J59" s="36" t="s">
        <v>437</v>
      </c>
      <c r="K59" s="36">
        <v>1</v>
      </c>
      <c r="L59" s="101">
        <v>42154</v>
      </c>
      <c r="M59" s="36">
        <f t="shared" si="8"/>
        <v>30</v>
      </c>
      <c r="N59" s="36">
        <f t="shared" si="9"/>
        <v>5</v>
      </c>
      <c r="O59" s="36">
        <f t="shared" si="10"/>
        <v>2015</v>
      </c>
      <c r="P59" s="93"/>
      <c r="Q59" s="66">
        <v>480</v>
      </c>
      <c r="R59" s="48">
        <f>Q59*6</f>
        <v>2880</v>
      </c>
      <c r="U59" s="51" t="s">
        <v>668</v>
      </c>
      <c r="Y59" s="82"/>
      <c r="Z59" s="51" t="str">
        <f t="shared" si="11"/>
        <v/>
      </c>
      <c r="AA59" s="51" t="str">
        <f t="shared" si="12"/>
        <v/>
      </c>
      <c r="AB59" s="51" t="str">
        <f t="shared" si="13"/>
        <v/>
      </c>
    </row>
    <row r="60" spans="1:28" s="51" customFormat="1">
      <c r="A60" s="98" t="s">
        <v>703</v>
      </c>
      <c r="B60" s="46">
        <v>41299991</v>
      </c>
      <c r="C60" s="46" t="s">
        <v>732</v>
      </c>
      <c r="D60" s="36" t="s">
        <v>734</v>
      </c>
      <c r="E60" s="36" t="s">
        <v>704</v>
      </c>
      <c r="F60" s="36" t="s">
        <v>548</v>
      </c>
      <c r="G60" s="36" t="s">
        <v>108</v>
      </c>
      <c r="H60" s="46" t="s">
        <v>733</v>
      </c>
      <c r="I60" s="92" t="s">
        <v>705</v>
      </c>
      <c r="J60" s="36" t="s">
        <v>706</v>
      </c>
      <c r="K60" s="36">
        <v>1</v>
      </c>
      <c r="L60" s="47">
        <v>42567</v>
      </c>
      <c r="M60" s="36">
        <f t="shared" ref="M60:M89" si="15">DAY(L60)</f>
        <v>16</v>
      </c>
      <c r="N60" s="36">
        <f t="shared" ref="N60:N89" si="16">MONTH(L60)</f>
        <v>7</v>
      </c>
      <c r="O60" s="36">
        <f t="shared" ref="O60:O89" si="17">YEAR(L60)</f>
        <v>2016</v>
      </c>
      <c r="P60" s="93"/>
      <c r="Q60" s="95">
        <v>380</v>
      </c>
      <c r="R60" s="66">
        <f>Q60*3</f>
        <v>1140</v>
      </c>
      <c r="T60" s="54" t="s">
        <v>707</v>
      </c>
      <c r="U60" s="99" t="s">
        <v>802</v>
      </c>
      <c r="V60" s="99"/>
      <c r="W60" s="99"/>
      <c r="X60" s="99"/>
      <c r="Y60" s="82"/>
      <c r="Z60" s="51" t="str">
        <f t="shared" si="11"/>
        <v/>
      </c>
      <c r="AA60" s="51" t="str">
        <f t="shared" si="12"/>
        <v/>
      </c>
      <c r="AB60" s="51" t="str">
        <f t="shared" si="13"/>
        <v/>
      </c>
    </row>
    <row r="61" spans="1:28" s="51" customFormat="1">
      <c r="A61" s="36" t="s">
        <v>344</v>
      </c>
      <c r="B61" s="46">
        <v>8660420</v>
      </c>
      <c r="C61" s="46" t="s">
        <v>458</v>
      </c>
      <c r="D61" s="36" t="s">
        <v>345</v>
      </c>
      <c r="E61" s="36" t="s">
        <v>346</v>
      </c>
      <c r="F61" s="36" t="s">
        <v>347</v>
      </c>
      <c r="G61" s="36" t="s">
        <v>81</v>
      </c>
      <c r="H61" s="36" t="s">
        <v>348</v>
      </c>
      <c r="I61" s="52" t="s">
        <v>349</v>
      </c>
      <c r="J61" s="36" t="s">
        <v>350</v>
      </c>
      <c r="K61" s="36">
        <v>1</v>
      </c>
      <c r="L61" s="47">
        <v>41853</v>
      </c>
      <c r="M61" s="36">
        <f t="shared" si="15"/>
        <v>2</v>
      </c>
      <c r="N61" s="36">
        <f t="shared" si="16"/>
        <v>8</v>
      </c>
      <c r="O61" s="36">
        <f t="shared" si="17"/>
        <v>2014</v>
      </c>
      <c r="P61" s="84">
        <v>480</v>
      </c>
      <c r="Q61" s="48">
        <v>480</v>
      </c>
      <c r="R61" s="48">
        <f>Q61*6</f>
        <v>2880</v>
      </c>
      <c r="U61" s="51" t="s">
        <v>668</v>
      </c>
      <c r="Y61" s="82"/>
      <c r="Z61" s="51" t="str">
        <f t="shared" si="11"/>
        <v/>
      </c>
      <c r="AA61" s="51" t="str">
        <f t="shared" si="12"/>
        <v/>
      </c>
      <c r="AB61" s="51" t="str">
        <f t="shared" si="13"/>
        <v/>
      </c>
    </row>
    <row r="62" spans="1:28" s="51" customFormat="1">
      <c r="A62" s="36" t="s">
        <v>301</v>
      </c>
      <c r="B62" s="46">
        <v>274444689</v>
      </c>
      <c r="C62" s="46" t="s">
        <v>430</v>
      </c>
      <c r="D62" s="36" t="s">
        <v>302</v>
      </c>
      <c r="E62" s="36" t="s">
        <v>431</v>
      </c>
      <c r="F62" s="36" t="s">
        <v>303</v>
      </c>
      <c r="G62" s="36" t="s">
        <v>81</v>
      </c>
      <c r="H62" s="36" t="s">
        <v>304</v>
      </c>
      <c r="I62" s="88" t="s">
        <v>305</v>
      </c>
      <c r="J62" s="36" t="s">
        <v>306</v>
      </c>
      <c r="K62" s="36">
        <v>1</v>
      </c>
      <c r="L62" s="47">
        <v>41897</v>
      </c>
      <c r="M62" s="36">
        <f t="shared" si="15"/>
        <v>15</v>
      </c>
      <c r="N62" s="36">
        <f t="shared" si="16"/>
        <v>9</v>
      </c>
      <c r="O62" s="36">
        <f t="shared" si="17"/>
        <v>2014</v>
      </c>
      <c r="P62" s="84">
        <v>480</v>
      </c>
      <c r="Q62" s="48">
        <v>480</v>
      </c>
      <c r="R62" s="48">
        <f>Q62*6</f>
        <v>2880</v>
      </c>
      <c r="U62" s="51" t="s">
        <v>668</v>
      </c>
      <c r="Y62" s="82"/>
      <c r="Z62" s="51" t="str">
        <f t="shared" si="11"/>
        <v/>
      </c>
      <c r="AA62" s="51" t="str">
        <f t="shared" si="12"/>
        <v/>
      </c>
      <c r="AB62" s="51" t="str">
        <f t="shared" si="13"/>
        <v/>
      </c>
    </row>
    <row r="63" spans="1:28">
      <c r="A63" s="36" t="s">
        <v>196</v>
      </c>
      <c r="B63" s="36" t="s">
        <v>186</v>
      </c>
      <c r="C63" s="36" t="s">
        <v>462</v>
      </c>
      <c r="D63" s="36" t="s">
        <v>187</v>
      </c>
      <c r="E63" s="36" t="s">
        <v>236</v>
      </c>
      <c r="F63" s="36" t="s">
        <v>240</v>
      </c>
      <c r="G63" s="36" t="s">
        <v>81</v>
      </c>
      <c r="H63" s="51"/>
      <c r="I63" s="52" t="s">
        <v>190</v>
      </c>
      <c r="J63" s="36" t="s">
        <v>188</v>
      </c>
      <c r="K63" s="36">
        <v>1</v>
      </c>
      <c r="L63" s="47">
        <v>41276</v>
      </c>
      <c r="M63" s="36">
        <f t="shared" si="15"/>
        <v>2</v>
      </c>
      <c r="N63" s="36">
        <f t="shared" si="16"/>
        <v>1</v>
      </c>
      <c r="O63" s="36">
        <f t="shared" si="17"/>
        <v>2013</v>
      </c>
      <c r="P63" s="84">
        <v>425</v>
      </c>
      <c r="Q63" s="48">
        <v>480</v>
      </c>
      <c r="R63" s="48">
        <f>Q63*6</f>
        <v>2880</v>
      </c>
      <c r="T63" s="51" t="s">
        <v>165</v>
      </c>
      <c r="U63" s="51" t="s">
        <v>668</v>
      </c>
      <c r="V63" s="51"/>
      <c r="W63" s="51"/>
      <c r="X63" s="51"/>
      <c r="Z63" s="51" t="str">
        <f t="shared" si="11"/>
        <v/>
      </c>
      <c r="AA63" s="51" t="str">
        <f t="shared" si="12"/>
        <v/>
      </c>
      <c r="AB63" s="51" t="str">
        <f t="shared" si="13"/>
        <v/>
      </c>
    </row>
    <row r="64" spans="1:28" s="51" customFormat="1">
      <c r="A64" s="36" t="s">
        <v>677</v>
      </c>
      <c r="B64" s="57">
        <v>422494525</v>
      </c>
      <c r="C64" s="37" t="s">
        <v>695</v>
      </c>
      <c r="D64" s="37" t="s">
        <v>827</v>
      </c>
      <c r="E64" s="37" t="s">
        <v>678</v>
      </c>
      <c r="F64" s="36" t="s">
        <v>679</v>
      </c>
      <c r="G64" s="36" t="s">
        <v>108</v>
      </c>
      <c r="H64" s="37" t="s">
        <v>680</v>
      </c>
      <c r="I64" s="96" t="s">
        <v>681</v>
      </c>
      <c r="J64" s="36" t="s">
        <v>682</v>
      </c>
      <c r="K64" s="36">
        <v>1</v>
      </c>
      <c r="L64" s="56">
        <v>42552</v>
      </c>
      <c r="M64" s="36">
        <f t="shared" si="15"/>
        <v>1</v>
      </c>
      <c r="N64" s="36">
        <f t="shared" si="16"/>
        <v>7</v>
      </c>
      <c r="O64" s="36">
        <f t="shared" si="17"/>
        <v>2016</v>
      </c>
      <c r="P64" s="43"/>
      <c r="Q64" s="97">
        <v>480</v>
      </c>
      <c r="R64" s="61">
        <f>Q64*5</f>
        <v>2400</v>
      </c>
      <c r="T64"/>
      <c r="U64" s="51" t="s">
        <v>699</v>
      </c>
      <c r="V64"/>
      <c r="W64"/>
      <c r="X64" s="54" t="s">
        <v>495</v>
      </c>
      <c r="Y64" s="82"/>
      <c r="Z64" s="51" t="str">
        <f t="shared" si="11"/>
        <v/>
      </c>
      <c r="AA64" s="51" t="str">
        <f t="shared" si="12"/>
        <v/>
      </c>
      <c r="AB64" s="51" t="str">
        <f t="shared" si="13"/>
        <v/>
      </c>
    </row>
    <row r="65" spans="1:28" s="51" customFormat="1">
      <c r="A65" s="102" t="s">
        <v>284</v>
      </c>
      <c r="B65" s="46">
        <v>17054633</v>
      </c>
      <c r="C65" s="36" t="s">
        <v>455</v>
      </c>
      <c r="D65" s="36" t="s">
        <v>258</v>
      </c>
      <c r="E65" s="36" t="s">
        <v>259</v>
      </c>
      <c r="F65" s="36" t="s">
        <v>260</v>
      </c>
      <c r="G65" s="36" t="s">
        <v>81</v>
      </c>
      <c r="H65" s="36" t="s">
        <v>261</v>
      </c>
      <c r="I65" s="36" t="s">
        <v>257</v>
      </c>
      <c r="J65" s="36" t="s">
        <v>256</v>
      </c>
      <c r="K65" s="36">
        <v>1</v>
      </c>
      <c r="L65" s="47">
        <v>41715</v>
      </c>
      <c r="M65" s="36">
        <f t="shared" si="15"/>
        <v>17</v>
      </c>
      <c r="N65" s="36">
        <f t="shared" si="16"/>
        <v>3</v>
      </c>
      <c r="O65" s="36">
        <f t="shared" si="17"/>
        <v>2014</v>
      </c>
      <c r="P65" s="84">
        <v>480</v>
      </c>
      <c r="Q65" s="48">
        <v>480</v>
      </c>
      <c r="R65" s="61">
        <f>Q65*6</f>
        <v>2880</v>
      </c>
      <c r="U65" s="54" t="s">
        <v>829</v>
      </c>
      <c r="Y65" s="82">
        <v>42734</v>
      </c>
      <c r="Z65" s="51">
        <f t="shared" si="11"/>
        <v>30</v>
      </c>
      <c r="AA65" s="51">
        <f t="shared" si="12"/>
        <v>12</v>
      </c>
      <c r="AB65" s="51">
        <f t="shared" si="13"/>
        <v>2016</v>
      </c>
    </row>
    <row r="66" spans="1:28" s="51" customFormat="1">
      <c r="A66" s="102" t="s">
        <v>748</v>
      </c>
      <c r="B66" s="57">
        <v>317631042</v>
      </c>
      <c r="C66" s="57" t="s">
        <v>835</v>
      </c>
      <c r="D66" s="37" t="s">
        <v>749</v>
      </c>
      <c r="E66" s="37" t="s">
        <v>750</v>
      </c>
      <c r="F66" s="36" t="s">
        <v>751</v>
      </c>
      <c r="G66" s="36" t="s">
        <v>108</v>
      </c>
      <c r="H66" s="42">
        <v>4143020</v>
      </c>
      <c r="I66" t="s">
        <v>752</v>
      </c>
      <c r="J66" s="36" t="s">
        <v>753</v>
      </c>
      <c r="K66" s="36">
        <v>1</v>
      </c>
      <c r="L66" s="56">
        <v>42597</v>
      </c>
      <c r="M66" s="36">
        <f t="shared" si="15"/>
        <v>15</v>
      </c>
      <c r="N66" s="36">
        <f t="shared" si="16"/>
        <v>8</v>
      </c>
      <c r="O66" s="36">
        <f t="shared" si="17"/>
        <v>2016</v>
      </c>
      <c r="P66" s="43"/>
      <c r="Q66" s="97">
        <v>380</v>
      </c>
      <c r="R66" s="61">
        <f>Q66*6</f>
        <v>2280</v>
      </c>
      <c r="T66"/>
      <c r="U66" s="54" t="s">
        <v>829</v>
      </c>
      <c r="V66"/>
      <c r="W66"/>
      <c r="X66"/>
      <c r="Y66" s="82">
        <v>42745</v>
      </c>
      <c r="Z66" s="51">
        <f t="shared" ref="Z66:Z125" si="18">IF($Y66=0,"",DAY($Y66))</f>
        <v>10</v>
      </c>
      <c r="AA66" s="51">
        <f t="shared" ref="AA66:AA125" si="19">IF($Y66=0,"",MONTH($Y66))</f>
        <v>1</v>
      </c>
      <c r="AB66" s="51">
        <f t="shared" ref="AB66:AB125" si="20">IF($Y66=0,"",YEAR($Y66))</f>
        <v>2017</v>
      </c>
    </row>
    <row r="67" spans="1:28">
      <c r="A67" s="98" t="s">
        <v>789</v>
      </c>
      <c r="B67" s="57">
        <v>6296923</v>
      </c>
      <c r="C67" s="37" t="s">
        <v>790</v>
      </c>
      <c r="D67" s="37" t="s">
        <v>811</v>
      </c>
      <c r="E67" s="37" t="s">
        <v>807</v>
      </c>
      <c r="F67" s="36" t="s">
        <v>808</v>
      </c>
      <c r="G67" s="36" t="s">
        <v>108</v>
      </c>
      <c r="H67" s="37" t="s">
        <v>809</v>
      </c>
      <c r="I67" s="2" t="s">
        <v>810</v>
      </c>
      <c r="J67" s="36" t="s">
        <v>791</v>
      </c>
      <c r="K67" s="36">
        <v>1</v>
      </c>
      <c r="L67" s="56">
        <v>42648</v>
      </c>
      <c r="M67" s="36">
        <f t="shared" si="15"/>
        <v>5</v>
      </c>
      <c r="N67" s="36">
        <f t="shared" si="16"/>
        <v>10</v>
      </c>
      <c r="O67" s="36">
        <f t="shared" si="17"/>
        <v>2016</v>
      </c>
      <c r="P67" s="43"/>
      <c r="Q67" s="3">
        <v>480</v>
      </c>
      <c r="R67" s="48">
        <f>Q67*6</f>
        <v>2880</v>
      </c>
      <c r="U67" s="103" t="s">
        <v>821</v>
      </c>
      <c r="X67" s="28" t="s">
        <v>812</v>
      </c>
      <c r="Y67" s="82">
        <v>42755</v>
      </c>
      <c r="Z67" s="51">
        <f t="shared" si="18"/>
        <v>20</v>
      </c>
      <c r="AA67" s="51">
        <f t="shared" si="19"/>
        <v>1</v>
      </c>
      <c r="AB67" s="51">
        <f t="shared" si="20"/>
        <v>2017</v>
      </c>
    </row>
    <row r="68" spans="1:28">
      <c r="A68" s="98" t="s">
        <v>273</v>
      </c>
      <c r="B68" s="92" t="s">
        <v>274</v>
      </c>
      <c r="C68" s="46" t="s">
        <v>275</v>
      </c>
      <c r="D68" s="92" t="s">
        <v>276</v>
      </c>
      <c r="E68" s="36" t="s">
        <v>277</v>
      </c>
      <c r="F68" s="36" t="s">
        <v>278</v>
      </c>
      <c r="G68" s="36" t="s">
        <v>81</v>
      </c>
      <c r="H68" s="100">
        <v>4140110</v>
      </c>
      <c r="I68" s="92" t="s">
        <v>279</v>
      </c>
      <c r="J68" s="36" t="s">
        <v>280</v>
      </c>
      <c r="K68" s="36">
        <v>1</v>
      </c>
      <c r="L68" s="58">
        <v>41773</v>
      </c>
      <c r="M68" s="36">
        <f t="shared" si="15"/>
        <v>14</v>
      </c>
      <c r="N68" s="36">
        <f t="shared" si="16"/>
        <v>5</v>
      </c>
      <c r="O68" s="36">
        <f t="shared" si="17"/>
        <v>2014</v>
      </c>
      <c r="P68" s="93">
        <v>480</v>
      </c>
      <c r="Q68" s="66">
        <v>400</v>
      </c>
      <c r="R68" s="48">
        <f>Q68*12</f>
        <v>4800</v>
      </c>
      <c r="T68" s="51"/>
      <c r="U68" s="103" t="s">
        <v>740</v>
      </c>
      <c r="V68" s="99"/>
      <c r="W68" s="99"/>
      <c r="X68" s="99"/>
      <c r="Y68" s="82">
        <v>42758</v>
      </c>
      <c r="Z68" s="51">
        <f t="shared" si="18"/>
        <v>23</v>
      </c>
      <c r="AA68" s="51">
        <f t="shared" si="19"/>
        <v>1</v>
      </c>
      <c r="AB68" s="51">
        <f t="shared" si="20"/>
        <v>2017</v>
      </c>
    </row>
    <row r="69" spans="1:28" s="51" customFormat="1">
      <c r="A69" s="102" t="s">
        <v>771</v>
      </c>
      <c r="B69" s="57">
        <v>33087354</v>
      </c>
      <c r="C69" s="57" t="s">
        <v>451</v>
      </c>
      <c r="D69" s="37" t="s">
        <v>784</v>
      </c>
      <c r="E69" s="37" t="s">
        <v>772</v>
      </c>
      <c r="F69" s="36" t="s">
        <v>270</v>
      </c>
      <c r="G69" s="36" t="s">
        <v>81</v>
      </c>
      <c r="H69" s="42">
        <v>1410001</v>
      </c>
      <c r="I69" t="s">
        <v>773</v>
      </c>
      <c r="J69" s="36" t="s">
        <v>272</v>
      </c>
      <c r="K69" s="36">
        <v>1</v>
      </c>
      <c r="L69" s="56">
        <v>42606</v>
      </c>
      <c r="M69" s="36">
        <f t="shared" si="15"/>
        <v>24</v>
      </c>
      <c r="N69" s="36">
        <f t="shared" si="16"/>
        <v>8</v>
      </c>
      <c r="O69" s="36">
        <f t="shared" si="17"/>
        <v>2016</v>
      </c>
      <c r="P69" s="43"/>
      <c r="Q69" s="97">
        <v>380</v>
      </c>
      <c r="R69" s="48">
        <f t="shared" ref="R69:R74" si="21">Q69*6</f>
        <v>2280</v>
      </c>
      <c r="T69"/>
      <c r="U69" s="54" t="s">
        <v>829</v>
      </c>
      <c r="V69"/>
      <c r="W69"/>
      <c r="X69"/>
      <c r="Y69" s="82">
        <v>42755</v>
      </c>
      <c r="Z69" s="51">
        <f t="shared" si="18"/>
        <v>20</v>
      </c>
      <c r="AA69" s="51">
        <f t="shared" si="19"/>
        <v>1</v>
      </c>
      <c r="AB69" s="51">
        <f t="shared" si="20"/>
        <v>2017</v>
      </c>
    </row>
    <row r="70" spans="1:28" s="51" customFormat="1">
      <c r="A70" s="102" t="s">
        <v>47</v>
      </c>
      <c r="B70" s="46">
        <v>21593533</v>
      </c>
      <c r="C70" s="36" t="s">
        <v>68</v>
      </c>
      <c r="D70" s="36" t="s">
        <v>48</v>
      </c>
      <c r="E70" s="36" t="s">
        <v>49</v>
      </c>
      <c r="F70" s="36" t="s">
        <v>50</v>
      </c>
      <c r="G70" s="36" t="s">
        <v>81</v>
      </c>
      <c r="H70" s="36" t="s">
        <v>51</v>
      </c>
      <c r="I70" s="36" t="s">
        <v>52</v>
      </c>
      <c r="J70" s="36" t="s">
        <v>53</v>
      </c>
      <c r="K70" s="36">
        <v>1</v>
      </c>
      <c r="L70" s="56">
        <v>40495</v>
      </c>
      <c r="M70" s="36">
        <f t="shared" si="15"/>
        <v>13</v>
      </c>
      <c r="N70" s="36">
        <f t="shared" si="16"/>
        <v>11</v>
      </c>
      <c r="O70" s="36">
        <f t="shared" si="17"/>
        <v>2010</v>
      </c>
      <c r="P70" s="84">
        <v>425</v>
      </c>
      <c r="Q70" s="48">
        <v>480</v>
      </c>
      <c r="R70" s="48">
        <f t="shared" si="21"/>
        <v>2880</v>
      </c>
      <c r="U70" s="54" t="s">
        <v>829</v>
      </c>
      <c r="Y70" s="82">
        <v>42755</v>
      </c>
      <c r="Z70" s="51">
        <f t="shared" si="18"/>
        <v>20</v>
      </c>
      <c r="AA70" s="51">
        <f t="shared" si="19"/>
        <v>1</v>
      </c>
      <c r="AB70" s="51">
        <f t="shared" si="20"/>
        <v>2017</v>
      </c>
    </row>
    <row r="71" spans="1:28" s="51" customFormat="1">
      <c r="A71" s="102" t="s">
        <v>700</v>
      </c>
      <c r="B71" s="81">
        <v>4384011</v>
      </c>
      <c r="C71" s="37" t="s">
        <v>694</v>
      </c>
      <c r="D71" s="37" t="s">
        <v>672</v>
      </c>
      <c r="E71" s="37" t="s">
        <v>701</v>
      </c>
      <c r="F71" s="36" t="s">
        <v>673</v>
      </c>
      <c r="G71" s="36" t="s">
        <v>108</v>
      </c>
      <c r="H71" s="37" t="s">
        <v>674</v>
      </c>
      <c r="I71" s="2" t="s">
        <v>675</v>
      </c>
      <c r="J71" s="36" t="s">
        <v>676</v>
      </c>
      <c r="K71" s="36">
        <v>1</v>
      </c>
      <c r="L71" s="56">
        <v>42537</v>
      </c>
      <c r="M71" s="36">
        <f t="shared" si="15"/>
        <v>16</v>
      </c>
      <c r="N71" s="36">
        <f t="shared" si="16"/>
        <v>6</v>
      </c>
      <c r="O71" s="36">
        <f t="shared" si="17"/>
        <v>2016</v>
      </c>
      <c r="P71" s="43"/>
      <c r="Q71" s="97">
        <v>480</v>
      </c>
      <c r="R71" s="61">
        <f t="shared" si="21"/>
        <v>2880</v>
      </c>
      <c r="T71"/>
      <c r="U71" s="54" t="s">
        <v>829</v>
      </c>
      <c r="V71"/>
      <c r="W71"/>
      <c r="X71"/>
      <c r="Y71" s="82">
        <v>42766</v>
      </c>
      <c r="Z71" s="51">
        <f t="shared" si="18"/>
        <v>31</v>
      </c>
      <c r="AA71" s="51">
        <f t="shared" si="19"/>
        <v>1</v>
      </c>
      <c r="AB71" s="51">
        <f t="shared" si="20"/>
        <v>2017</v>
      </c>
    </row>
    <row r="72" spans="1:28">
      <c r="A72" s="102" t="s">
        <v>719</v>
      </c>
      <c r="B72" s="46">
        <v>1024213</v>
      </c>
      <c r="C72" s="36" t="s">
        <v>720</v>
      </c>
      <c r="D72" s="51" t="s">
        <v>739</v>
      </c>
      <c r="E72" s="36" t="s">
        <v>721</v>
      </c>
      <c r="F72" s="36" t="s">
        <v>722</v>
      </c>
      <c r="G72" s="36" t="s">
        <v>108</v>
      </c>
      <c r="H72" s="54" t="s">
        <v>723</v>
      </c>
      <c r="I72" s="51" t="s">
        <v>724</v>
      </c>
      <c r="J72" s="36" t="s">
        <v>369</v>
      </c>
      <c r="K72" s="36">
        <v>1</v>
      </c>
      <c r="L72" s="56">
        <v>42581</v>
      </c>
      <c r="M72" s="36">
        <f t="shared" si="15"/>
        <v>30</v>
      </c>
      <c r="N72" s="36">
        <f t="shared" si="16"/>
        <v>7</v>
      </c>
      <c r="O72" s="36">
        <f t="shared" si="17"/>
        <v>2016</v>
      </c>
      <c r="P72" s="93"/>
      <c r="Q72" s="95">
        <v>380</v>
      </c>
      <c r="R72" s="48">
        <f t="shared" si="21"/>
        <v>2280</v>
      </c>
      <c r="T72" s="54"/>
      <c r="U72" s="54" t="s">
        <v>829</v>
      </c>
      <c r="V72" s="51"/>
      <c r="W72" s="51"/>
      <c r="X72" s="51"/>
      <c r="Y72" s="82">
        <v>42788</v>
      </c>
      <c r="Z72" s="51">
        <f t="shared" si="18"/>
        <v>22</v>
      </c>
      <c r="AA72" s="51">
        <f t="shared" si="19"/>
        <v>2</v>
      </c>
      <c r="AB72" s="51">
        <f t="shared" si="20"/>
        <v>2017</v>
      </c>
    </row>
    <row r="73" spans="1:28" s="51" customFormat="1">
      <c r="A73" s="102" t="s">
        <v>619</v>
      </c>
      <c r="B73" s="46">
        <v>373808719</v>
      </c>
      <c r="C73" s="36" t="s">
        <v>627</v>
      </c>
      <c r="D73" s="36" t="s">
        <v>620</v>
      </c>
      <c r="E73" s="36" t="s">
        <v>621</v>
      </c>
      <c r="F73" s="36" t="s">
        <v>622</v>
      </c>
      <c r="G73" s="36" t="s">
        <v>108</v>
      </c>
      <c r="H73" s="36" t="s">
        <v>631</v>
      </c>
      <c r="I73" s="36" t="s">
        <v>623</v>
      </c>
      <c r="J73" s="36" t="s">
        <v>624</v>
      </c>
      <c r="K73" s="36">
        <v>1</v>
      </c>
      <c r="L73" s="58">
        <v>42397</v>
      </c>
      <c r="M73" s="36">
        <f t="shared" si="15"/>
        <v>28</v>
      </c>
      <c r="N73" s="36">
        <f t="shared" si="16"/>
        <v>1</v>
      </c>
      <c r="O73" s="36">
        <f t="shared" si="17"/>
        <v>2016</v>
      </c>
      <c r="P73" s="84"/>
      <c r="Q73" s="48">
        <v>480</v>
      </c>
      <c r="R73" s="48">
        <f t="shared" si="21"/>
        <v>2880</v>
      </c>
      <c r="U73" s="54" t="s">
        <v>829</v>
      </c>
      <c r="Y73" s="82">
        <v>42761</v>
      </c>
      <c r="Z73" s="51">
        <f t="shared" si="18"/>
        <v>26</v>
      </c>
      <c r="AA73" s="51">
        <f t="shared" si="19"/>
        <v>1</v>
      </c>
      <c r="AB73" s="51">
        <f t="shared" si="20"/>
        <v>2017</v>
      </c>
    </row>
    <row r="74" spans="1:28" s="51" customFormat="1">
      <c r="A74" s="102" t="s">
        <v>741</v>
      </c>
      <c r="B74" s="57">
        <v>247295681</v>
      </c>
      <c r="C74" s="57" t="s">
        <v>836</v>
      </c>
      <c r="D74" s="37" t="s">
        <v>742</v>
      </c>
      <c r="E74" s="37" t="s">
        <v>743</v>
      </c>
      <c r="F74" s="36" t="s">
        <v>744</v>
      </c>
      <c r="G74" s="36" t="s">
        <v>745</v>
      </c>
      <c r="H74" s="42">
        <v>9061680</v>
      </c>
      <c r="I74" t="s">
        <v>746</v>
      </c>
      <c r="J74" s="36" t="s">
        <v>747</v>
      </c>
      <c r="K74" s="36">
        <v>1</v>
      </c>
      <c r="L74" s="104">
        <v>42588</v>
      </c>
      <c r="M74" s="36">
        <f t="shared" si="15"/>
        <v>6</v>
      </c>
      <c r="N74" s="36">
        <f t="shared" si="16"/>
        <v>8</v>
      </c>
      <c r="O74" s="36">
        <f t="shared" si="17"/>
        <v>2016</v>
      </c>
      <c r="P74" s="43"/>
      <c r="Q74" s="97">
        <v>380</v>
      </c>
      <c r="R74" s="48">
        <f t="shared" si="21"/>
        <v>2280</v>
      </c>
      <c r="T74"/>
      <c r="U74" s="54" t="s">
        <v>829</v>
      </c>
      <c r="V74"/>
      <c r="W74"/>
      <c r="X74"/>
      <c r="Y74" s="82">
        <v>42799</v>
      </c>
      <c r="Z74" s="51">
        <f t="shared" si="18"/>
        <v>5</v>
      </c>
      <c r="AA74" s="51">
        <f t="shared" si="19"/>
        <v>3</v>
      </c>
      <c r="AB74" s="51">
        <f t="shared" si="20"/>
        <v>2017</v>
      </c>
    </row>
    <row r="75" spans="1:28">
      <c r="A75" s="102" t="s">
        <v>683</v>
      </c>
      <c r="B75" s="57">
        <v>521694463</v>
      </c>
      <c r="C75" s="57" t="s">
        <v>696</v>
      </c>
      <c r="D75" s="37" t="s">
        <v>684</v>
      </c>
      <c r="E75" s="37" t="s">
        <v>702</v>
      </c>
      <c r="F75" s="105" t="s">
        <v>548</v>
      </c>
      <c r="G75" s="36" t="s">
        <v>108</v>
      </c>
      <c r="H75" s="57" t="s">
        <v>698</v>
      </c>
      <c r="I75" t="s">
        <v>685</v>
      </c>
      <c r="J75" s="36" t="s">
        <v>686</v>
      </c>
      <c r="K75" s="36">
        <v>2</v>
      </c>
      <c r="L75" s="56">
        <v>42560</v>
      </c>
      <c r="M75" s="36">
        <f t="shared" si="15"/>
        <v>9</v>
      </c>
      <c r="N75" s="36">
        <f t="shared" si="16"/>
        <v>7</v>
      </c>
      <c r="O75" s="36">
        <f t="shared" si="17"/>
        <v>2016</v>
      </c>
      <c r="P75" s="43"/>
      <c r="Q75" s="97">
        <v>820</v>
      </c>
      <c r="R75" s="1">
        <f>760*6</f>
        <v>4560</v>
      </c>
      <c r="T75" s="18"/>
      <c r="U75" s="54" t="s">
        <v>829</v>
      </c>
      <c r="V75" s="51"/>
      <c r="W75" s="51"/>
      <c r="X75" s="51"/>
      <c r="Y75" s="82">
        <v>42833</v>
      </c>
      <c r="Z75" s="51">
        <f t="shared" si="18"/>
        <v>8</v>
      </c>
      <c r="AA75" s="51">
        <f t="shared" si="19"/>
        <v>4</v>
      </c>
      <c r="AB75" s="51">
        <f t="shared" si="20"/>
        <v>2017</v>
      </c>
    </row>
    <row r="76" spans="1:28">
      <c r="A76" s="102" t="s">
        <v>757</v>
      </c>
      <c r="B76" s="57">
        <v>25478335</v>
      </c>
      <c r="C76" s="57" t="s">
        <v>833</v>
      </c>
      <c r="D76" s="37" t="s">
        <v>758</v>
      </c>
      <c r="E76" s="37" t="s">
        <v>759</v>
      </c>
      <c r="F76" s="36" t="s">
        <v>760</v>
      </c>
      <c r="G76" s="36" t="s">
        <v>108</v>
      </c>
      <c r="H76" t="s">
        <v>761</v>
      </c>
      <c r="I76" s="96" t="s">
        <v>762</v>
      </c>
      <c r="J76" s="36" t="s">
        <v>763</v>
      </c>
      <c r="K76" s="36">
        <v>1</v>
      </c>
      <c r="L76" s="104">
        <v>42600</v>
      </c>
      <c r="M76" s="36">
        <f t="shared" si="15"/>
        <v>18</v>
      </c>
      <c r="N76" s="36">
        <f t="shared" si="16"/>
        <v>8</v>
      </c>
      <c r="O76" s="36">
        <f t="shared" si="17"/>
        <v>2016</v>
      </c>
      <c r="P76" s="43"/>
      <c r="Q76" s="97">
        <v>380</v>
      </c>
      <c r="R76" s="61">
        <f>Q76*6</f>
        <v>2280</v>
      </c>
      <c r="U76" s="54" t="s">
        <v>829</v>
      </c>
      <c r="Y76" s="82">
        <v>42840</v>
      </c>
      <c r="Z76" s="51">
        <f t="shared" si="18"/>
        <v>15</v>
      </c>
      <c r="AA76" s="51">
        <f t="shared" si="19"/>
        <v>4</v>
      </c>
      <c r="AB76" s="51">
        <f t="shared" si="20"/>
        <v>2017</v>
      </c>
    </row>
    <row r="77" spans="1:28">
      <c r="A77" s="102" t="s">
        <v>351</v>
      </c>
      <c r="B77" s="46">
        <v>55169007</v>
      </c>
      <c r="C77" s="46" t="s">
        <v>592</v>
      </c>
      <c r="D77" s="37" t="s">
        <v>563</v>
      </c>
      <c r="E77" s="36" t="s">
        <v>564</v>
      </c>
      <c r="F77" s="36" t="s">
        <v>63</v>
      </c>
      <c r="G77" s="36" t="s">
        <v>108</v>
      </c>
      <c r="H77" s="46" t="s">
        <v>355</v>
      </c>
      <c r="I77" s="106" t="s">
        <v>565</v>
      </c>
      <c r="J77" s="36" t="s">
        <v>566</v>
      </c>
      <c r="K77" s="36">
        <v>1</v>
      </c>
      <c r="L77" s="56">
        <v>42393</v>
      </c>
      <c r="M77" s="36">
        <f t="shared" si="15"/>
        <v>24</v>
      </c>
      <c r="N77" s="36">
        <f t="shared" si="16"/>
        <v>1</v>
      </c>
      <c r="O77" s="36">
        <f t="shared" si="17"/>
        <v>2016</v>
      </c>
      <c r="P77" s="93"/>
      <c r="Q77" s="48">
        <v>480</v>
      </c>
      <c r="R77" s="48">
        <f>Q77*6</f>
        <v>2880</v>
      </c>
      <c r="U77" s="54" t="s">
        <v>829</v>
      </c>
      <c r="V77" s="51"/>
      <c r="W77" s="51"/>
      <c r="X77" s="51"/>
      <c r="Y77" s="82">
        <v>42847</v>
      </c>
      <c r="Z77" s="51">
        <f t="shared" si="18"/>
        <v>22</v>
      </c>
      <c r="AA77" s="51">
        <f t="shared" si="19"/>
        <v>4</v>
      </c>
      <c r="AB77" s="51">
        <f t="shared" si="20"/>
        <v>2017</v>
      </c>
    </row>
    <row r="78" spans="1:28">
      <c r="A78" s="102" t="s">
        <v>879</v>
      </c>
      <c r="B78" s="57">
        <v>317631042</v>
      </c>
      <c r="C78" s="57" t="s">
        <v>888</v>
      </c>
      <c r="D78" s="37" t="s">
        <v>749</v>
      </c>
      <c r="E78" s="37" t="s">
        <v>750</v>
      </c>
      <c r="F78" s="36" t="s">
        <v>751</v>
      </c>
      <c r="G78" s="36" t="s">
        <v>108</v>
      </c>
      <c r="H78" s="42" t="s">
        <v>890</v>
      </c>
      <c r="I78" t="s">
        <v>752</v>
      </c>
      <c r="J78" s="36" t="s">
        <v>753</v>
      </c>
      <c r="K78" s="36">
        <v>1</v>
      </c>
      <c r="L78" s="56">
        <v>42790</v>
      </c>
      <c r="M78" s="36">
        <f t="shared" si="15"/>
        <v>24</v>
      </c>
      <c r="N78" s="36">
        <f t="shared" si="16"/>
        <v>2</v>
      </c>
      <c r="O78" s="36">
        <f t="shared" si="17"/>
        <v>2017</v>
      </c>
      <c r="P78" s="43"/>
      <c r="Q78" s="97">
        <v>480</v>
      </c>
      <c r="R78" s="48">
        <f>Q78*4</f>
        <v>1920</v>
      </c>
      <c r="U78" s="54" t="s">
        <v>892</v>
      </c>
      <c r="Y78" s="82">
        <v>42851</v>
      </c>
      <c r="Z78" s="51">
        <f t="shared" si="18"/>
        <v>26</v>
      </c>
      <c r="AA78" s="51">
        <f t="shared" si="19"/>
        <v>4</v>
      </c>
      <c r="AB78" s="51">
        <f t="shared" si="20"/>
        <v>2017</v>
      </c>
    </row>
    <row r="79" spans="1:28" s="51" customFormat="1">
      <c r="A79" s="102" t="s">
        <v>817</v>
      </c>
      <c r="B79" s="57">
        <v>234077190</v>
      </c>
      <c r="C79" s="57" t="s">
        <v>825</v>
      </c>
      <c r="D79" s="37">
        <v>1134558722</v>
      </c>
      <c r="E79" s="37" t="s">
        <v>826</v>
      </c>
      <c r="F79" s="36" t="s">
        <v>776</v>
      </c>
      <c r="G79" s="36" t="s">
        <v>108</v>
      </c>
      <c r="H79" s="18" t="s">
        <v>818</v>
      </c>
      <c r="I79" t="s">
        <v>819</v>
      </c>
      <c r="J79" s="36" t="s">
        <v>820</v>
      </c>
      <c r="K79" s="36">
        <v>1</v>
      </c>
      <c r="L79" s="56">
        <v>42673</v>
      </c>
      <c r="M79" s="36">
        <f t="shared" si="15"/>
        <v>30</v>
      </c>
      <c r="N79" s="36">
        <f t="shared" si="16"/>
        <v>10</v>
      </c>
      <c r="O79" s="36">
        <f t="shared" si="17"/>
        <v>2016</v>
      </c>
      <c r="P79" s="43"/>
      <c r="Q79" s="4">
        <v>480</v>
      </c>
      <c r="R79" s="48">
        <f>Q79*6</f>
        <v>2880</v>
      </c>
      <c r="T79"/>
      <c r="U79" s="54" t="s">
        <v>829</v>
      </c>
      <c r="V79"/>
      <c r="W79"/>
      <c r="X79"/>
      <c r="Y79" s="82">
        <v>42886</v>
      </c>
      <c r="Z79" s="51">
        <f t="shared" si="18"/>
        <v>31</v>
      </c>
      <c r="AA79" s="51">
        <f t="shared" si="19"/>
        <v>5</v>
      </c>
      <c r="AB79" s="51">
        <f t="shared" si="20"/>
        <v>2017</v>
      </c>
    </row>
    <row r="80" spans="1:28">
      <c r="A80" s="98" t="s">
        <v>903</v>
      </c>
      <c r="B80" s="57">
        <v>23120795</v>
      </c>
      <c r="C80" s="37" t="s">
        <v>904</v>
      </c>
      <c r="D80" s="37" t="s">
        <v>905</v>
      </c>
      <c r="E80" s="37" t="s">
        <v>906</v>
      </c>
      <c r="F80" s="36" t="s">
        <v>907</v>
      </c>
      <c r="G80" s="36" t="s">
        <v>108</v>
      </c>
      <c r="H80" s="42" t="s">
        <v>918</v>
      </c>
      <c r="I80" t="s">
        <v>908</v>
      </c>
      <c r="J80" s="36" t="s">
        <v>909</v>
      </c>
      <c r="K80" s="36">
        <v>1</v>
      </c>
      <c r="L80" s="56">
        <v>42803</v>
      </c>
      <c r="M80" s="36">
        <f t="shared" si="15"/>
        <v>9</v>
      </c>
      <c r="N80" s="36">
        <f t="shared" si="16"/>
        <v>3</v>
      </c>
      <c r="O80" s="36">
        <f t="shared" si="17"/>
        <v>2017</v>
      </c>
      <c r="P80" s="43"/>
      <c r="Q80" s="97">
        <v>480</v>
      </c>
      <c r="R80" s="1">
        <f>2*Q80</f>
        <v>960</v>
      </c>
      <c r="T80" s="65" t="s">
        <v>902</v>
      </c>
      <c r="U80" s="103" t="s">
        <v>921</v>
      </c>
      <c r="V80" s="99"/>
      <c r="W80" s="99"/>
      <c r="Y80" s="82">
        <v>42835</v>
      </c>
      <c r="Z80" s="51">
        <f t="shared" si="18"/>
        <v>10</v>
      </c>
      <c r="AA80" s="51">
        <f t="shared" si="19"/>
        <v>4</v>
      </c>
      <c r="AB80" s="51">
        <f t="shared" si="20"/>
        <v>2017</v>
      </c>
    </row>
    <row r="81" spans="1:28">
      <c r="A81" s="86" t="s">
        <v>635</v>
      </c>
      <c r="B81" s="57">
        <v>21485976</v>
      </c>
      <c r="C81" s="37" t="s">
        <v>636</v>
      </c>
      <c r="D81" s="37" t="s">
        <v>637</v>
      </c>
      <c r="E81" s="37" t="s">
        <v>638</v>
      </c>
      <c r="F81" s="36" t="s">
        <v>270</v>
      </c>
      <c r="G81" s="36" t="s">
        <v>108</v>
      </c>
      <c r="H81" s="37" t="s">
        <v>639</v>
      </c>
      <c r="I81" t="s">
        <v>640</v>
      </c>
      <c r="J81" s="36" t="s">
        <v>939</v>
      </c>
      <c r="K81" s="36">
        <v>2</v>
      </c>
      <c r="L81" s="56">
        <v>42816</v>
      </c>
      <c r="M81" s="36">
        <f t="shared" si="15"/>
        <v>22</v>
      </c>
      <c r="N81" s="36">
        <f t="shared" si="16"/>
        <v>3</v>
      </c>
      <c r="O81" s="36">
        <f t="shared" si="17"/>
        <v>2017</v>
      </c>
      <c r="P81" s="43"/>
      <c r="Q81" s="6">
        <v>912</v>
      </c>
      <c r="R81" s="1">
        <f>3*Q81</f>
        <v>2736</v>
      </c>
      <c r="U81" s="54" t="s">
        <v>920</v>
      </c>
      <c r="X81" s="54" t="s">
        <v>917</v>
      </c>
      <c r="Y81" s="82">
        <v>42892</v>
      </c>
      <c r="Z81" s="51">
        <f t="shared" si="18"/>
        <v>6</v>
      </c>
      <c r="AA81" s="51">
        <f t="shared" si="19"/>
        <v>6</v>
      </c>
      <c r="AB81" s="51">
        <f t="shared" si="20"/>
        <v>2017</v>
      </c>
    </row>
    <row r="82" spans="1:28" s="51" customFormat="1">
      <c r="A82" s="86" t="s">
        <v>725</v>
      </c>
      <c r="B82" s="46">
        <v>293318682</v>
      </c>
      <c r="C82" s="46" t="s">
        <v>731</v>
      </c>
      <c r="D82" s="36" t="s">
        <v>726</v>
      </c>
      <c r="E82" s="36" t="s">
        <v>730</v>
      </c>
      <c r="F82" s="36" t="s">
        <v>559</v>
      </c>
      <c r="G82" s="36" t="s">
        <v>108</v>
      </c>
      <c r="H82" s="51" t="s">
        <v>727</v>
      </c>
      <c r="I82" s="51" t="s">
        <v>728</v>
      </c>
      <c r="J82" s="36" t="s">
        <v>729</v>
      </c>
      <c r="K82" s="36">
        <v>1</v>
      </c>
      <c r="L82" s="47">
        <v>42586</v>
      </c>
      <c r="M82" s="36">
        <f t="shared" si="15"/>
        <v>4</v>
      </c>
      <c r="N82" s="36">
        <f t="shared" si="16"/>
        <v>8</v>
      </c>
      <c r="O82" s="36">
        <f t="shared" si="17"/>
        <v>2016</v>
      </c>
      <c r="P82" s="93"/>
      <c r="Q82" s="95">
        <v>410</v>
      </c>
      <c r="R82" s="48">
        <f>Q82*6</f>
        <v>2460</v>
      </c>
      <c r="T82" s="54" t="s">
        <v>165</v>
      </c>
      <c r="U82" s="54"/>
      <c r="Y82" s="82">
        <v>42891</v>
      </c>
      <c r="Z82" s="51">
        <f t="shared" si="18"/>
        <v>5</v>
      </c>
      <c r="AA82" s="51">
        <f t="shared" si="19"/>
        <v>6</v>
      </c>
      <c r="AB82" s="51">
        <f t="shared" si="20"/>
        <v>2017</v>
      </c>
    </row>
    <row r="83" spans="1:28">
      <c r="A83" s="37" t="s">
        <v>952</v>
      </c>
      <c r="B83" s="57">
        <v>300232445</v>
      </c>
      <c r="C83" s="37" t="s">
        <v>951</v>
      </c>
      <c r="D83" t="s">
        <v>950</v>
      </c>
      <c r="E83" s="37" t="s">
        <v>949</v>
      </c>
      <c r="F83" s="36" t="s">
        <v>948</v>
      </c>
      <c r="G83" s="36" t="s">
        <v>108</v>
      </c>
      <c r="H83" s="37" t="s">
        <v>947</v>
      </c>
      <c r="I83" t="s">
        <v>946</v>
      </c>
      <c r="J83" s="36" t="s">
        <v>945</v>
      </c>
      <c r="K83" s="36">
        <v>1</v>
      </c>
      <c r="L83" s="104">
        <v>42900</v>
      </c>
      <c r="M83" s="36">
        <f t="shared" si="15"/>
        <v>14</v>
      </c>
      <c r="N83" s="36">
        <f t="shared" si="16"/>
        <v>6</v>
      </c>
      <c r="O83" s="36">
        <f t="shared" si="17"/>
        <v>2017</v>
      </c>
      <c r="P83" s="43"/>
      <c r="Q83" s="1">
        <v>480</v>
      </c>
      <c r="Y83" s="82">
        <v>42907</v>
      </c>
      <c r="Z83" s="51">
        <f t="shared" si="18"/>
        <v>21</v>
      </c>
      <c r="AA83" s="51">
        <f t="shared" si="19"/>
        <v>6</v>
      </c>
      <c r="AB83" s="51">
        <f t="shared" si="20"/>
        <v>2017</v>
      </c>
    </row>
    <row r="84" spans="1:28">
      <c r="A84" s="86" t="s">
        <v>880</v>
      </c>
      <c r="B84" s="18" t="s">
        <v>881</v>
      </c>
      <c r="C84" t="s">
        <v>882</v>
      </c>
      <c r="D84" s="37" t="s">
        <v>883</v>
      </c>
      <c r="E84" s="37" t="s">
        <v>884</v>
      </c>
      <c r="F84" s="36" t="s">
        <v>885</v>
      </c>
      <c r="G84" s="36" t="s">
        <v>108</v>
      </c>
      <c r="H84" t="s">
        <v>886</v>
      </c>
      <c r="I84" s="2" t="s">
        <v>944</v>
      </c>
      <c r="J84" s="36" t="s">
        <v>887</v>
      </c>
      <c r="K84" s="36">
        <v>1</v>
      </c>
      <c r="L84" s="104">
        <v>42791</v>
      </c>
      <c r="M84" s="36">
        <f t="shared" si="15"/>
        <v>25</v>
      </c>
      <c r="N84" s="36">
        <f t="shared" si="16"/>
        <v>2</v>
      </c>
      <c r="O84" s="36">
        <f t="shared" si="17"/>
        <v>2017</v>
      </c>
      <c r="P84" s="43"/>
      <c r="Q84" s="97">
        <v>480</v>
      </c>
      <c r="R84" s="48">
        <f>Q84*4</f>
        <v>1920</v>
      </c>
      <c r="U84" s="54" t="s">
        <v>892</v>
      </c>
      <c r="Y84" s="82">
        <v>42919</v>
      </c>
      <c r="Z84" s="51">
        <f t="shared" si="18"/>
        <v>3</v>
      </c>
      <c r="AA84" s="51">
        <f t="shared" si="19"/>
        <v>7</v>
      </c>
      <c r="AB84" s="51">
        <f t="shared" si="20"/>
        <v>2017</v>
      </c>
    </row>
    <row r="85" spans="1:28">
      <c r="A85" s="73" t="s">
        <v>978</v>
      </c>
      <c r="B85" s="8" t="s">
        <v>979</v>
      </c>
      <c r="C85" s="8" t="s">
        <v>980</v>
      </c>
      <c r="D85" s="8" t="s">
        <v>981</v>
      </c>
      <c r="E85" s="8" t="s">
        <v>982</v>
      </c>
      <c r="F85" s="73" t="s">
        <v>983</v>
      </c>
      <c r="G85" s="73" t="s">
        <v>108</v>
      </c>
      <c r="H85" s="8" t="s">
        <v>984</v>
      </c>
      <c r="I85" s="7" t="s">
        <v>985</v>
      </c>
      <c r="J85" s="73" t="s">
        <v>986</v>
      </c>
      <c r="K85" s="73">
        <v>1</v>
      </c>
      <c r="L85" s="10">
        <v>42913</v>
      </c>
      <c r="M85" s="36">
        <f t="shared" si="15"/>
        <v>27</v>
      </c>
      <c r="N85" s="36">
        <f t="shared" si="16"/>
        <v>6</v>
      </c>
      <c r="O85" s="36">
        <f t="shared" si="17"/>
        <v>2017</v>
      </c>
      <c r="P85" s="9"/>
      <c r="Q85" s="11">
        <v>480</v>
      </c>
      <c r="R85" s="48">
        <f t="shared" ref="R85:R91" si="22">Q85*6</f>
        <v>2880</v>
      </c>
      <c r="Y85" s="82">
        <v>42926</v>
      </c>
      <c r="Z85" s="51">
        <f t="shared" si="18"/>
        <v>10</v>
      </c>
      <c r="AA85" s="51">
        <f t="shared" si="19"/>
        <v>7</v>
      </c>
      <c r="AB85" s="51">
        <f t="shared" si="20"/>
        <v>2017</v>
      </c>
    </row>
    <row r="86" spans="1:28">
      <c r="A86" s="98" t="s">
        <v>929</v>
      </c>
      <c r="B86" s="57" t="s">
        <v>930</v>
      </c>
      <c r="C86" s="37" t="s">
        <v>931</v>
      </c>
      <c r="D86" s="37" t="s">
        <v>932</v>
      </c>
      <c r="E86" s="37" t="s">
        <v>933</v>
      </c>
      <c r="F86" s="36" t="s">
        <v>934</v>
      </c>
      <c r="G86" s="36" t="s">
        <v>108</v>
      </c>
      <c r="H86" s="42" t="s">
        <v>935</v>
      </c>
      <c r="I86" t="s">
        <v>936</v>
      </c>
      <c r="J86" s="36" t="s">
        <v>937</v>
      </c>
      <c r="K86" s="36">
        <v>1</v>
      </c>
      <c r="L86" s="56">
        <v>42851</v>
      </c>
      <c r="M86" s="36">
        <f t="shared" si="15"/>
        <v>26</v>
      </c>
      <c r="N86" s="36">
        <f t="shared" si="16"/>
        <v>4</v>
      </c>
      <c r="O86" s="36">
        <f t="shared" si="17"/>
        <v>2017</v>
      </c>
      <c r="P86" s="43"/>
      <c r="Q86" s="6">
        <v>450</v>
      </c>
      <c r="R86" s="48">
        <f t="shared" si="22"/>
        <v>2700</v>
      </c>
      <c r="T86" s="50" t="s">
        <v>938</v>
      </c>
      <c r="U86" s="103" t="s">
        <v>987</v>
      </c>
      <c r="V86" s="99"/>
      <c r="W86" s="99"/>
      <c r="Y86" s="82">
        <v>42944</v>
      </c>
      <c r="Z86" s="51">
        <f t="shared" si="18"/>
        <v>28</v>
      </c>
      <c r="AA86" s="51">
        <f t="shared" si="19"/>
        <v>7</v>
      </c>
      <c r="AB86" s="51">
        <f t="shared" si="20"/>
        <v>2017</v>
      </c>
    </row>
    <row r="87" spans="1:28">
      <c r="A87" s="36" t="s">
        <v>862</v>
      </c>
      <c r="B87" s="37" t="s">
        <v>863</v>
      </c>
      <c r="C87" s="37" t="s">
        <v>873</v>
      </c>
      <c r="D87" s="37" t="s">
        <v>874</v>
      </c>
      <c r="E87" s="37" t="s">
        <v>864</v>
      </c>
      <c r="F87" s="36" t="s">
        <v>424</v>
      </c>
      <c r="G87" s="36" t="s">
        <v>108</v>
      </c>
      <c r="H87" t="s">
        <v>865</v>
      </c>
      <c r="I87" t="s">
        <v>866</v>
      </c>
      <c r="J87" s="36" t="s">
        <v>867</v>
      </c>
      <c r="K87" s="36">
        <v>1</v>
      </c>
      <c r="L87" s="104">
        <v>42745</v>
      </c>
      <c r="M87" s="36">
        <f t="shared" si="15"/>
        <v>10</v>
      </c>
      <c r="N87" s="36">
        <f t="shared" si="16"/>
        <v>1</v>
      </c>
      <c r="O87" s="36">
        <f t="shared" si="17"/>
        <v>2017</v>
      </c>
      <c r="P87" s="43"/>
      <c r="Q87" s="4">
        <v>480</v>
      </c>
      <c r="R87" s="48">
        <f t="shared" si="22"/>
        <v>2880</v>
      </c>
      <c r="U87" s="54" t="s">
        <v>974</v>
      </c>
      <c r="X87" s="51" t="s">
        <v>868</v>
      </c>
      <c r="Y87" s="82">
        <v>42944</v>
      </c>
      <c r="Z87" s="51">
        <f t="shared" si="18"/>
        <v>28</v>
      </c>
      <c r="AA87" s="51">
        <f t="shared" si="19"/>
        <v>7</v>
      </c>
      <c r="AB87" s="51">
        <f t="shared" si="20"/>
        <v>2017</v>
      </c>
    </row>
    <row r="88" spans="1:28">
      <c r="A88" s="36" t="s">
        <v>846</v>
      </c>
      <c r="B88" s="57">
        <v>1082912809</v>
      </c>
      <c r="C88" t="s">
        <v>852</v>
      </c>
      <c r="D88" s="37" t="s">
        <v>847</v>
      </c>
      <c r="E88" s="37" t="s">
        <v>848</v>
      </c>
      <c r="F88" s="36" t="s">
        <v>849</v>
      </c>
      <c r="G88" s="36" t="s">
        <v>108</v>
      </c>
      <c r="H88" s="42" t="s">
        <v>851</v>
      </c>
      <c r="I88" t="s">
        <v>850</v>
      </c>
      <c r="J88" s="36" t="s">
        <v>832</v>
      </c>
      <c r="K88" s="36">
        <v>1</v>
      </c>
      <c r="L88" s="56">
        <v>42713</v>
      </c>
      <c r="M88" s="36">
        <f t="shared" si="15"/>
        <v>9</v>
      </c>
      <c r="N88" s="36">
        <f t="shared" si="16"/>
        <v>12</v>
      </c>
      <c r="O88" s="36">
        <f t="shared" si="17"/>
        <v>2016</v>
      </c>
      <c r="P88" s="43"/>
      <c r="Q88" s="4">
        <v>480</v>
      </c>
      <c r="R88" s="48">
        <f t="shared" si="22"/>
        <v>2880</v>
      </c>
      <c r="U88" s="54" t="s">
        <v>974</v>
      </c>
      <c r="Y88" s="82">
        <v>42956</v>
      </c>
      <c r="Z88" s="51">
        <f t="shared" si="18"/>
        <v>9</v>
      </c>
      <c r="AA88" s="51">
        <f t="shared" si="19"/>
        <v>8</v>
      </c>
      <c r="AB88" s="51">
        <f t="shared" si="20"/>
        <v>2017</v>
      </c>
    </row>
    <row r="89" spans="1:28">
      <c r="A89" s="36" t="s">
        <v>893</v>
      </c>
      <c r="B89" s="37" t="s">
        <v>894</v>
      </c>
      <c r="C89" s="37" t="s">
        <v>895</v>
      </c>
      <c r="D89" s="37" t="s">
        <v>896</v>
      </c>
      <c r="E89" s="37" t="s">
        <v>897</v>
      </c>
      <c r="F89" s="36" t="s">
        <v>898</v>
      </c>
      <c r="G89" s="36" t="s">
        <v>108</v>
      </c>
      <c r="H89" t="s">
        <v>899</v>
      </c>
      <c r="I89" t="s">
        <v>900</v>
      </c>
      <c r="J89" s="36" t="s">
        <v>901</v>
      </c>
      <c r="K89" s="36">
        <v>1</v>
      </c>
      <c r="L89" s="56">
        <v>42802</v>
      </c>
      <c r="M89" s="36">
        <f t="shared" si="15"/>
        <v>8</v>
      </c>
      <c r="N89" s="36">
        <f t="shared" si="16"/>
        <v>3</v>
      </c>
      <c r="O89" s="36">
        <f t="shared" si="17"/>
        <v>2017</v>
      </c>
      <c r="P89" s="43"/>
      <c r="Q89" s="97">
        <v>480</v>
      </c>
      <c r="R89" s="48">
        <f t="shared" si="22"/>
        <v>2880</v>
      </c>
      <c r="T89" s="54"/>
      <c r="U89" s="54" t="s">
        <v>974</v>
      </c>
      <c r="V89" s="51"/>
      <c r="W89" s="51"/>
      <c r="Y89" s="82">
        <v>42973</v>
      </c>
      <c r="Z89" s="51">
        <f t="shared" si="18"/>
        <v>26</v>
      </c>
      <c r="AA89" s="51">
        <f t="shared" si="19"/>
        <v>8</v>
      </c>
      <c r="AB89" s="51">
        <f t="shared" si="20"/>
        <v>2017</v>
      </c>
    </row>
    <row r="90" spans="1:28" s="51" customFormat="1" ht="15.6">
      <c r="A90" s="36" t="s">
        <v>814</v>
      </c>
      <c r="B90" s="57">
        <v>485195732</v>
      </c>
      <c r="C90" s="57" t="s">
        <v>822</v>
      </c>
      <c r="D90" s="37" t="s">
        <v>824</v>
      </c>
      <c r="E90" s="37" t="s">
        <v>815</v>
      </c>
      <c r="F90" s="36" t="s">
        <v>816</v>
      </c>
      <c r="G90" s="36" t="s">
        <v>108</v>
      </c>
      <c r="H90" s="18" t="s">
        <v>823</v>
      </c>
      <c r="I90" s="107" t="s">
        <v>940</v>
      </c>
      <c r="J90" s="36" t="s">
        <v>500</v>
      </c>
      <c r="K90" s="36">
        <v>1</v>
      </c>
      <c r="L90" s="56">
        <v>42665</v>
      </c>
      <c r="M90" s="36">
        <f t="shared" ref="M90:M96" si="23">DAY(L90)</f>
        <v>22</v>
      </c>
      <c r="N90" s="36">
        <f t="shared" ref="N90:N96" si="24">MONTH(L90)</f>
        <v>10</v>
      </c>
      <c r="O90" s="36">
        <f t="shared" ref="O90:O96" si="25">YEAR(L90)</f>
        <v>2016</v>
      </c>
      <c r="P90" s="43"/>
      <c r="Q90" s="4">
        <v>480</v>
      </c>
      <c r="R90" s="48">
        <f t="shared" si="22"/>
        <v>2880</v>
      </c>
      <c r="T90"/>
      <c r="U90" s="54" t="s">
        <v>977</v>
      </c>
      <c r="V90"/>
      <c r="W90"/>
      <c r="X90"/>
      <c r="Y90" s="82">
        <v>42991</v>
      </c>
      <c r="Z90" s="51">
        <f t="shared" si="18"/>
        <v>13</v>
      </c>
      <c r="AA90" s="51">
        <f t="shared" si="19"/>
        <v>9</v>
      </c>
      <c r="AB90" s="51">
        <f t="shared" si="20"/>
        <v>2017</v>
      </c>
    </row>
    <row r="91" spans="1:28">
      <c r="A91" s="36" t="s">
        <v>778</v>
      </c>
      <c r="B91" s="57">
        <v>32494309</v>
      </c>
      <c r="C91" s="57" t="s">
        <v>786</v>
      </c>
      <c r="D91" s="37" t="s">
        <v>788</v>
      </c>
      <c r="E91" s="37" t="s">
        <v>779</v>
      </c>
      <c r="F91" s="36" t="s">
        <v>780</v>
      </c>
      <c r="G91" s="36" t="s">
        <v>647</v>
      </c>
      <c r="H91" s="42" t="s">
        <v>787</v>
      </c>
      <c r="I91" t="s">
        <v>781</v>
      </c>
      <c r="J91" s="36" t="s">
        <v>782</v>
      </c>
      <c r="K91" s="36">
        <v>1</v>
      </c>
      <c r="L91" s="56">
        <v>42631</v>
      </c>
      <c r="M91" s="36">
        <f t="shared" si="23"/>
        <v>18</v>
      </c>
      <c r="N91" s="36">
        <f t="shared" si="24"/>
        <v>9</v>
      </c>
      <c r="O91" s="36">
        <f t="shared" si="25"/>
        <v>2016</v>
      </c>
      <c r="P91" s="43"/>
      <c r="Q91" s="108">
        <v>380</v>
      </c>
      <c r="R91" s="61">
        <f t="shared" si="22"/>
        <v>2280</v>
      </c>
      <c r="U91" s="54" t="s">
        <v>976</v>
      </c>
      <c r="V91" s="51"/>
      <c r="W91" s="51"/>
      <c r="X91" s="51"/>
      <c r="Y91" s="82">
        <v>43008</v>
      </c>
      <c r="Z91" s="51">
        <f t="shared" si="18"/>
        <v>30</v>
      </c>
      <c r="AA91" s="51">
        <f t="shared" si="19"/>
        <v>9</v>
      </c>
      <c r="AB91" s="51">
        <f t="shared" si="20"/>
        <v>2017</v>
      </c>
    </row>
    <row r="92" spans="1:28">
      <c r="A92" s="36" t="s">
        <v>942</v>
      </c>
      <c r="B92" s="57">
        <v>162230187</v>
      </c>
      <c r="C92" s="37" t="s">
        <v>966</v>
      </c>
      <c r="D92" s="37" t="s">
        <v>967</v>
      </c>
      <c r="E92" s="37" t="s">
        <v>968</v>
      </c>
      <c r="F92" s="36" t="s">
        <v>673</v>
      </c>
      <c r="G92" s="36" t="s">
        <v>108</v>
      </c>
      <c r="H92" t="s">
        <v>969</v>
      </c>
      <c r="I92" s="2" t="s">
        <v>973</v>
      </c>
      <c r="J92" s="36" t="s">
        <v>970</v>
      </c>
      <c r="K92" s="36">
        <v>1</v>
      </c>
      <c r="L92" s="56">
        <v>42928</v>
      </c>
      <c r="M92" s="36">
        <f t="shared" si="23"/>
        <v>12</v>
      </c>
      <c r="N92" s="36">
        <f t="shared" si="24"/>
        <v>7</v>
      </c>
      <c r="O92" s="36">
        <f t="shared" si="25"/>
        <v>2017</v>
      </c>
      <c r="P92" s="43"/>
      <c r="Q92" s="1">
        <v>480</v>
      </c>
      <c r="R92" s="48">
        <f>Q92*5</f>
        <v>2400</v>
      </c>
      <c r="T92" s="18"/>
      <c r="U92" s="54" t="s">
        <v>974</v>
      </c>
      <c r="Y92" s="82">
        <v>43084</v>
      </c>
      <c r="Z92" s="51">
        <f t="shared" si="18"/>
        <v>15</v>
      </c>
      <c r="AA92" s="51">
        <f t="shared" si="19"/>
        <v>12</v>
      </c>
      <c r="AB92" s="51">
        <f t="shared" si="20"/>
        <v>2017</v>
      </c>
    </row>
    <row r="93" spans="1:28">
      <c r="A93" s="36" t="s">
        <v>995</v>
      </c>
      <c r="B93" s="37" t="s">
        <v>996</v>
      </c>
      <c r="C93" s="37" t="s">
        <v>997</v>
      </c>
      <c r="D93" s="37" t="s">
        <v>998</v>
      </c>
      <c r="E93" s="37" t="s">
        <v>1419</v>
      </c>
      <c r="F93" s="36" t="s">
        <v>1420</v>
      </c>
      <c r="G93" s="36" t="s">
        <v>108</v>
      </c>
      <c r="H93" s="109" t="s">
        <v>1421</v>
      </c>
      <c r="I93" s="2" t="s">
        <v>999</v>
      </c>
      <c r="J93" s="36" t="s">
        <v>1000</v>
      </c>
      <c r="K93" s="36">
        <v>1</v>
      </c>
      <c r="L93" s="56">
        <v>42954</v>
      </c>
      <c r="M93" s="36">
        <f t="shared" si="23"/>
        <v>7</v>
      </c>
      <c r="N93" s="36">
        <f t="shared" si="24"/>
        <v>8</v>
      </c>
      <c r="O93" s="36">
        <f t="shared" si="25"/>
        <v>2017</v>
      </c>
      <c r="P93" s="43"/>
      <c r="Q93" s="97">
        <v>480</v>
      </c>
      <c r="R93" s="1">
        <f>Q93*4</f>
        <v>1920</v>
      </c>
      <c r="U93" s="54" t="s">
        <v>1019</v>
      </c>
      <c r="Y93" s="82">
        <v>43079</v>
      </c>
      <c r="Z93" s="51">
        <f t="shared" si="18"/>
        <v>10</v>
      </c>
      <c r="AA93" s="51">
        <f t="shared" si="19"/>
        <v>12</v>
      </c>
      <c r="AB93" s="51">
        <f t="shared" si="20"/>
        <v>2017</v>
      </c>
    </row>
    <row r="94" spans="1:28">
      <c r="A94" s="36" t="s">
        <v>943</v>
      </c>
      <c r="B94" s="37" t="s">
        <v>953</v>
      </c>
      <c r="C94" s="37" t="s">
        <v>954</v>
      </c>
      <c r="D94" s="37" t="s">
        <v>955</v>
      </c>
      <c r="E94" s="37" t="s">
        <v>956</v>
      </c>
      <c r="F94" s="36" t="s">
        <v>957</v>
      </c>
      <c r="G94" s="36" t="s">
        <v>108</v>
      </c>
      <c r="H94" s="37" t="s">
        <v>958</v>
      </c>
      <c r="I94" s="2" t="s">
        <v>959</v>
      </c>
      <c r="J94" s="36" t="s">
        <v>960</v>
      </c>
      <c r="K94" s="36">
        <v>4</v>
      </c>
      <c r="L94" s="56">
        <v>42870</v>
      </c>
      <c r="M94" s="36">
        <f t="shared" si="23"/>
        <v>15</v>
      </c>
      <c r="N94" s="36">
        <f t="shared" si="24"/>
        <v>5</v>
      </c>
      <c r="O94" s="36">
        <f t="shared" si="25"/>
        <v>2017</v>
      </c>
      <c r="P94" s="43"/>
      <c r="Q94" s="110">
        <v>2795.75</v>
      </c>
      <c r="R94" s="48">
        <f>Q94*6</f>
        <v>16774.5</v>
      </c>
      <c r="U94" s="54" t="s">
        <v>976</v>
      </c>
      <c r="Y94" s="82">
        <v>43085</v>
      </c>
      <c r="Z94" s="51">
        <f t="shared" si="18"/>
        <v>16</v>
      </c>
      <c r="AA94" s="51">
        <f t="shared" si="19"/>
        <v>12</v>
      </c>
      <c r="AB94" s="51">
        <f t="shared" si="20"/>
        <v>2017</v>
      </c>
    </row>
    <row r="95" spans="1:28">
      <c r="A95" s="36" t="s">
        <v>1022</v>
      </c>
      <c r="B95" s="37" t="s">
        <v>1023</v>
      </c>
      <c r="C95" s="37" t="s">
        <v>1039</v>
      </c>
      <c r="D95" s="37" t="s">
        <v>1024</v>
      </c>
      <c r="E95" s="37" t="s">
        <v>1025</v>
      </c>
      <c r="F95" s="36" t="s">
        <v>1026</v>
      </c>
      <c r="G95" s="36" t="s">
        <v>1027</v>
      </c>
      <c r="H95" s="37" t="s">
        <v>1028</v>
      </c>
      <c r="I95" s="2" t="s">
        <v>1029</v>
      </c>
      <c r="J95" s="36" t="s">
        <v>1030</v>
      </c>
      <c r="K95" s="36">
        <v>1</v>
      </c>
      <c r="L95" s="56">
        <v>42978</v>
      </c>
      <c r="M95" s="36">
        <f t="shared" si="23"/>
        <v>31</v>
      </c>
      <c r="N95" s="36">
        <f t="shared" si="24"/>
        <v>8</v>
      </c>
      <c r="O95" s="36">
        <f t="shared" si="25"/>
        <v>2017</v>
      </c>
      <c r="P95" s="43"/>
      <c r="Q95" s="97">
        <v>450</v>
      </c>
      <c r="R95" s="111">
        <f>Q95*4</f>
        <v>1800</v>
      </c>
      <c r="U95" s="54" t="s">
        <v>1019</v>
      </c>
      <c r="X95" s="18" t="s">
        <v>1031</v>
      </c>
      <c r="Y95" s="82">
        <v>43089</v>
      </c>
      <c r="Z95" s="51">
        <f t="shared" si="18"/>
        <v>20</v>
      </c>
      <c r="AA95" s="51">
        <f t="shared" si="19"/>
        <v>12</v>
      </c>
      <c r="AB95" s="51">
        <f t="shared" si="20"/>
        <v>2017</v>
      </c>
    </row>
    <row r="96" spans="1:28">
      <c r="A96" s="36" t="s">
        <v>1067</v>
      </c>
      <c r="B96" s="57">
        <v>50321879</v>
      </c>
      <c r="C96" s="37" t="s">
        <v>1068</v>
      </c>
      <c r="D96" s="57">
        <v>11998007855</v>
      </c>
      <c r="E96" s="37" t="s">
        <v>1069</v>
      </c>
      <c r="F96" s="36" t="s">
        <v>340</v>
      </c>
      <c r="G96" s="36" t="s">
        <v>265</v>
      </c>
      <c r="H96" s="18" t="s">
        <v>1046</v>
      </c>
      <c r="I96" s="2" t="s">
        <v>1070</v>
      </c>
      <c r="J96" s="36" t="s">
        <v>1047</v>
      </c>
      <c r="K96" s="36">
        <v>1</v>
      </c>
      <c r="L96" s="56">
        <v>43000</v>
      </c>
      <c r="M96" s="36">
        <f t="shared" si="23"/>
        <v>22</v>
      </c>
      <c r="N96" s="36">
        <f t="shared" si="24"/>
        <v>9</v>
      </c>
      <c r="O96" s="36">
        <f t="shared" si="25"/>
        <v>2017</v>
      </c>
      <c r="P96" s="43"/>
      <c r="Q96" s="97">
        <v>480</v>
      </c>
      <c r="R96" s="111">
        <f>Q96*3</f>
        <v>1440</v>
      </c>
      <c r="T96" s="18" t="s">
        <v>165</v>
      </c>
      <c r="U96" s="54" t="s">
        <v>1041</v>
      </c>
      <c r="X96" s="54" t="s">
        <v>1048</v>
      </c>
      <c r="Y96" s="82">
        <v>43091</v>
      </c>
      <c r="Z96" s="51">
        <f t="shared" si="18"/>
        <v>22</v>
      </c>
      <c r="AA96" s="51">
        <f t="shared" si="19"/>
        <v>12</v>
      </c>
      <c r="AB96" s="51">
        <f t="shared" si="20"/>
        <v>2017</v>
      </c>
    </row>
    <row r="97" spans="1:28">
      <c r="A97" s="36" t="s">
        <v>1056</v>
      </c>
      <c r="B97" s="37">
        <v>22433281</v>
      </c>
      <c r="C97" s="37" t="s">
        <v>1057</v>
      </c>
      <c r="D97" s="37" t="s">
        <v>1072</v>
      </c>
      <c r="E97" s="37" t="s">
        <v>1058</v>
      </c>
      <c r="F97" s="36" t="s">
        <v>297</v>
      </c>
      <c r="G97" s="36" t="s">
        <v>108</v>
      </c>
      <c r="H97" s="42" t="s">
        <v>1059</v>
      </c>
      <c r="I97" s="2" t="s">
        <v>1060</v>
      </c>
      <c r="J97" s="36" t="s">
        <v>1061</v>
      </c>
      <c r="K97" s="36">
        <v>1</v>
      </c>
      <c r="L97" s="56">
        <v>43012</v>
      </c>
      <c r="M97" s="36">
        <f t="shared" ref="M97:M102" si="26">DAY(L97)</f>
        <v>4</v>
      </c>
      <c r="N97" s="36">
        <f t="shared" ref="N97:N102" si="27">MONTH(L97)</f>
        <v>10</v>
      </c>
      <c r="O97" s="36">
        <f t="shared" ref="O97:O102" si="28">YEAR(L97)</f>
        <v>2017</v>
      </c>
      <c r="P97" s="43"/>
      <c r="Q97" s="97">
        <v>480</v>
      </c>
      <c r="R97" s="1">
        <f>2*Q97</f>
        <v>960</v>
      </c>
      <c r="U97" s="54"/>
      <c r="Y97" s="82">
        <v>43038</v>
      </c>
      <c r="Z97" s="51">
        <f t="shared" si="18"/>
        <v>30</v>
      </c>
      <c r="AA97" s="51">
        <f t="shared" si="19"/>
        <v>10</v>
      </c>
      <c r="AB97" s="51">
        <f t="shared" si="20"/>
        <v>2017</v>
      </c>
    </row>
    <row r="98" spans="1:28">
      <c r="A98" s="36" t="s">
        <v>725</v>
      </c>
      <c r="B98" s="37">
        <v>293318682</v>
      </c>
      <c r="C98" s="37" t="s">
        <v>731</v>
      </c>
      <c r="D98" s="37" t="s">
        <v>726</v>
      </c>
      <c r="E98" s="37" t="s">
        <v>730</v>
      </c>
      <c r="F98" s="36" t="s">
        <v>559</v>
      </c>
      <c r="G98" s="36" t="s">
        <v>108</v>
      </c>
      <c r="H98" s="42" t="s">
        <v>727</v>
      </c>
      <c r="I98" s="2" t="s">
        <v>1016</v>
      </c>
      <c r="J98" s="36" t="s">
        <v>729</v>
      </c>
      <c r="K98" s="36">
        <v>1</v>
      </c>
      <c r="L98" s="56">
        <v>42951</v>
      </c>
      <c r="M98" s="36">
        <f t="shared" si="26"/>
        <v>4</v>
      </c>
      <c r="N98" s="36">
        <f t="shared" si="27"/>
        <v>8</v>
      </c>
      <c r="O98" s="36">
        <f t="shared" si="28"/>
        <v>2017</v>
      </c>
      <c r="P98" s="43"/>
      <c r="Q98" s="97">
        <v>480</v>
      </c>
      <c r="R98" s="1">
        <f>Q98*6</f>
        <v>2880</v>
      </c>
      <c r="T98" t="s">
        <v>165</v>
      </c>
      <c r="U98" s="54"/>
      <c r="Y98" s="82">
        <v>43104</v>
      </c>
      <c r="Z98" s="51">
        <f t="shared" si="18"/>
        <v>4</v>
      </c>
      <c r="AA98" s="51">
        <f t="shared" si="19"/>
        <v>1</v>
      </c>
      <c r="AB98" s="51">
        <f t="shared" si="20"/>
        <v>2018</v>
      </c>
    </row>
    <row r="99" spans="1:28">
      <c r="A99" s="36" t="s">
        <v>20</v>
      </c>
      <c r="B99" s="91">
        <v>15923756</v>
      </c>
      <c r="C99" s="36" t="s">
        <v>67</v>
      </c>
      <c r="D99" s="36" t="s">
        <v>21</v>
      </c>
      <c r="E99" s="36" t="s">
        <v>22</v>
      </c>
      <c r="F99" s="36" t="s">
        <v>23</v>
      </c>
      <c r="G99" s="36" t="s">
        <v>81</v>
      </c>
      <c r="H99" s="36" t="s">
        <v>24</v>
      </c>
      <c r="I99" s="36" t="s">
        <v>25</v>
      </c>
      <c r="J99" s="36" t="s">
        <v>281</v>
      </c>
      <c r="K99" s="36">
        <v>1</v>
      </c>
      <c r="L99" s="58">
        <v>40480</v>
      </c>
      <c r="M99" s="36">
        <f t="shared" si="26"/>
        <v>29</v>
      </c>
      <c r="N99" s="36">
        <f t="shared" si="27"/>
        <v>10</v>
      </c>
      <c r="O99" s="36">
        <f t="shared" si="28"/>
        <v>2010</v>
      </c>
      <c r="P99" s="87">
        <v>1064</v>
      </c>
      <c r="Q99" s="48">
        <v>666.35</v>
      </c>
      <c r="R99" s="48">
        <f>Q99*6</f>
        <v>3998.1000000000004</v>
      </c>
      <c r="T99" s="51"/>
      <c r="U99" s="54"/>
      <c r="V99" s="51"/>
      <c r="W99" s="51"/>
      <c r="X99" s="51"/>
      <c r="Y99" s="82">
        <v>43118</v>
      </c>
      <c r="Z99" s="51">
        <f t="shared" si="18"/>
        <v>18</v>
      </c>
      <c r="AA99" s="51">
        <f t="shared" si="19"/>
        <v>1</v>
      </c>
      <c r="AB99" s="51">
        <f t="shared" si="20"/>
        <v>2018</v>
      </c>
    </row>
    <row r="100" spans="1:28" s="51" customFormat="1">
      <c r="A100" s="98" t="s">
        <v>771</v>
      </c>
      <c r="B100" s="57">
        <v>33087354</v>
      </c>
      <c r="C100" s="57">
        <v>35567704828</v>
      </c>
      <c r="D100" s="37" t="s">
        <v>1079</v>
      </c>
      <c r="E100" s="37" t="s">
        <v>1080</v>
      </c>
      <c r="F100" s="36" t="s">
        <v>270</v>
      </c>
      <c r="G100" s="36" t="s">
        <v>81</v>
      </c>
      <c r="H100" s="42" t="s">
        <v>1081</v>
      </c>
      <c r="I100" t="s">
        <v>773</v>
      </c>
      <c r="J100" s="36" t="s">
        <v>272</v>
      </c>
      <c r="K100" s="36">
        <v>1</v>
      </c>
      <c r="L100" s="56">
        <v>43048</v>
      </c>
      <c r="M100" s="36">
        <f t="shared" si="26"/>
        <v>9</v>
      </c>
      <c r="N100" s="36">
        <f t="shared" si="27"/>
        <v>11</v>
      </c>
      <c r="O100" s="36">
        <f t="shared" si="28"/>
        <v>2017</v>
      </c>
      <c r="P100" s="43"/>
      <c r="Q100" s="97">
        <v>480</v>
      </c>
      <c r="R100"/>
      <c r="T100"/>
      <c r="U100" s="54" t="s">
        <v>1102</v>
      </c>
      <c r="V100"/>
      <c r="W100"/>
      <c r="X100"/>
      <c r="Y100" s="82">
        <v>43141</v>
      </c>
      <c r="Z100" s="51">
        <f t="shared" si="18"/>
        <v>10</v>
      </c>
      <c r="AA100" s="51">
        <f t="shared" si="19"/>
        <v>2</v>
      </c>
      <c r="AB100" s="51">
        <f t="shared" si="20"/>
        <v>2018</v>
      </c>
    </row>
    <row r="101" spans="1:28">
      <c r="A101" s="98" t="s">
        <v>351</v>
      </c>
      <c r="B101" s="57">
        <v>55169007</v>
      </c>
      <c r="C101" s="57">
        <v>83653740720</v>
      </c>
      <c r="D101" s="37" t="s">
        <v>563</v>
      </c>
      <c r="E101" s="36" t="s">
        <v>564</v>
      </c>
      <c r="F101" s="36" t="s">
        <v>1097</v>
      </c>
      <c r="G101" s="36" t="s">
        <v>108</v>
      </c>
      <c r="H101" s="57" t="s">
        <v>1098</v>
      </c>
      <c r="I101" s="112" t="s">
        <v>565</v>
      </c>
      <c r="J101" s="36" t="s">
        <v>1099</v>
      </c>
      <c r="K101" s="36">
        <v>2</v>
      </c>
      <c r="L101" s="56">
        <v>43054</v>
      </c>
      <c r="M101" s="36">
        <f t="shared" si="26"/>
        <v>15</v>
      </c>
      <c r="N101" s="36">
        <f t="shared" si="27"/>
        <v>11</v>
      </c>
      <c r="O101" s="36">
        <f t="shared" si="28"/>
        <v>2017</v>
      </c>
      <c r="P101" s="43"/>
      <c r="Q101" s="11">
        <v>912</v>
      </c>
      <c r="T101" s="28" t="s">
        <v>902</v>
      </c>
      <c r="U101" s="18" t="s">
        <v>1104</v>
      </c>
      <c r="X101" s="54" t="s">
        <v>1100</v>
      </c>
      <c r="Y101" s="82">
        <v>43141</v>
      </c>
      <c r="Z101" s="51">
        <f t="shared" si="18"/>
        <v>10</v>
      </c>
      <c r="AA101" s="51">
        <f t="shared" si="19"/>
        <v>2</v>
      </c>
      <c r="AB101" s="51">
        <f t="shared" si="20"/>
        <v>2018</v>
      </c>
    </row>
    <row r="102" spans="1:28">
      <c r="A102" s="113" t="s">
        <v>1109</v>
      </c>
      <c r="B102" s="57">
        <v>40284211</v>
      </c>
      <c r="C102" s="37" t="s">
        <v>1110</v>
      </c>
      <c r="D102" s="37" t="s">
        <v>1111</v>
      </c>
      <c r="E102" s="37" t="s">
        <v>1112</v>
      </c>
      <c r="F102" s="36" t="s">
        <v>1113</v>
      </c>
      <c r="G102" s="36" t="s">
        <v>108</v>
      </c>
      <c r="H102" s="37" t="s">
        <v>1114</v>
      </c>
      <c r="I102" s="2" t="s">
        <v>1145</v>
      </c>
      <c r="J102" s="36" t="s">
        <v>1115</v>
      </c>
      <c r="K102" s="36">
        <v>1</v>
      </c>
      <c r="L102" s="56">
        <v>43108</v>
      </c>
      <c r="M102" s="36">
        <f t="shared" si="26"/>
        <v>8</v>
      </c>
      <c r="N102" s="36">
        <f t="shared" si="27"/>
        <v>1</v>
      </c>
      <c r="O102" s="36">
        <f t="shared" si="28"/>
        <v>2018</v>
      </c>
      <c r="P102" s="43"/>
      <c r="Q102" s="11">
        <v>480</v>
      </c>
      <c r="R102" s="61">
        <f>Q102*5</f>
        <v>2400</v>
      </c>
      <c r="U102" s="18" t="s">
        <v>1152</v>
      </c>
      <c r="Y102" s="82">
        <v>43150</v>
      </c>
      <c r="Z102" s="51">
        <f t="shared" si="18"/>
        <v>19</v>
      </c>
      <c r="AA102" s="51">
        <f t="shared" si="19"/>
        <v>2</v>
      </c>
      <c r="AB102" s="51">
        <f t="shared" si="20"/>
        <v>2018</v>
      </c>
    </row>
    <row r="103" spans="1:28" s="51" customFormat="1">
      <c r="A103" s="98" t="s">
        <v>1032</v>
      </c>
      <c r="B103" s="57">
        <v>32153294</v>
      </c>
      <c r="C103" s="37" t="s">
        <v>1040</v>
      </c>
      <c r="D103" s="37" t="s">
        <v>1033</v>
      </c>
      <c r="E103" s="37" t="s">
        <v>1034</v>
      </c>
      <c r="F103" s="36" t="s">
        <v>1035</v>
      </c>
      <c r="G103" s="36" t="s">
        <v>108</v>
      </c>
      <c r="H103" s="37" t="s">
        <v>1036</v>
      </c>
      <c r="I103" s="2" t="s">
        <v>1037</v>
      </c>
      <c r="J103" s="36" t="s">
        <v>1038</v>
      </c>
      <c r="K103" s="36">
        <v>1</v>
      </c>
      <c r="L103" s="56">
        <v>42980</v>
      </c>
      <c r="M103" s="36">
        <f t="shared" ref="M103:M109" si="29">DAY(L103)</f>
        <v>2</v>
      </c>
      <c r="N103" s="36">
        <f t="shared" ref="N103:N109" si="30">MONTH(L103)</f>
        <v>9</v>
      </c>
      <c r="O103" s="36">
        <f t="shared" ref="O103:O109" si="31">YEAR(L103)</f>
        <v>2017</v>
      </c>
      <c r="P103" s="43"/>
      <c r="Q103" s="97">
        <v>450</v>
      </c>
      <c r="R103" s="111">
        <f>Q103*3</f>
        <v>1350</v>
      </c>
      <c r="T103" s="65" t="s">
        <v>1078</v>
      </c>
      <c r="U103" s="54" t="s">
        <v>1101</v>
      </c>
      <c r="V103"/>
      <c r="W103"/>
      <c r="X103" s="18" t="s">
        <v>902</v>
      </c>
      <c r="Y103" s="82">
        <v>43179</v>
      </c>
      <c r="Z103" s="51">
        <f t="shared" si="18"/>
        <v>20</v>
      </c>
      <c r="AA103" s="51">
        <f t="shared" si="19"/>
        <v>3</v>
      </c>
      <c r="AB103" s="51">
        <f t="shared" si="20"/>
        <v>2018</v>
      </c>
    </row>
    <row r="104" spans="1:28">
      <c r="A104" s="113" t="s">
        <v>1090</v>
      </c>
      <c r="B104" s="57">
        <v>16231672</v>
      </c>
      <c r="C104" t="s">
        <v>1091</v>
      </c>
      <c r="D104" s="37" t="s">
        <v>1092</v>
      </c>
      <c r="E104" s="37" t="s">
        <v>1093</v>
      </c>
      <c r="F104" s="36" t="s">
        <v>1094</v>
      </c>
      <c r="G104" s="36" t="s">
        <v>108</v>
      </c>
      <c r="H104" t="s">
        <v>1095</v>
      </c>
      <c r="I104" t="s">
        <v>1096</v>
      </c>
      <c r="J104" s="36" t="s">
        <v>1021</v>
      </c>
      <c r="K104" s="36">
        <v>1</v>
      </c>
      <c r="L104" s="104">
        <v>43056</v>
      </c>
      <c r="M104" s="36">
        <f t="shared" si="29"/>
        <v>17</v>
      </c>
      <c r="N104" s="36">
        <f t="shared" si="30"/>
        <v>11</v>
      </c>
      <c r="O104" s="36">
        <f t="shared" si="31"/>
        <v>2017</v>
      </c>
      <c r="P104" s="43"/>
      <c r="Q104" s="11">
        <v>450</v>
      </c>
      <c r="R104" s="48">
        <f>Q104*5</f>
        <v>2250</v>
      </c>
      <c r="T104" s="51"/>
      <c r="U104" s="54" t="s">
        <v>1103</v>
      </c>
      <c r="Y104" s="82">
        <v>43201</v>
      </c>
      <c r="Z104" s="51">
        <f t="shared" si="18"/>
        <v>11</v>
      </c>
      <c r="AA104" s="51">
        <f t="shared" si="19"/>
        <v>4</v>
      </c>
      <c r="AB104" s="51">
        <f t="shared" si="20"/>
        <v>2018</v>
      </c>
    </row>
    <row r="105" spans="1:28">
      <c r="A105" s="113" t="s">
        <v>209</v>
      </c>
      <c r="B105" s="36" t="s">
        <v>210</v>
      </c>
      <c r="C105" s="46" t="s">
        <v>460</v>
      </c>
      <c r="D105" s="36" t="s">
        <v>211</v>
      </c>
      <c r="E105" s="36" t="s">
        <v>212</v>
      </c>
      <c r="F105" s="36" t="s">
        <v>214</v>
      </c>
      <c r="G105" s="36" t="s">
        <v>81</v>
      </c>
      <c r="H105" s="36" t="s">
        <v>215</v>
      </c>
      <c r="I105" s="88" t="s">
        <v>218</v>
      </c>
      <c r="J105" s="36" t="s">
        <v>213</v>
      </c>
      <c r="K105" s="36">
        <v>1</v>
      </c>
      <c r="L105" s="56">
        <v>41524</v>
      </c>
      <c r="M105" s="36">
        <f t="shared" si="29"/>
        <v>7</v>
      </c>
      <c r="N105" s="36">
        <f t="shared" si="30"/>
        <v>9</v>
      </c>
      <c r="O105" s="36">
        <f t="shared" si="31"/>
        <v>2013</v>
      </c>
      <c r="P105" s="84">
        <v>425</v>
      </c>
      <c r="Q105" s="48">
        <v>480</v>
      </c>
      <c r="R105" s="48">
        <f>Q105*6</f>
        <v>2880</v>
      </c>
      <c r="T105" s="51"/>
      <c r="U105" s="54" t="s">
        <v>1103</v>
      </c>
      <c r="V105" s="51"/>
      <c r="W105" s="51"/>
      <c r="X105" s="51"/>
      <c r="Y105" s="82">
        <v>43204</v>
      </c>
      <c r="Z105" s="51">
        <f t="shared" si="18"/>
        <v>14</v>
      </c>
      <c r="AA105" s="51">
        <f t="shared" si="19"/>
        <v>4</v>
      </c>
      <c r="AB105" s="51">
        <f t="shared" si="20"/>
        <v>2018</v>
      </c>
    </row>
    <row r="106" spans="1:28" s="51" customFormat="1">
      <c r="A106" s="113" t="s">
        <v>988</v>
      </c>
      <c r="B106" s="57">
        <v>163150783</v>
      </c>
      <c r="C106" s="57" t="s">
        <v>992</v>
      </c>
      <c r="D106" s="37" t="s">
        <v>994</v>
      </c>
      <c r="E106" s="37" t="s">
        <v>989</v>
      </c>
      <c r="F106" s="36" t="s">
        <v>227</v>
      </c>
      <c r="G106" s="36" t="s">
        <v>108</v>
      </c>
      <c r="H106" s="37" t="s">
        <v>990</v>
      </c>
      <c r="I106" s="2" t="s">
        <v>993</v>
      </c>
      <c r="J106" s="36" t="s">
        <v>991</v>
      </c>
      <c r="K106" s="36">
        <v>1</v>
      </c>
      <c r="L106" s="56">
        <v>42929</v>
      </c>
      <c r="M106" s="36">
        <f t="shared" si="29"/>
        <v>13</v>
      </c>
      <c r="N106" s="36">
        <f t="shared" si="30"/>
        <v>7</v>
      </c>
      <c r="O106" s="36">
        <f t="shared" si="31"/>
        <v>2017</v>
      </c>
      <c r="P106" s="43"/>
      <c r="Q106" s="1">
        <v>480</v>
      </c>
      <c r="R106" s="48">
        <f>Q106*6</f>
        <v>2880</v>
      </c>
      <c r="T106"/>
      <c r="U106" s="54" t="s">
        <v>1103</v>
      </c>
      <c r="V106"/>
      <c r="W106"/>
      <c r="X106"/>
      <c r="Y106" s="82">
        <v>43217</v>
      </c>
      <c r="Z106" s="51">
        <f t="shared" si="18"/>
        <v>27</v>
      </c>
      <c r="AA106" s="51">
        <f t="shared" si="19"/>
        <v>4</v>
      </c>
      <c r="AB106" s="51">
        <f t="shared" si="20"/>
        <v>2018</v>
      </c>
    </row>
    <row r="107" spans="1:28" s="51" customFormat="1">
      <c r="A107" s="113" t="s">
        <v>531</v>
      </c>
      <c r="B107" s="46">
        <v>25393770</v>
      </c>
      <c r="C107" s="36" t="s">
        <v>542</v>
      </c>
      <c r="D107" s="36" t="s">
        <v>532</v>
      </c>
      <c r="E107" s="36" t="s">
        <v>533</v>
      </c>
      <c r="F107" s="36" t="s">
        <v>297</v>
      </c>
      <c r="G107" s="36" t="s">
        <v>81</v>
      </c>
      <c r="H107" s="36" t="s">
        <v>541</v>
      </c>
      <c r="I107" s="36" t="s">
        <v>534</v>
      </c>
      <c r="J107" s="36" t="s">
        <v>535</v>
      </c>
      <c r="K107" s="36">
        <v>1</v>
      </c>
      <c r="L107" s="58">
        <v>42320</v>
      </c>
      <c r="M107" s="36">
        <f t="shared" si="29"/>
        <v>12</v>
      </c>
      <c r="N107" s="36">
        <f t="shared" si="30"/>
        <v>11</v>
      </c>
      <c r="O107" s="36">
        <f t="shared" si="31"/>
        <v>2015</v>
      </c>
      <c r="P107" s="84"/>
      <c r="Q107" s="48">
        <v>510</v>
      </c>
      <c r="R107" s="48">
        <f>Q107*6</f>
        <v>3060</v>
      </c>
      <c r="U107" s="54" t="s">
        <v>1103</v>
      </c>
      <c r="Y107" s="82">
        <v>43235</v>
      </c>
      <c r="Z107" s="51">
        <f t="shared" si="18"/>
        <v>15</v>
      </c>
      <c r="AA107" s="51">
        <f t="shared" si="19"/>
        <v>5</v>
      </c>
      <c r="AB107" s="51">
        <f t="shared" si="20"/>
        <v>2018</v>
      </c>
    </row>
    <row r="108" spans="1:28">
      <c r="A108" s="113" t="s">
        <v>1136</v>
      </c>
      <c r="B108" s="57">
        <v>34698140</v>
      </c>
      <c r="C108" s="37" t="s">
        <v>1137</v>
      </c>
      <c r="D108" s="37" t="s">
        <v>1138</v>
      </c>
      <c r="E108" s="37" t="s">
        <v>1149</v>
      </c>
      <c r="F108" s="36" t="s">
        <v>1139</v>
      </c>
      <c r="G108" s="36" t="s">
        <v>265</v>
      </c>
      <c r="H108" s="37" t="s">
        <v>1140</v>
      </c>
      <c r="I108" s="2" t="s">
        <v>1150</v>
      </c>
      <c r="J108" s="36" t="s">
        <v>1141</v>
      </c>
      <c r="K108" s="36">
        <v>1</v>
      </c>
      <c r="L108" s="56">
        <v>43118</v>
      </c>
      <c r="M108" s="36">
        <f t="shared" si="29"/>
        <v>18</v>
      </c>
      <c r="N108" s="36">
        <f t="shared" si="30"/>
        <v>1</v>
      </c>
      <c r="O108" s="36">
        <f t="shared" si="31"/>
        <v>2018</v>
      </c>
      <c r="P108" s="43"/>
      <c r="Q108" s="11">
        <v>480</v>
      </c>
      <c r="R108" s="61">
        <f>Q108*5</f>
        <v>2400</v>
      </c>
      <c r="U108" s="18" t="s">
        <v>1152</v>
      </c>
      <c r="Y108" s="82">
        <v>43258</v>
      </c>
      <c r="Z108" s="51">
        <f t="shared" si="18"/>
        <v>7</v>
      </c>
      <c r="AA108" s="51">
        <f t="shared" si="19"/>
        <v>6</v>
      </c>
      <c r="AB108" s="51">
        <f t="shared" si="20"/>
        <v>2018</v>
      </c>
    </row>
    <row r="109" spans="1:28">
      <c r="A109" s="113" t="s">
        <v>1156</v>
      </c>
      <c r="B109" s="57">
        <v>261831173</v>
      </c>
      <c r="C109" s="57">
        <v>31021170828</v>
      </c>
      <c r="D109" s="18" t="s">
        <v>1157</v>
      </c>
      <c r="E109" s="37" t="s">
        <v>1158</v>
      </c>
      <c r="F109" s="36" t="s">
        <v>548</v>
      </c>
      <c r="G109" s="36" t="s">
        <v>108</v>
      </c>
      <c r="H109" t="s">
        <v>549</v>
      </c>
      <c r="I109" t="s">
        <v>1159</v>
      </c>
      <c r="J109" s="36" t="s">
        <v>1153</v>
      </c>
      <c r="K109" s="36">
        <v>1</v>
      </c>
      <c r="L109" s="56">
        <v>43133</v>
      </c>
      <c r="M109" s="36">
        <f t="shared" si="29"/>
        <v>2</v>
      </c>
      <c r="N109" s="36">
        <f t="shared" si="30"/>
        <v>2</v>
      </c>
      <c r="O109" s="36">
        <f t="shared" si="31"/>
        <v>2018</v>
      </c>
      <c r="P109" s="43"/>
      <c r="Q109" s="77">
        <v>820</v>
      </c>
      <c r="R109" s="78">
        <f>Q109*4</f>
        <v>3280</v>
      </c>
      <c r="U109" s="18" t="s">
        <v>1170</v>
      </c>
      <c r="Y109" s="82">
        <v>43256</v>
      </c>
      <c r="Z109" s="51">
        <f t="shared" si="18"/>
        <v>5</v>
      </c>
      <c r="AA109" s="51">
        <f t="shared" si="19"/>
        <v>6</v>
      </c>
      <c r="AB109" s="51">
        <f t="shared" si="20"/>
        <v>2018</v>
      </c>
    </row>
    <row r="110" spans="1:28">
      <c r="A110" s="113" t="s">
        <v>409</v>
      </c>
      <c r="B110" s="37" t="s">
        <v>766</v>
      </c>
      <c r="C110" s="57" t="s">
        <v>417</v>
      </c>
      <c r="D110" s="37" t="s">
        <v>783</v>
      </c>
      <c r="E110" s="37" t="s">
        <v>767</v>
      </c>
      <c r="F110" s="36" t="s">
        <v>229</v>
      </c>
      <c r="G110" s="36" t="s">
        <v>108</v>
      </c>
      <c r="H110" s="18" t="s">
        <v>768</v>
      </c>
      <c r="I110" s="2" t="s">
        <v>769</v>
      </c>
      <c r="J110" s="36" t="s">
        <v>770</v>
      </c>
      <c r="K110" s="36">
        <v>1</v>
      </c>
      <c r="L110" s="56">
        <v>42602</v>
      </c>
      <c r="M110" s="36">
        <f t="shared" ref="M110:M115" si="32">DAY(L110)</f>
        <v>20</v>
      </c>
      <c r="N110" s="36">
        <f t="shared" ref="N110:N115" si="33">MONTH(L110)</f>
        <v>8</v>
      </c>
      <c r="O110" s="36">
        <f t="shared" ref="O110:O115" si="34">YEAR(L110)</f>
        <v>2016</v>
      </c>
      <c r="P110" s="43"/>
      <c r="Q110" s="108">
        <v>380</v>
      </c>
      <c r="R110" s="48">
        <f>Q110*6</f>
        <v>2280</v>
      </c>
      <c r="T110" s="18"/>
      <c r="U110" s="54" t="s">
        <v>1103</v>
      </c>
      <c r="V110" s="51"/>
      <c r="W110" s="51"/>
      <c r="X110" s="51"/>
      <c r="Y110" s="82">
        <v>43261</v>
      </c>
      <c r="Z110" s="51">
        <f t="shared" si="18"/>
        <v>10</v>
      </c>
      <c r="AA110" s="51">
        <f t="shared" si="19"/>
        <v>6</v>
      </c>
      <c r="AB110" s="51">
        <f t="shared" si="20"/>
        <v>2018</v>
      </c>
    </row>
    <row r="111" spans="1:28">
      <c r="A111" s="36" t="s">
        <v>1160</v>
      </c>
      <c r="B111" s="57">
        <v>29689245</v>
      </c>
      <c r="C111" s="18" t="s">
        <v>1161</v>
      </c>
      <c r="D111" s="37" t="s">
        <v>1162</v>
      </c>
      <c r="E111" s="37" t="s">
        <v>1163</v>
      </c>
      <c r="F111" s="18" t="s">
        <v>1171</v>
      </c>
      <c r="G111" s="36" t="s">
        <v>108</v>
      </c>
      <c r="H111" t="s">
        <v>1164</v>
      </c>
      <c r="I111" s="2" t="s">
        <v>1172</v>
      </c>
      <c r="J111" s="36" t="s">
        <v>1154</v>
      </c>
      <c r="K111" s="36">
        <v>1</v>
      </c>
      <c r="L111" s="56">
        <v>43139</v>
      </c>
      <c r="M111" s="36">
        <f t="shared" si="32"/>
        <v>8</v>
      </c>
      <c r="N111" s="36">
        <f t="shared" si="33"/>
        <v>2</v>
      </c>
      <c r="O111" s="36">
        <f t="shared" si="34"/>
        <v>2018</v>
      </c>
      <c r="P111" s="43"/>
      <c r="Q111" s="77">
        <v>480</v>
      </c>
      <c r="R111" s="78">
        <f>Q111*4</f>
        <v>1920</v>
      </c>
      <c r="U111" s="18"/>
      <c r="Y111" s="82">
        <v>43277</v>
      </c>
      <c r="Z111" s="51">
        <f t="shared" si="18"/>
        <v>26</v>
      </c>
      <c r="AA111" s="51">
        <f t="shared" si="19"/>
        <v>6</v>
      </c>
      <c r="AB111" s="51">
        <f t="shared" si="20"/>
        <v>2018</v>
      </c>
    </row>
    <row r="112" spans="1:28" s="51" customFormat="1">
      <c r="A112" s="36" t="s">
        <v>1020</v>
      </c>
      <c r="B112" s="37" t="s">
        <v>1009</v>
      </c>
      <c r="C112" s="37" t="s">
        <v>1010</v>
      </c>
      <c r="D112" s="37" t="s">
        <v>1011</v>
      </c>
      <c r="E112" s="37" t="s">
        <v>1012</v>
      </c>
      <c r="F112" s="36" t="s">
        <v>1013</v>
      </c>
      <c r="G112" s="36" t="s">
        <v>491</v>
      </c>
      <c r="H112" t="s">
        <v>1014</v>
      </c>
      <c r="I112" s="2" t="s">
        <v>1018</v>
      </c>
      <c r="J112" s="36" t="s">
        <v>1015</v>
      </c>
      <c r="K112" s="36">
        <v>1</v>
      </c>
      <c r="L112" s="56">
        <v>42966</v>
      </c>
      <c r="M112" s="36">
        <f t="shared" si="32"/>
        <v>19</v>
      </c>
      <c r="N112" s="36">
        <f t="shared" si="33"/>
        <v>8</v>
      </c>
      <c r="O112" s="36">
        <f t="shared" si="34"/>
        <v>2017</v>
      </c>
      <c r="P112" s="43"/>
      <c r="Q112" s="97">
        <f>480+120</f>
        <v>600</v>
      </c>
      <c r="R112" s="1">
        <f>Q112*6</f>
        <v>3600</v>
      </c>
      <c r="T112"/>
      <c r="U112" s="54"/>
      <c r="V112"/>
      <c r="W112"/>
      <c r="X112"/>
      <c r="Y112" s="82">
        <v>43261</v>
      </c>
      <c r="Z112" s="51">
        <f t="shared" si="18"/>
        <v>10</v>
      </c>
      <c r="AA112" s="51">
        <f t="shared" si="19"/>
        <v>6</v>
      </c>
      <c r="AB112" s="51">
        <f t="shared" si="20"/>
        <v>2018</v>
      </c>
    </row>
    <row r="113" spans="1:28">
      <c r="A113" s="86" t="s">
        <v>1173</v>
      </c>
      <c r="B113" s="57">
        <v>408369164</v>
      </c>
      <c r="C113" s="57" t="s">
        <v>1199</v>
      </c>
      <c r="D113" s="37" t="s">
        <v>1174</v>
      </c>
      <c r="E113" s="37" t="s">
        <v>1201</v>
      </c>
      <c r="F113" s="37" t="s">
        <v>1175</v>
      </c>
      <c r="G113" s="36" t="s">
        <v>108</v>
      </c>
      <c r="H113" s="57" t="s">
        <v>1200</v>
      </c>
      <c r="I113" t="s">
        <v>1176</v>
      </c>
      <c r="J113" s="36" t="s">
        <v>1177</v>
      </c>
      <c r="K113" s="36">
        <v>1</v>
      </c>
      <c r="L113" s="56">
        <v>43188</v>
      </c>
      <c r="M113" s="36">
        <f t="shared" si="32"/>
        <v>29</v>
      </c>
      <c r="N113" s="36">
        <f t="shared" si="33"/>
        <v>3</v>
      </c>
      <c r="O113" s="36">
        <f t="shared" si="34"/>
        <v>2018</v>
      </c>
      <c r="P113" s="43"/>
      <c r="Q113" s="114">
        <v>480</v>
      </c>
      <c r="R113" s="78">
        <f>6*Q113</f>
        <v>2880</v>
      </c>
      <c r="U113" s="54" t="s">
        <v>1224</v>
      </c>
      <c r="V113" s="18" t="s">
        <v>902</v>
      </c>
      <c r="Y113" s="82">
        <v>43281</v>
      </c>
      <c r="Z113" s="51">
        <f t="shared" si="18"/>
        <v>30</v>
      </c>
      <c r="AA113" s="51">
        <f t="shared" si="19"/>
        <v>6</v>
      </c>
      <c r="AB113" s="51">
        <f t="shared" si="20"/>
        <v>2018</v>
      </c>
    </row>
    <row r="114" spans="1:28">
      <c r="A114" s="115" t="s">
        <v>1183</v>
      </c>
      <c r="B114" s="57" t="s">
        <v>1184</v>
      </c>
      <c r="C114" s="57" t="s">
        <v>1185</v>
      </c>
      <c r="D114" s="37" t="s">
        <v>1186</v>
      </c>
      <c r="E114" s="37" t="s">
        <v>1187</v>
      </c>
      <c r="F114" s="37" t="s">
        <v>63</v>
      </c>
      <c r="G114" s="36" t="s">
        <v>108</v>
      </c>
      <c r="H114" s="57" t="s">
        <v>1188</v>
      </c>
      <c r="I114" s="37" t="s">
        <v>1189</v>
      </c>
      <c r="J114" s="36" t="s">
        <v>1190</v>
      </c>
      <c r="K114" s="36">
        <v>1</v>
      </c>
      <c r="L114" s="56">
        <v>43209</v>
      </c>
      <c r="M114" s="36">
        <f t="shared" si="32"/>
        <v>19</v>
      </c>
      <c r="N114" s="36">
        <f t="shared" si="33"/>
        <v>4</v>
      </c>
      <c r="O114" s="36">
        <f t="shared" si="34"/>
        <v>2018</v>
      </c>
      <c r="P114" s="43"/>
      <c r="Q114" s="114">
        <v>480</v>
      </c>
      <c r="R114" s="78">
        <f>6*Q114</f>
        <v>2880</v>
      </c>
      <c r="U114" s="54" t="s">
        <v>1224</v>
      </c>
      <c r="V114" s="18" t="s">
        <v>902</v>
      </c>
      <c r="Y114" s="82">
        <v>43300</v>
      </c>
      <c r="Z114" s="51">
        <f t="shared" si="18"/>
        <v>19</v>
      </c>
      <c r="AA114" s="51">
        <f t="shared" si="19"/>
        <v>7</v>
      </c>
      <c r="AB114" s="51">
        <f t="shared" si="20"/>
        <v>2018</v>
      </c>
    </row>
    <row r="115" spans="1:28">
      <c r="A115" s="115" t="s">
        <v>1191</v>
      </c>
      <c r="B115" s="57">
        <v>33980237</v>
      </c>
      <c r="C115" s="57" t="s">
        <v>1192</v>
      </c>
      <c r="D115" s="37" t="s">
        <v>1193</v>
      </c>
      <c r="E115" s="37" t="s">
        <v>1194</v>
      </c>
      <c r="F115" s="37" t="s">
        <v>1195</v>
      </c>
      <c r="G115" s="36" t="s">
        <v>108</v>
      </c>
      <c r="H115" s="57" t="s">
        <v>1196</v>
      </c>
      <c r="I115" s="37" t="s">
        <v>1197</v>
      </c>
      <c r="J115" s="36" t="s">
        <v>1198</v>
      </c>
      <c r="K115" s="36">
        <v>1</v>
      </c>
      <c r="L115" s="56">
        <v>43211</v>
      </c>
      <c r="M115" s="36">
        <f t="shared" si="32"/>
        <v>21</v>
      </c>
      <c r="N115" s="36">
        <f t="shared" si="33"/>
        <v>4</v>
      </c>
      <c r="O115" s="36">
        <f t="shared" si="34"/>
        <v>2018</v>
      </c>
      <c r="P115" s="43"/>
      <c r="Q115" s="114">
        <v>480</v>
      </c>
      <c r="R115" s="78">
        <f>6*Q115</f>
        <v>2880</v>
      </c>
      <c r="U115" s="54" t="s">
        <v>1224</v>
      </c>
      <c r="V115" s="18"/>
      <c r="Y115" s="82">
        <v>43304</v>
      </c>
      <c r="Z115" s="51">
        <f t="shared" si="18"/>
        <v>23</v>
      </c>
      <c r="AA115" s="51">
        <f t="shared" si="19"/>
        <v>7</v>
      </c>
      <c r="AB115" s="51">
        <f t="shared" si="20"/>
        <v>2018</v>
      </c>
    </row>
    <row r="116" spans="1:28">
      <c r="A116" s="115" t="s">
        <v>843</v>
      </c>
      <c r="B116" s="46">
        <v>283406689</v>
      </c>
      <c r="C116" s="36" t="s">
        <v>629</v>
      </c>
      <c r="D116" s="36" t="s">
        <v>633</v>
      </c>
      <c r="E116" s="36" t="s">
        <v>844</v>
      </c>
      <c r="F116" s="36" t="s">
        <v>214</v>
      </c>
      <c r="G116" s="36" t="s">
        <v>108</v>
      </c>
      <c r="H116" s="36" t="s">
        <v>845</v>
      </c>
      <c r="I116" s="36" t="s">
        <v>611</v>
      </c>
      <c r="J116" s="36" t="s">
        <v>612</v>
      </c>
      <c r="K116" s="36">
        <v>1</v>
      </c>
      <c r="L116" s="56">
        <v>42410</v>
      </c>
      <c r="M116" s="36">
        <f t="shared" ref="M116:M122" si="35">DAY(L116)</f>
        <v>10</v>
      </c>
      <c r="N116" s="36">
        <f t="shared" ref="N116:N122" si="36">MONTH(L116)</f>
        <v>2</v>
      </c>
      <c r="O116" s="36">
        <f t="shared" ref="O116:O122" si="37">YEAR(L116)</f>
        <v>2016</v>
      </c>
      <c r="P116" s="84"/>
      <c r="Q116" s="48">
        <v>480</v>
      </c>
      <c r="R116" s="48">
        <f>Q116*6</f>
        <v>2880</v>
      </c>
      <c r="T116" s="51" t="s">
        <v>165</v>
      </c>
      <c r="U116" s="54" t="s">
        <v>1224</v>
      </c>
      <c r="V116" s="51"/>
      <c r="W116" s="51"/>
      <c r="X116" s="51"/>
      <c r="Y116" s="82">
        <v>43319</v>
      </c>
      <c r="Z116" s="51">
        <f t="shared" si="18"/>
        <v>7</v>
      </c>
      <c r="AA116" s="51">
        <f t="shared" si="19"/>
        <v>8</v>
      </c>
      <c r="AB116" s="51">
        <f t="shared" si="20"/>
        <v>2018</v>
      </c>
    </row>
    <row r="117" spans="1:28">
      <c r="A117" s="115" t="s">
        <v>1225</v>
      </c>
      <c r="B117" s="57">
        <v>284451277</v>
      </c>
      <c r="C117" s="57" t="s">
        <v>1240</v>
      </c>
      <c r="D117" s="37" t="s">
        <v>1226</v>
      </c>
      <c r="E117" s="37" t="s">
        <v>1227</v>
      </c>
      <c r="F117" s="37" t="s">
        <v>1228</v>
      </c>
      <c r="G117" s="36" t="s">
        <v>1229</v>
      </c>
      <c r="H117" s="57" t="s">
        <v>1230</v>
      </c>
      <c r="I117" t="s">
        <v>1231</v>
      </c>
      <c r="J117" s="36" t="s">
        <v>1239</v>
      </c>
      <c r="K117" s="36">
        <v>2</v>
      </c>
      <c r="L117" s="56">
        <v>43262</v>
      </c>
      <c r="M117" s="36">
        <f t="shared" si="35"/>
        <v>11</v>
      </c>
      <c r="N117" s="36">
        <f t="shared" si="36"/>
        <v>6</v>
      </c>
      <c r="O117" s="36">
        <f t="shared" si="37"/>
        <v>2018</v>
      </c>
      <c r="P117" s="43"/>
      <c r="Q117" s="114">
        <v>850</v>
      </c>
      <c r="R117" s="1">
        <f>616.67+5*850</f>
        <v>4866.67</v>
      </c>
      <c r="U117" s="54" t="s">
        <v>1224</v>
      </c>
      <c r="Y117" s="82">
        <v>43344</v>
      </c>
      <c r="Z117" s="51">
        <f t="shared" si="18"/>
        <v>1</v>
      </c>
      <c r="AA117" s="51">
        <f t="shared" si="19"/>
        <v>9</v>
      </c>
      <c r="AB117" s="51">
        <f t="shared" si="20"/>
        <v>2018</v>
      </c>
    </row>
    <row r="118" spans="1:28">
      <c r="A118" s="98" t="s">
        <v>1232</v>
      </c>
      <c r="B118" s="57">
        <v>353347450</v>
      </c>
      <c r="C118" s="57" t="s">
        <v>1233</v>
      </c>
      <c r="D118" s="37"/>
      <c r="E118" s="37" t="s">
        <v>1234</v>
      </c>
      <c r="F118" s="37" t="s">
        <v>1235</v>
      </c>
      <c r="G118" s="36" t="s">
        <v>265</v>
      </c>
      <c r="H118" s="37" t="s">
        <v>1236</v>
      </c>
      <c r="I118" s="2"/>
      <c r="J118" s="36" t="s">
        <v>1241</v>
      </c>
      <c r="K118" s="36">
        <v>1</v>
      </c>
      <c r="L118" s="56">
        <v>43294</v>
      </c>
      <c r="M118" s="36">
        <f t="shared" si="35"/>
        <v>13</v>
      </c>
      <c r="N118" s="36">
        <f t="shared" si="36"/>
        <v>7</v>
      </c>
      <c r="O118" s="36">
        <f t="shared" si="37"/>
        <v>2018</v>
      </c>
      <c r="P118" s="43"/>
      <c r="Q118" s="114">
        <v>480</v>
      </c>
      <c r="R118" s="78">
        <v>960</v>
      </c>
      <c r="U118" s="54" t="s">
        <v>1242</v>
      </c>
      <c r="V118" s="54" t="s">
        <v>902</v>
      </c>
      <c r="Y118" s="82">
        <v>43393</v>
      </c>
      <c r="Z118" s="51">
        <f t="shared" si="18"/>
        <v>20</v>
      </c>
      <c r="AA118" s="51">
        <f t="shared" si="19"/>
        <v>10</v>
      </c>
      <c r="AB118" s="51">
        <f t="shared" si="20"/>
        <v>2018</v>
      </c>
    </row>
    <row r="119" spans="1:28">
      <c r="A119" s="36" t="s">
        <v>1245</v>
      </c>
      <c r="B119" s="57">
        <v>34093060</v>
      </c>
      <c r="C119" s="57">
        <v>31769755896</v>
      </c>
      <c r="D119" s="37" t="s">
        <v>1246</v>
      </c>
      <c r="E119" s="37" t="s">
        <v>1247</v>
      </c>
      <c r="F119" s="37" t="s">
        <v>1248</v>
      </c>
      <c r="G119" s="36" t="s">
        <v>108</v>
      </c>
      <c r="H119" t="s">
        <v>1249</v>
      </c>
      <c r="I119" t="s">
        <v>1250</v>
      </c>
      <c r="J119" s="36" t="s">
        <v>1251</v>
      </c>
      <c r="K119" s="36">
        <v>1</v>
      </c>
      <c r="L119" s="56">
        <v>43320</v>
      </c>
      <c r="M119" s="36">
        <f t="shared" si="35"/>
        <v>8</v>
      </c>
      <c r="N119" s="36">
        <f t="shared" si="36"/>
        <v>8</v>
      </c>
      <c r="O119" s="36">
        <f t="shared" si="37"/>
        <v>2018</v>
      </c>
      <c r="P119" s="43"/>
      <c r="Q119" s="4">
        <v>1000</v>
      </c>
      <c r="Y119" s="82">
        <v>43409</v>
      </c>
      <c r="Z119" s="51">
        <f t="shared" si="18"/>
        <v>5</v>
      </c>
      <c r="AA119" s="51">
        <f t="shared" si="19"/>
        <v>11</v>
      </c>
      <c r="AB119" s="51">
        <f t="shared" si="20"/>
        <v>2018</v>
      </c>
    </row>
    <row r="120" spans="1:28" ht="12.75" customHeight="1">
      <c r="A120" s="115" t="s">
        <v>774</v>
      </c>
      <c r="B120" s="57">
        <v>326064977</v>
      </c>
      <c r="C120" s="57" t="s">
        <v>834</v>
      </c>
      <c r="D120" s="37" t="s">
        <v>785</v>
      </c>
      <c r="E120" s="37" t="s">
        <v>775</v>
      </c>
      <c r="F120" s="36" t="s">
        <v>776</v>
      </c>
      <c r="G120" s="36" t="s">
        <v>108</v>
      </c>
      <c r="H120" s="36" t="s">
        <v>777</v>
      </c>
      <c r="J120" s="36" t="s">
        <v>763</v>
      </c>
      <c r="K120" s="36">
        <v>1</v>
      </c>
      <c r="L120" s="56">
        <v>42615</v>
      </c>
      <c r="M120" s="36">
        <f t="shared" si="35"/>
        <v>2</v>
      </c>
      <c r="N120" s="36">
        <f t="shared" si="36"/>
        <v>9</v>
      </c>
      <c r="O120" s="36">
        <f t="shared" si="37"/>
        <v>2016</v>
      </c>
      <c r="P120" s="43"/>
      <c r="Q120" s="108">
        <v>380</v>
      </c>
      <c r="R120" s="48">
        <f>Q120*6</f>
        <v>2280</v>
      </c>
      <c r="U120" s="54" t="s">
        <v>1224</v>
      </c>
      <c r="V120" s="51"/>
      <c r="Y120" s="82">
        <v>43382</v>
      </c>
      <c r="Z120" s="51">
        <f t="shared" si="18"/>
        <v>9</v>
      </c>
      <c r="AA120" s="51">
        <f t="shared" si="19"/>
        <v>10</v>
      </c>
      <c r="AB120" s="51">
        <f t="shared" si="20"/>
        <v>2018</v>
      </c>
    </row>
    <row r="121" spans="1:28">
      <c r="A121" s="115" t="s">
        <v>1001</v>
      </c>
      <c r="B121" s="37" t="s">
        <v>1002</v>
      </c>
      <c r="C121" s="37" t="s">
        <v>1003</v>
      </c>
      <c r="D121" s="37" t="s">
        <v>1004</v>
      </c>
      <c r="E121" s="37" t="s">
        <v>1005</v>
      </c>
      <c r="F121" s="36" t="s">
        <v>1006</v>
      </c>
      <c r="G121" s="36" t="s">
        <v>108</v>
      </c>
      <c r="H121" s="37" t="s">
        <v>1007</v>
      </c>
      <c r="I121" s="2" t="s">
        <v>1017</v>
      </c>
      <c r="J121" s="36" t="s">
        <v>1008</v>
      </c>
      <c r="K121" s="36">
        <v>1</v>
      </c>
      <c r="L121" s="56">
        <v>42962</v>
      </c>
      <c r="M121" s="36">
        <f t="shared" si="35"/>
        <v>15</v>
      </c>
      <c r="N121" s="36">
        <f t="shared" si="36"/>
        <v>8</v>
      </c>
      <c r="O121" s="36">
        <f t="shared" si="37"/>
        <v>2017</v>
      </c>
      <c r="P121" s="43"/>
      <c r="Q121" s="97">
        <v>480</v>
      </c>
      <c r="R121" s="1">
        <f>Q121*6</f>
        <v>2880</v>
      </c>
      <c r="U121" s="54" t="s">
        <v>1224</v>
      </c>
      <c r="Y121" s="82">
        <v>43377</v>
      </c>
      <c r="Z121" s="51">
        <f t="shared" si="18"/>
        <v>4</v>
      </c>
      <c r="AA121" s="51">
        <f t="shared" si="19"/>
        <v>10</v>
      </c>
      <c r="AB121" s="51">
        <f t="shared" si="20"/>
        <v>2018</v>
      </c>
    </row>
    <row r="122" spans="1:28">
      <c r="A122" s="45" t="s">
        <v>1254</v>
      </c>
      <c r="B122" s="57">
        <v>7560264</v>
      </c>
      <c r="C122" s="57" t="s">
        <v>1255</v>
      </c>
      <c r="D122" s="37" t="s">
        <v>1256</v>
      </c>
      <c r="E122" s="37" t="s">
        <v>1257</v>
      </c>
      <c r="F122" s="37" t="s">
        <v>1258</v>
      </c>
      <c r="G122" s="36" t="s">
        <v>1267</v>
      </c>
      <c r="H122" s="42" t="s">
        <v>1266</v>
      </c>
      <c r="I122" s="2" t="s">
        <v>1268</v>
      </c>
      <c r="J122" s="36" t="s">
        <v>1259</v>
      </c>
      <c r="K122" s="36">
        <v>1</v>
      </c>
      <c r="L122" s="56">
        <v>43334</v>
      </c>
      <c r="M122" s="36">
        <f t="shared" si="35"/>
        <v>22</v>
      </c>
      <c r="N122" s="36">
        <f t="shared" si="36"/>
        <v>8</v>
      </c>
      <c r="O122" s="36">
        <f t="shared" si="37"/>
        <v>2018</v>
      </c>
      <c r="P122" s="43"/>
      <c r="Q122" s="4">
        <v>480</v>
      </c>
      <c r="R122" s="61">
        <f>Q122*4</f>
        <v>1920</v>
      </c>
      <c r="U122" s="51" t="s">
        <v>1270</v>
      </c>
      <c r="Y122" s="82">
        <v>43375</v>
      </c>
      <c r="Z122" s="51">
        <f t="shared" si="18"/>
        <v>2</v>
      </c>
      <c r="AA122" s="51">
        <f t="shared" si="19"/>
        <v>10</v>
      </c>
      <c r="AB122" s="51">
        <f t="shared" si="20"/>
        <v>2018</v>
      </c>
    </row>
    <row r="123" spans="1:28">
      <c r="A123" s="98" t="s">
        <v>1271</v>
      </c>
      <c r="B123" s="57">
        <v>33626975</v>
      </c>
      <c r="C123" s="37" t="s">
        <v>1272</v>
      </c>
      <c r="D123" t="s">
        <v>1273</v>
      </c>
      <c r="E123" s="37" t="s">
        <v>1274</v>
      </c>
      <c r="F123" s="37" t="s">
        <v>240</v>
      </c>
      <c r="G123" s="36" t="s">
        <v>108</v>
      </c>
      <c r="H123" s="57">
        <v>4534004</v>
      </c>
      <c r="I123" s="37" t="s">
        <v>1275</v>
      </c>
      <c r="J123" s="36" t="s">
        <v>1276</v>
      </c>
      <c r="K123" s="36">
        <v>1</v>
      </c>
      <c r="L123" s="56">
        <v>43348</v>
      </c>
      <c r="M123" s="36">
        <f t="shared" ref="M123:M129" si="38">DAY(L123)</f>
        <v>5</v>
      </c>
      <c r="N123" s="36">
        <f t="shared" ref="N123:N129" si="39">MONTH(L123)</f>
        <v>9</v>
      </c>
      <c r="O123" s="36">
        <f t="shared" ref="O123:O129" si="40">YEAR(L123)</f>
        <v>2018</v>
      </c>
      <c r="P123" s="43"/>
      <c r="Q123" s="116">
        <v>1000</v>
      </c>
      <c r="U123" s="51" t="s">
        <v>1303</v>
      </c>
      <c r="Y123" s="82">
        <v>43444</v>
      </c>
      <c r="Z123" s="51">
        <f t="shared" si="18"/>
        <v>10</v>
      </c>
      <c r="AA123" s="51">
        <f t="shared" si="19"/>
        <v>12</v>
      </c>
      <c r="AB123" s="51">
        <f t="shared" si="20"/>
        <v>2018</v>
      </c>
    </row>
    <row r="124" spans="1:28" s="51" customFormat="1">
      <c r="A124" s="98" t="s">
        <v>1032</v>
      </c>
      <c r="B124" s="46">
        <v>32153294</v>
      </c>
      <c r="C124" s="36" t="s">
        <v>1040</v>
      </c>
      <c r="D124" s="36" t="s">
        <v>1033</v>
      </c>
      <c r="E124" s="36" t="s">
        <v>1244</v>
      </c>
      <c r="F124" s="36" t="s">
        <v>1237</v>
      </c>
      <c r="G124" s="36" t="s">
        <v>108</v>
      </c>
      <c r="H124" s="36" t="s">
        <v>1238</v>
      </c>
      <c r="I124" s="51" t="s">
        <v>1037</v>
      </c>
      <c r="J124" s="36" t="s">
        <v>1038</v>
      </c>
      <c r="K124" s="36">
        <v>1</v>
      </c>
      <c r="L124" s="47">
        <v>43286</v>
      </c>
      <c r="M124" s="36">
        <f t="shared" si="38"/>
        <v>5</v>
      </c>
      <c r="N124" s="36">
        <f t="shared" si="39"/>
        <v>7</v>
      </c>
      <c r="O124" s="36">
        <f t="shared" si="40"/>
        <v>2018</v>
      </c>
      <c r="P124" s="93"/>
      <c r="Q124" s="95">
        <v>480</v>
      </c>
      <c r="R124" s="66">
        <f>Q124*5</f>
        <v>2400</v>
      </c>
      <c r="U124" s="51" t="s">
        <v>1243</v>
      </c>
      <c r="V124" s="54" t="s">
        <v>902</v>
      </c>
      <c r="X124" s="54"/>
      <c r="Y124" s="82">
        <v>43419</v>
      </c>
      <c r="Z124" s="51">
        <f t="shared" si="18"/>
        <v>15</v>
      </c>
      <c r="AA124" s="51">
        <f t="shared" si="19"/>
        <v>11</v>
      </c>
      <c r="AB124" s="51">
        <f t="shared" si="20"/>
        <v>2018</v>
      </c>
    </row>
    <row r="125" spans="1:28">
      <c r="A125" s="45" t="s">
        <v>1277</v>
      </c>
      <c r="B125" s="57">
        <v>436862256</v>
      </c>
      <c r="C125" s="37" t="s">
        <v>1278</v>
      </c>
      <c r="D125" s="18" t="s">
        <v>1279</v>
      </c>
      <c r="E125" s="37" t="s">
        <v>1280</v>
      </c>
      <c r="F125" s="36" t="s">
        <v>856</v>
      </c>
      <c r="G125" s="36" t="s">
        <v>108</v>
      </c>
      <c r="H125" s="57" t="s">
        <v>1304</v>
      </c>
      <c r="I125" t="s">
        <v>1281</v>
      </c>
      <c r="J125" s="36" t="s">
        <v>1282</v>
      </c>
      <c r="K125" s="36">
        <v>1</v>
      </c>
      <c r="L125" s="104">
        <v>43384</v>
      </c>
      <c r="M125" s="36">
        <f t="shared" si="38"/>
        <v>11</v>
      </c>
      <c r="N125" s="36">
        <f t="shared" si="39"/>
        <v>10</v>
      </c>
      <c r="O125" s="36">
        <f t="shared" si="40"/>
        <v>2018</v>
      </c>
      <c r="P125" s="43"/>
      <c r="Q125" s="11">
        <v>480</v>
      </c>
      <c r="T125" t="s">
        <v>902</v>
      </c>
      <c r="U125" s="51" t="s">
        <v>1305</v>
      </c>
      <c r="Y125" s="82">
        <v>43437</v>
      </c>
      <c r="Z125" s="51">
        <f t="shared" si="18"/>
        <v>3</v>
      </c>
      <c r="AA125" s="51">
        <f t="shared" si="19"/>
        <v>12</v>
      </c>
      <c r="AB125" s="51">
        <f t="shared" si="20"/>
        <v>2018</v>
      </c>
    </row>
    <row r="126" spans="1:28">
      <c r="A126" s="36" t="s">
        <v>1291</v>
      </c>
      <c r="B126" s="57">
        <v>25923864</v>
      </c>
      <c r="C126" s="37" t="s">
        <v>1292</v>
      </c>
      <c r="D126" s="18" t="s">
        <v>1293</v>
      </c>
      <c r="E126" s="37" t="s">
        <v>1294</v>
      </c>
      <c r="F126" s="36" t="s">
        <v>1295</v>
      </c>
      <c r="G126" s="36" t="s">
        <v>1027</v>
      </c>
      <c r="H126" s="57" t="s">
        <v>1309</v>
      </c>
      <c r="I126" s="2" t="s">
        <v>1310</v>
      </c>
      <c r="J126" s="36" t="s">
        <v>1296</v>
      </c>
      <c r="K126" s="36">
        <v>1</v>
      </c>
      <c r="L126" s="56">
        <v>43403</v>
      </c>
      <c r="M126" s="36">
        <f t="shared" si="38"/>
        <v>30</v>
      </c>
      <c r="N126" s="36">
        <f t="shared" si="39"/>
        <v>10</v>
      </c>
      <c r="O126" s="36">
        <f t="shared" si="40"/>
        <v>2018</v>
      </c>
      <c r="P126" s="11">
        <v>480</v>
      </c>
      <c r="Q126" s="117">
        <f>P126</f>
        <v>480</v>
      </c>
      <c r="R126" s="48">
        <f>P126*6</f>
        <v>2880</v>
      </c>
      <c r="U126" s="51"/>
      <c r="Y126" s="82">
        <v>43467</v>
      </c>
      <c r="Z126" s="51">
        <f t="shared" ref="Z126:Z148" si="41">IF($Y126=0,"",DAY($Y126))</f>
        <v>2</v>
      </c>
      <c r="AA126" s="51">
        <f t="shared" ref="AA126:AA148" si="42">IF($Y126=0,"",MONTH($Y126))</f>
        <v>1</v>
      </c>
      <c r="AB126" s="51">
        <f t="shared" ref="AB126:AB148" si="43">IF($Y126=0,"",YEAR($Y126))</f>
        <v>2019</v>
      </c>
    </row>
    <row r="127" spans="1:28" ht="15" customHeight="1">
      <c r="A127" s="98" t="s">
        <v>1297</v>
      </c>
      <c r="B127" s="37" t="s">
        <v>1298</v>
      </c>
      <c r="C127" s="37" t="s">
        <v>1299</v>
      </c>
      <c r="D127" s="18" t="s">
        <v>1300</v>
      </c>
      <c r="E127" s="37" t="s">
        <v>1301</v>
      </c>
      <c r="F127" s="36" t="s">
        <v>238</v>
      </c>
      <c r="G127" s="36" t="s">
        <v>108</v>
      </c>
      <c r="H127" s="57" t="s">
        <v>1311</v>
      </c>
      <c r="I127" s="2" t="s">
        <v>1312</v>
      </c>
      <c r="J127" s="36" t="s">
        <v>1302</v>
      </c>
      <c r="K127" s="36">
        <v>1</v>
      </c>
      <c r="L127" s="56">
        <v>43405</v>
      </c>
      <c r="M127" s="36">
        <f t="shared" si="38"/>
        <v>1</v>
      </c>
      <c r="N127" s="36">
        <f t="shared" si="39"/>
        <v>11</v>
      </c>
      <c r="O127" s="36">
        <f t="shared" si="40"/>
        <v>2018</v>
      </c>
      <c r="P127" s="11">
        <v>480</v>
      </c>
      <c r="Q127" s="117">
        <f>P127</f>
        <v>480</v>
      </c>
      <c r="R127" s="48">
        <f>P127*6</f>
        <v>2880</v>
      </c>
      <c r="T127" s="18" t="s">
        <v>902</v>
      </c>
      <c r="U127" s="103" t="s">
        <v>1335</v>
      </c>
      <c r="Y127" s="82">
        <v>43483</v>
      </c>
      <c r="Z127" s="51">
        <f t="shared" si="41"/>
        <v>18</v>
      </c>
      <c r="AA127" s="51">
        <f t="shared" si="42"/>
        <v>1</v>
      </c>
      <c r="AB127" s="51">
        <f t="shared" si="43"/>
        <v>2019</v>
      </c>
    </row>
    <row r="128" spans="1:28">
      <c r="A128" s="115" t="s">
        <v>1178</v>
      </c>
      <c r="B128" s="57">
        <v>527386</v>
      </c>
      <c r="C128" s="37" t="s">
        <v>1179</v>
      </c>
      <c r="D128" s="37" t="s">
        <v>1180</v>
      </c>
      <c r="E128" s="37" t="s">
        <v>1202</v>
      </c>
      <c r="F128" s="37" t="s">
        <v>646</v>
      </c>
      <c r="G128" s="36" t="s">
        <v>108</v>
      </c>
      <c r="H128" s="57" t="s">
        <v>1203</v>
      </c>
      <c r="I128" s="2" t="s">
        <v>1181</v>
      </c>
      <c r="J128" s="86" t="s">
        <v>1182</v>
      </c>
      <c r="K128" s="36">
        <v>1</v>
      </c>
      <c r="L128" s="56">
        <v>43190</v>
      </c>
      <c r="M128" s="36">
        <f t="shared" si="38"/>
        <v>31</v>
      </c>
      <c r="N128" s="36">
        <f t="shared" si="39"/>
        <v>3</v>
      </c>
      <c r="O128" s="36">
        <f t="shared" si="40"/>
        <v>2018</v>
      </c>
      <c r="P128" s="114">
        <v>480</v>
      </c>
      <c r="Q128" s="48">
        <f>P128*1.1041667</f>
        <v>530.00001599999996</v>
      </c>
      <c r="R128" s="48">
        <f>P128+5*Q128</f>
        <v>3130.0000799999998</v>
      </c>
      <c r="U128" s="54" t="s">
        <v>1334</v>
      </c>
      <c r="Y128" s="82">
        <v>43495</v>
      </c>
      <c r="Z128" s="51">
        <f t="shared" si="41"/>
        <v>30</v>
      </c>
      <c r="AA128" s="51">
        <f t="shared" si="42"/>
        <v>1</v>
      </c>
      <c r="AB128" s="51">
        <f t="shared" si="43"/>
        <v>2019</v>
      </c>
    </row>
    <row r="129" spans="1:28">
      <c r="A129" s="115" t="s">
        <v>409</v>
      </c>
      <c r="B129" s="37" t="s">
        <v>766</v>
      </c>
      <c r="C129" s="57" t="s">
        <v>417</v>
      </c>
      <c r="D129" s="37" t="s">
        <v>1252</v>
      </c>
      <c r="E129" s="37" t="s">
        <v>767</v>
      </c>
      <c r="F129" s="36" t="s">
        <v>229</v>
      </c>
      <c r="G129" s="36" t="s">
        <v>108</v>
      </c>
      <c r="H129" s="18" t="s">
        <v>768</v>
      </c>
      <c r="I129" t="s">
        <v>769</v>
      </c>
      <c r="J129" s="36" t="s">
        <v>770</v>
      </c>
      <c r="K129" s="36">
        <v>1</v>
      </c>
      <c r="L129" s="56">
        <v>43322</v>
      </c>
      <c r="M129" s="36">
        <f t="shared" si="38"/>
        <v>10</v>
      </c>
      <c r="N129" s="36">
        <f t="shared" si="39"/>
        <v>8</v>
      </c>
      <c r="O129" s="36">
        <f t="shared" si="40"/>
        <v>2018</v>
      </c>
      <c r="P129" s="4">
        <v>480</v>
      </c>
      <c r="Q129" s="117">
        <f>P129</f>
        <v>480</v>
      </c>
      <c r="R129" s="48">
        <f>P129*6</f>
        <v>2880</v>
      </c>
      <c r="U129" s="54" t="s">
        <v>1334</v>
      </c>
      <c r="X129" s="54" t="s">
        <v>1253</v>
      </c>
      <c r="Y129" s="82">
        <v>43500</v>
      </c>
      <c r="Z129" s="51">
        <f t="shared" si="41"/>
        <v>4</v>
      </c>
      <c r="AA129" s="51">
        <f t="shared" si="42"/>
        <v>2</v>
      </c>
      <c r="AB129" s="51">
        <f t="shared" si="43"/>
        <v>2019</v>
      </c>
    </row>
    <row r="130" spans="1:28" s="51" customFormat="1">
      <c r="A130" s="115" t="s">
        <v>1218</v>
      </c>
      <c r="B130" s="37"/>
      <c r="C130" s="37" t="s">
        <v>1219</v>
      </c>
      <c r="D130" s="37"/>
      <c r="E130" s="37" t="s">
        <v>1220</v>
      </c>
      <c r="F130" s="36" t="s">
        <v>1221</v>
      </c>
      <c r="G130" s="36" t="s">
        <v>108</v>
      </c>
      <c r="H130" t="s">
        <v>1222</v>
      </c>
      <c r="I130"/>
      <c r="J130" s="36" t="s">
        <v>860</v>
      </c>
      <c r="K130" s="36">
        <v>1</v>
      </c>
      <c r="L130" s="56">
        <v>42745</v>
      </c>
      <c r="M130" s="36">
        <f t="shared" ref="M130:M135" si="44">DAY(L130)</f>
        <v>10</v>
      </c>
      <c r="N130" s="36">
        <f t="shared" ref="N130:N135" si="45">MONTH(L130)</f>
        <v>1</v>
      </c>
      <c r="O130" s="36">
        <f t="shared" ref="O130:O135" si="46">YEAR(L130)</f>
        <v>2017</v>
      </c>
      <c r="P130" s="4">
        <v>480</v>
      </c>
      <c r="Q130" s="48">
        <f>P130*1.1041667</f>
        <v>530.00001599999996</v>
      </c>
      <c r="R130" s="48">
        <f>P130+5*Q130</f>
        <v>3130.0000799999998</v>
      </c>
      <c r="T130" s="18" t="s">
        <v>165</v>
      </c>
      <c r="U130" s="54" t="s">
        <v>1334</v>
      </c>
      <c r="V130"/>
      <c r="W130"/>
      <c r="X130" s="51" t="s">
        <v>861</v>
      </c>
      <c r="Y130" s="82">
        <v>43531</v>
      </c>
      <c r="Z130" s="51">
        <f t="shared" si="41"/>
        <v>7</v>
      </c>
      <c r="AA130" s="51">
        <f t="shared" si="42"/>
        <v>3</v>
      </c>
      <c r="AB130" s="51">
        <f t="shared" si="43"/>
        <v>2019</v>
      </c>
    </row>
    <row r="131" spans="1:28">
      <c r="A131" s="98" t="s">
        <v>1313</v>
      </c>
      <c r="B131" s="57">
        <v>33149549</v>
      </c>
      <c r="C131" s="42">
        <v>5696240887</v>
      </c>
      <c r="D131" s="18" t="s">
        <v>1314</v>
      </c>
      <c r="E131" s="37" t="s">
        <v>1315</v>
      </c>
      <c r="F131" s="36" t="s">
        <v>1316</v>
      </c>
      <c r="G131" s="36" t="s">
        <v>108</v>
      </c>
      <c r="H131" s="18" t="s">
        <v>310</v>
      </c>
      <c r="I131" s="18" t="s">
        <v>310</v>
      </c>
      <c r="J131" s="36" t="s">
        <v>753</v>
      </c>
      <c r="K131" s="36">
        <v>1</v>
      </c>
      <c r="L131" s="56">
        <v>43426</v>
      </c>
      <c r="M131" s="36">
        <f t="shared" si="44"/>
        <v>22</v>
      </c>
      <c r="N131" s="36">
        <f t="shared" si="45"/>
        <v>11</v>
      </c>
      <c r="O131" s="36">
        <f t="shared" si="46"/>
        <v>2018</v>
      </c>
      <c r="P131" s="116">
        <v>1000</v>
      </c>
      <c r="Q131" s="117">
        <f>P131</f>
        <v>1000</v>
      </c>
      <c r="T131" s="18" t="s">
        <v>902</v>
      </c>
      <c r="U131" s="54" t="s">
        <v>1337</v>
      </c>
      <c r="Y131" s="82">
        <v>43517</v>
      </c>
      <c r="Z131" s="51">
        <f t="shared" si="41"/>
        <v>21</v>
      </c>
      <c r="AA131" s="51">
        <f t="shared" si="42"/>
        <v>2</v>
      </c>
      <c r="AB131" s="51">
        <f t="shared" si="43"/>
        <v>2019</v>
      </c>
    </row>
    <row r="132" spans="1:28">
      <c r="A132" s="115" t="s">
        <v>1082</v>
      </c>
      <c r="B132" s="57">
        <v>35288056</v>
      </c>
      <c r="C132" s="37" t="s">
        <v>1083</v>
      </c>
      <c r="D132" s="37" t="s">
        <v>1084</v>
      </c>
      <c r="E132" s="37" t="s">
        <v>1085</v>
      </c>
      <c r="F132" s="36" t="s">
        <v>1086</v>
      </c>
      <c r="G132" s="36" t="s">
        <v>81</v>
      </c>
      <c r="H132" s="37" t="s">
        <v>1087</v>
      </c>
      <c r="I132" t="s">
        <v>1088</v>
      </c>
      <c r="J132" s="36" t="s">
        <v>1089</v>
      </c>
      <c r="K132" s="36">
        <v>1</v>
      </c>
      <c r="L132" s="56">
        <v>43051</v>
      </c>
      <c r="M132" s="36">
        <f t="shared" si="44"/>
        <v>12</v>
      </c>
      <c r="N132" s="36">
        <f t="shared" si="45"/>
        <v>11</v>
      </c>
      <c r="O132" s="36">
        <f t="shared" si="46"/>
        <v>2017</v>
      </c>
      <c r="P132" s="97">
        <v>480</v>
      </c>
      <c r="Q132" s="48">
        <f>P132*1.1041667</f>
        <v>530.00001599999996</v>
      </c>
      <c r="R132" s="48">
        <f>P132+5*Q132</f>
        <v>3130.0000799999998</v>
      </c>
      <c r="U132" s="54" t="s">
        <v>1334</v>
      </c>
      <c r="Y132" s="82">
        <v>43554</v>
      </c>
      <c r="Z132" s="51">
        <f t="shared" si="41"/>
        <v>30</v>
      </c>
      <c r="AA132" s="51">
        <f t="shared" si="42"/>
        <v>3</v>
      </c>
      <c r="AB132" s="51">
        <f t="shared" si="43"/>
        <v>2019</v>
      </c>
    </row>
    <row r="133" spans="1:28">
      <c r="A133" s="36" t="s">
        <v>1225</v>
      </c>
      <c r="B133" s="57">
        <v>284451277</v>
      </c>
      <c r="C133" s="57">
        <v>26784237862</v>
      </c>
      <c r="D133" s="37" t="s">
        <v>1226</v>
      </c>
      <c r="E133" s="37" t="s">
        <v>1227</v>
      </c>
      <c r="F133" s="37" t="s">
        <v>1228</v>
      </c>
      <c r="G133" s="36" t="s">
        <v>1229</v>
      </c>
      <c r="H133" s="57" t="s">
        <v>1230</v>
      </c>
      <c r="I133" t="s">
        <v>1231</v>
      </c>
      <c r="J133" s="36" t="s">
        <v>1358</v>
      </c>
      <c r="K133" s="36">
        <v>1</v>
      </c>
      <c r="L133" s="56">
        <v>43541</v>
      </c>
      <c r="M133" s="36">
        <f t="shared" si="44"/>
        <v>17</v>
      </c>
      <c r="N133" s="36">
        <f t="shared" si="45"/>
        <v>3</v>
      </c>
      <c r="O133" s="36">
        <f t="shared" si="46"/>
        <v>2019</v>
      </c>
      <c r="P133" s="43"/>
      <c r="Q133" s="118">
        <v>510</v>
      </c>
      <c r="Y133" s="82">
        <v>43570</v>
      </c>
      <c r="Z133" s="51">
        <f t="shared" si="41"/>
        <v>15</v>
      </c>
      <c r="AA133" s="51">
        <f t="shared" si="42"/>
        <v>4</v>
      </c>
      <c r="AB133" s="51">
        <f t="shared" si="43"/>
        <v>2019</v>
      </c>
    </row>
    <row r="134" spans="1:28">
      <c r="A134" s="115" t="s">
        <v>422</v>
      </c>
      <c r="B134" s="46">
        <v>112594098</v>
      </c>
      <c r="C134" s="36" t="s">
        <v>427</v>
      </c>
      <c r="D134" s="36" t="s">
        <v>465</v>
      </c>
      <c r="E134" s="36" t="s">
        <v>423</v>
      </c>
      <c r="F134" s="36" t="s">
        <v>424</v>
      </c>
      <c r="G134" s="36" t="s">
        <v>81</v>
      </c>
      <c r="H134" s="46" t="s">
        <v>428</v>
      </c>
      <c r="I134" s="52" t="s">
        <v>425</v>
      </c>
      <c r="J134" s="36" t="s">
        <v>426</v>
      </c>
      <c r="K134" s="36">
        <v>1</v>
      </c>
      <c r="L134" s="56">
        <v>42114</v>
      </c>
      <c r="M134" s="36">
        <f t="shared" si="44"/>
        <v>20</v>
      </c>
      <c r="N134" s="36">
        <f t="shared" si="45"/>
        <v>4</v>
      </c>
      <c r="O134" s="36">
        <f t="shared" si="46"/>
        <v>2015</v>
      </c>
      <c r="P134" s="48">
        <v>480</v>
      </c>
      <c r="Q134" s="48">
        <f>P134*1.1041667</f>
        <v>530.00001599999996</v>
      </c>
      <c r="R134" s="48">
        <f>P134+5*Q134</f>
        <v>3130.0000799999998</v>
      </c>
      <c r="T134" s="51"/>
      <c r="U134" s="54" t="s">
        <v>1334</v>
      </c>
      <c r="V134" s="51"/>
      <c r="W134" s="51"/>
      <c r="X134" s="51"/>
      <c r="Y134" s="82">
        <v>43534</v>
      </c>
      <c r="Z134" s="51">
        <f t="shared" si="41"/>
        <v>10</v>
      </c>
      <c r="AA134" s="51">
        <f t="shared" si="42"/>
        <v>3</v>
      </c>
      <c r="AB134" s="51">
        <f t="shared" si="43"/>
        <v>2019</v>
      </c>
    </row>
    <row r="135" spans="1:28">
      <c r="A135" s="115" t="s">
        <v>1129</v>
      </c>
      <c r="B135" s="57">
        <v>318099470</v>
      </c>
      <c r="C135" s="57" t="s">
        <v>1130</v>
      </c>
      <c r="D135" s="37" t="s">
        <v>1131</v>
      </c>
      <c r="E135" s="37" t="s">
        <v>1132</v>
      </c>
      <c r="F135" s="36" t="s">
        <v>1133</v>
      </c>
      <c r="G135" s="36" t="s">
        <v>108</v>
      </c>
      <c r="H135" s="57" t="s">
        <v>1134</v>
      </c>
      <c r="I135" s="2" t="s">
        <v>1148</v>
      </c>
      <c r="J135" s="36" t="s">
        <v>1135</v>
      </c>
      <c r="K135" s="36">
        <v>1</v>
      </c>
      <c r="L135" s="56">
        <v>43118</v>
      </c>
      <c r="M135" s="36">
        <f t="shared" si="44"/>
        <v>18</v>
      </c>
      <c r="N135" s="36">
        <f t="shared" si="45"/>
        <v>1</v>
      </c>
      <c r="O135" s="36">
        <f t="shared" si="46"/>
        <v>2018</v>
      </c>
      <c r="P135" s="11">
        <v>480</v>
      </c>
      <c r="Q135" s="48">
        <f>P135*1.1041667</f>
        <v>530.00001599999996</v>
      </c>
      <c r="R135" s="48">
        <f>P135+5*Q135</f>
        <v>3130.0000799999998</v>
      </c>
      <c r="U135" s="54" t="s">
        <v>1334</v>
      </c>
      <c r="Y135" s="82">
        <v>43570</v>
      </c>
      <c r="Z135" s="51">
        <f t="shared" si="41"/>
        <v>15</v>
      </c>
      <c r="AA135" s="51">
        <f t="shared" si="42"/>
        <v>4</v>
      </c>
      <c r="AB135" s="51">
        <f t="shared" si="43"/>
        <v>2019</v>
      </c>
    </row>
    <row r="136" spans="1:28">
      <c r="A136" s="98" t="s">
        <v>1326</v>
      </c>
      <c r="B136" s="57">
        <v>35039681</v>
      </c>
      <c r="C136" s="37" t="s">
        <v>1327</v>
      </c>
      <c r="D136" s="18" t="s">
        <v>1328</v>
      </c>
      <c r="E136" s="37" t="s">
        <v>1329</v>
      </c>
      <c r="F136" s="36" t="s">
        <v>340</v>
      </c>
      <c r="G136" s="36" t="s">
        <v>265</v>
      </c>
      <c r="H136" s="57">
        <v>9750220</v>
      </c>
      <c r="I136" s="2" t="s">
        <v>1331</v>
      </c>
      <c r="J136" s="36" t="s">
        <v>1047</v>
      </c>
      <c r="K136" s="36">
        <v>1</v>
      </c>
      <c r="L136" s="56">
        <v>43425</v>
      </c>
      <c r="M136" s="36">
        <f t="shared" ref="M136:M142" si="47">DAY(L136)</f>
        <v>21</v>
      </c>
      <c r="N136" s="36">
        <f t="shared" ref="N136:N142" si="48">MONTH(L136)</f>
        <v>11</v>
      </c>
      <c r="O136" s="36">
        <f t="shared" ref="O136:O142" si="49">YEAR(L136)</f>
        <v>2018</v>
      </c>
      <c r="P136" s="4">
        <v>450</v>
      </c>
      <c r="Q136" s="117">
        <f>P136</f>
        <v>450</v>
      </c>
      <c r="R136" s="61">
        <f>2*Q136</f>
        <v>900</v>
      </c>
      <c r="T136" s="18" t="s">
        <v>1330</v>
      </c>
      <c r="U136" s="103" t="s">
        <v>1353</v>
      </c>
      <c r="Y136" s="82">
        <v>43606</v>
      </c>
      <c r="Z136" s="51">
        <f t="shared" si="41"/>
        <v>21</v>
      </c>
      <c r="AA136" s="51">
        <f t="shared" si="42"/>
        <v>5</v>
      </c>
      <c r="AB136" s="51">
        <f t="shared" si="43"/>
        <v>2019</v>
      </c>
    </row>
    <row r="137" spans="1:28">
      <c r="A137" s="98" t="s">
        <v>1355</v>
      </c>
      <c r="B137" s="57">
        <v>4434950243</v>
      </c>
      <c r="C137" s="57">
        <v>10500110</v>
      </c>
      <c r="D137" s="37" t="s">
        <v>1356</v>
      </c>
      <c r="E137" s="37" t="s">
        <v>1357</v>
      </c>
      <c r="F137" s="36" t="s">
        <v>751</v>
      </c>
      <c r="G137" s="36" t="s">
        <v>108</v>
      </c>
      <c r="H137" s="57" t="s">
        <v>1365</v>
      </c>
      <c r="I137" s="2" t="s">
        <v>1366</v>
      </c>
      <c r="J137" s="36" t="s">
        <v>1350</v>
      </c>
      <c r="K137" s="36">
        <v>1</v>
      </c>
      <c r="L137" s="56">
        <v>43519</v>
      </c>
      <c r="M137" s="36">
        <f t="shared" si="47"/>
        <v>23</v>
      </c>
      <c r="N137" s="36">
        <f t="shared" si="48"/>
        <v>2</v>
      </c>
      <c r="O137" s="36">
        <f t="shared" si="49"/>
        <v>2019</v>
      </c>
      <c r="P137" s="43"/>
      <c r="Q137" s="116">
        <v>1000</v>
      </c>
      <c r="R137" s="1">
        <f>2*Q137</f>
        <v>2000</v>
      </c>
      <c r="U137" s="103" t="s">
        <v>1367</v>
      </c>
      <c r="Y137" s="82">
        <v>43615</v>
      </c>
      <c r="Z137" s="51">
        <f t="shared" si="41"/>
        <v>30</v>
      </c>
      <c r="AA137" s="51">
        <f t="shared" si="42"/>
        <v>5</v>
      </c>
      <c r="AB137" s="51">
        <f t="shared" si="43"/>
        <v>2019</v>
      </c>
    </row>
    <row r="138" spans="1:28">
      <c r="A138" s="115" t="s">
        <v>1371</v>
      </c>
      <c r="B138" s="81">
        <v>6234133</v>
      </c>
      <c r="C138" s="18" t="s">
        <v>1385</v>
      </c>
      <c r="D138" s="37" t="s">
        <v>1372</v>
      </c>
      <c r="E138" s="37" t="s">
        <v>1373</v>
      </c>
      <c r="F138" s="36" t="s">
        <v>1374</v>
      </c>
      <c r="G138" s="36" t="s">
        <v>1375</v>
      </c>
      <c r="H138" s="18" t="s">
        <v>1386</v>
      </c>
      <c r="I138" s="2" t="s">
        <v>1387</v>
      </c>
      <c r="J138" s="36" t="s">
        <v>1376</v>
      </c>
      <c r="K138" s="36">
        <v>1</v>
      </c>
      <c r="L138" s="104">
        <v>43548</v>
      </c>
      <c r="M138" s="36">
        <f t="shared" si="47"/>
        <v>24</v>
      </c>
      <c r="N138" s="36">
        <f t="shared" si="48"/>
        <v>3</v>
      </c>
      <c r="O138" s="36">
        <f t="shared" si="49"/>
        <v>2019</v>
      </c>
      <c r="P138" s="43"/>
      <c r="Q138" s="116">
        <v>530</v>
      </c>
      <c r="R138" s="1">
        <f>Q138*3</f>
        <v>1590</v>
      </c>
      <c r="T138" t="s">
        <v>902</v>
      </c>
      <c r="U138" s="54" t="s">
        <v>1370</v>
      </c>
      <c r="Y138" s="82">
        <v>43624</v>
      </c>
      <c r="Z138" s="51">
        <f t="shared" si="41"/>
        <v>8</v>
      </c>
      <c r="AA138" s="51">
        <f t="shared" si="42"/>
        <v>6</v>
      </c>
      <c r="AB138" s="51">
        <f t="shared" si="43"/>
        <v>2019</v>
      </c>
    </row>
    <row r="139" spans="1:28">
      <c r="A139" s="115" t="s">
        <v>1378</v>
      </c>
      <c r="B139" s="81" t="s">
        <v>1379</v>
      </c>
      <c r="C139" s="18" t="s">
        <v>1395</v>
      </c>
      <c r="D139" s="37" t="s">
        <v>1380</v>
      </c>
      <c r="E139" s="37" t="s">
        <v>1381</v>
      </c>
      <c r="F139" s="36" t="s">
        <v>1382</v>
      </c>
      <c r="G139" s="36" t="s">
        <v>108</v>
      </c>
      <c r="H139" t="s">
        <v>1383</v>
      </c>
      <c r="I139" s="2" t="s">
        <v>1396</v>
      </c>
      <c r="J139" s="36" t="s">
        <v>1384</v>
      </c>
      <c r="K139" s="36">
        <v>1</v>
      </c>
      <c r="L139" s="104">
        <v>43560</v>
      </c>
      <c r="M139" s="36">
        <f t="shared" si="47"/>
        <v>5</v>
      </c>
      <c r="N139" s="36">
        <f t="shared" si="48"/>
        <v>4</v>
      </c>
      <c r="O139" s="36">
        <f t="shared" si="49"/>
        <v>2019</v>
      </c>
      <c r="P139" s="43"/>
      <c r="Q139" s="116">
        <v>530</v>
      </c>
      <c r="R139" s="1">
        <f>2*Q139</f>
        <v>1060</v>
      </c>
      <c r="U139" s="54" t="s">
        <v>1393</v>
      </c>
      <c r="Y139" s="82">
        <v>43624</v>
      </c>
      <c r="Z139" s="51">
        <f t="shared" si="41"/>
        <v>8</v>
      </c>
      <c r="AA139" s="51">
        <f t="shared" si="42"/>
        <v>6</v>
      </c>
      <c r="AB139" s="51">
        <f t="shared" si="43"/>
        <v>2019</v>
      </c>
    </row>
    <row r="140" spans="1:28">
      <c r="A140" s="98" t="s">
        <v>1359</v>
      </c>
      <c r="B140" s="81">
        <v>2000031111697</v>
      </c>
      <c r="C140" s="18" t="s">
        <v>1388</v>
      </c>
      <c r="D140" s="37" t="s">
        <v>1360</v>
      </c>
      <c r="E140" s="37" t="s">
        <v>1389</v>
      </c>
      <c r="F140" s="36" t="s">
        <v>1361</v>
      </c>
      <c r="G140" s="36" t="s">
        <v>1362</v>
      </c>
      <c r="H140" t="s">
        <v>1363</v>
      </c>
      <c r="I140" s="2" t="s">
        <v>1390</v>
      </c>
      <c r="J140" s="36" t="s">
        <v>1364</v>
      </c>
      <c r="K140" s="36">
        <v>2</v>
      </c>
      <c r="L140" s="104">
        <v>43545</v>
      </c>
      <c r="M140" s="36">
        <f t="shared" si="47"/>
        <v>21</v>
      </c>
      <c r="N140" s="36">
        <f t="shared" si="48"/>
        <v>3</v>
      </c>
      <c r="O140" s="36">
        <f t="shared" si="49"/>
        <v>2019</v>
      </c>
      <c r="P140" s="43"/>
      <c r="Q140" s="116">
        <v>1900</v>
      </c>
      <c r="R140" s="1">
        <f>Q140*2</f>
        <v>3800</v>
      </c>
      <c r="U140" s="103" t="s">
        <v>1392</v>
      </c>
      <c r="Y140" s="82">
        <v>43654</v>
      </c>
      <c r="Z140" s="51">
        <f t="shared" si="41"/>
        <v>8</v>
      </c>
      <c r="AA140" s="51">
        <f t="shared" si="42"/>
        <v>7</v>
      </c>
      <c r="AB140" s="51">
        <f t="shared" si="43"/>
        <v>2019</v>
      </c>
    </row>
    <row r="141" spans="1:28">
      <c r="A141" s="115" t="s">
        <v>1338</v>
      </c>
      <c r="B141" s="18" t="s">
        <v>1339</v>
      </c>
      <c r="C141" s="37" t="s">
        <v>1340</v>
      </c>
      <c r="E141" s="37" t="s">
        <v>1341</v>
      </c>
      <c r="F141" s="36" t="s">
        <v>957</v>
      </c>
      <c r="G141" s="36" t="s">
        <v>108</v>
      </c>
      <c r="H141" s="57" t="s">
        <v>1354</v>
      </c>
      <c r="I141" s="2" t="s">
        <v>1342</v>
      </c>
      <c r="J141" s="36" t="s">
        <v>1394</v>
      </c>
      <c r="K141" s="36">
        <v>1</v>
      </c>
      <c r="L141" s="56">
        <v>43517</v>
      </c>
      <c r="M141" s="36">
        <f t="shared" si="47"/>
        <v>21</v>
      </c>
      <c r="N141" s="36">
        <f t="shared" si="48"/>
        <v>2</v>
      </c>
      <c r="O141" s="36">
        <f t="shared" si="49"/>
        <v>2019</v>
      </c>
      <c r="P141" s="4"/>
      <c r="Q141" s="116">
        <f>530+115</f>
        <v>645</v>
      </c>
      <c r="R141" s="48">
        <f>6*Q141</f>
        <v>3870</v>
      </c>
      <c r="T141" s="18" t="s">
        <v>1343</v>
      </c>
      <c r="U141" s="54" t="s">
        <v>1400</v>
      </c>
      <c r="Y141" s="82">
        <v>43666</v>
      </c>
      <c r="Z141" s="51">
        <f t="shared" si="41"/>
        <v>20</v>
      </c>
      <c r="AA141" s="51">
        <f t="shared" si="42"/>
        <v>7</v>
      </c>
      <c r="AB141" s="51">
        <f t="shared" si="43"/>
        <v>2019</v>
      </c>
    </row>
    <row r="142" spans="1:28" ht="12.75" customHeight="1">
      <c r="A142" s="115" t="s">
        <v>1062</v>
      </c>
      <c r="B142" s="119" t="s">
        <v>1063</v>
      </c>
      <c r="C142" s="120" t="s">
        <v>1073</v>
      </c>
      <c r="D142" s="37" t="s">
        <v>1075</v>
      </c>
      <c r="E142" s="37" t="s">
        <v>1064</v>
      </c>
      <c r="F142" s="36" t="s">
        <v>240</v>
      </c>
      <c r="G142" s="36" t="s">
        <v>108</v>
      </c>
      <c r="H142" s="18" t="s">
        <v>1074</v>
      </c>
      <c r="I142" s="2" t="s">
        <v>1065</v>
      </c>
      <c r="J142" s="36" t="s">
        <v>1066</v>
      </c>
      <c r="K142" s="36">
        <v>2</v>
      </c>
      <c r="L142" s="56">
        <v>43014</v>
      </c>
      <c r="M142" s="36">
        <f t="shared" si="47"/>
        <v>6</v>
      </c>
      <c r="N142" s="36">
        <f t="shared" si="48"/>
        <v>10</v>
      </c>
      <c r="O142" s="36">
        <f t="shared" si="49"/>
        <v>2017</v>
      </c>
      <c r="P142" s="97">
        <v>850</v>
      </c>
      <c r="Q142" s="48">
        <f>P142*1.1041667</f>
        <v>938.541695</v>
      </c>
      <c r="R142" s="48">
        <f>Q142*6</f>
        <v>5631.2501700000003</v>
      </c>
      <c r="T142" s="97">
        <f>Q142-P142</f>
        <v>88.541695000000004</v>
      </c>
      <c r="U142" s="54" t="s">
        <v>1398</v>
      </c>
      <c r="Y142" s="82">
        <v>43659</v>
      </c>
      <c r="Z142" s="51">
        <f t="shared" si="41"/>
        <v>13</v>
      </c>
      <c r="AA142" s="51">
        <f t="shared" si="42"/>
        <v>7</v>
      </c>
      <c r="AB142" s="51">
        <f t="shared" si="43"/>
        <v>2019</v>
      </c>
    </row>
    <row r="143" spans="1:28">
      <c r="A143" s="115" t="s">
        <v>409</v>
      </c>
      <c r="B143" s="81" t="s">
        <v>766</v>
      </c>
      <c r="C143" s="18" t="s">
        <v>1391</v>
      </c>
      <c r="D143" s="37" t="s">
        <v>1377</v>
      </c>
      <c r="E143" s="37" t="s">
        <v>767</v>
      </c>
      <c r="F143" s="36" t="s">
        <v>229</v>
      </c>
      <c r="G143" s="36" t="s">
        <v>108</v>
      </c>
      <c r="H143" t="s">
        <v>768</v>
      </c>
      <c r="I143" s="2" t="s">
        <v>769</v>
      </c>
      <c r="J143" s="36" t="s">
        <v>770</v>
      </c>
      <c r="K143" s="36">
        <v>1</v>
      </c>
      <c r="L143" s="104">
        <v>43554</v>
      </c>
      <c r="M143" s="36">
        <f t="shared" ref="M143:M148" si="50">DAY(L143)</f>
        <v>30</v>
      </c>
      <c r="N143" s="36">
        <f t="shared" ref="N143:N148" si="51">MONTH(L143)</f>
        <v>3</v>
      </c>
      <c r="O143" s="36">
        <f t="shared" ref="O143:O148" si="52">YEAR(L143)</f>
        <v>2019</v>
      </c>
      <c r="P143" s="43"/>
      <c r="Q143" s="116">
        <v>510</v>
      </c>
      <c r="R143" s="48">
        <f>6*Q143</f>
        <v>3060</v>
      </c>
      <c r="U143" s="54" t="s">
        <v>1398</v>
      </c>
      <c r="X143" t="s">
        <v>1253</v>
      </c>
      <c r="Y143" s="82">
        <v>43659</v>
      </c>
      <c r="Z143" s="51">
        <f t="shared" si="41"/>
        <v>13</v>
      </c>
      <c r="AA143" s="51">
        <f t="shared" si="42"/>
        <v>7</v>
      </c>
      <c r="AB143" s="51">
        <f t="shared" si="43"/>
        <v>2019</v>
      </c>
    </row>
    <row r="144" spans="1:28">
      <c r="A144" s="36" t="s">
        <v>1277</v>
      </c>
      <c r="B144" s="57">
        <v>436862256</v>
      </c>
      <c r="C144" s="37" t="s">
        <v>1278</v>
      </c>
      <c r="D144" s="18" t="s">
        <v>1279</v>
      </c>
      <c r="E144" s="37" t="s">
        <v>1280</v>
      </c>
      <c r="F144" s="36" t="s">
        <v>856</v>
      </c>
      <c r="G144" s="36" t="s">
        <v>108</v>
      </c>
      <c r="H144" s="57">
        <v>3477000</v>
      </c>
      <c r="I144" t="s">
        <v>1281</v>
      </c>
      <c r="J144" s="36" t="s">
        <v>1282</v>
      </c>
      <c r="K144" s="36">
        <v>1</v>
      </c>
      <c r="L144" s="56">
        <v>43384</v>
      </c>
      <c r="M144" s="36">
        <f t="shared" si="50"/>
        <v>11</v>
      </c>
      <c r="N144" s="36">
        <f t="shared" si="51"/>
        <v>10</v>
      </c>
      <c r="O144" s="36">
        <f t="shared" si="52"/>
        <v>2018</v>
      </c>
      <c r="P144" s="43"/>
      <c r="Q144" s="121">
        <v>530</v>
      </c>
      <c r="Y144" s="82">
        <v>43664</v>
      </c>
      <c r="Z144" s="51">
        <f t="shared" si="41"/>
        <v>18</v>
      </c>
      <c r="AA144" s="51">
        <f t="shared" si="42"/>
        <v>7</v>
      </c>
      <c r="AB144" s="51">
        <f t="shared" si="43"/>
        <v>2019</v>
      </c>
    </row>
    <row r="145" spans="1:28">
      <c r="A145" s="115" t="s">
        <v>708</v>
      </c>
      <c r="B145" s="36" t="s">
        <v>709</v>
      </c>
      <c r="C145" s="46" t="s">
        <v>735</v>
      </c>
      <c r="D145" s="36" t="s">
        <v>737</v>
      </c>
      <c r="E145" s="36" t="s">
        <v>710</v>
      </c>
      <c r="F145" s="36" t="s">
        <v>278</v>
      </c>
      <c r="G145" s="36" t="s">
        <v>108</v>
      </c>
      <c r="H145" s="46" t="s">
        <v>736</v>
      </c>
      <c r="I145" s="51"/>
      <c r="J145" s="36" t="s">
        <v>711</v>
      </c>
      <c r="K145" s="36">
        <v>1</v>
      </c>
      <c r="L145" s="47">
        <v>42574</v>
      </c>
      <c r="M145" s="36">
        <f t="shared" si="50"/>
        <v>23</v>
      </c>
      <c r="N145" s="36">
        <f t="shared" si="51"/>
        <v>7</v>
      </c>
      <c r="O145" s="36">
        <f t="shared" si="52"/>
        <v>2016</v>
      </c>
      <c r="P145" s="122">
        <f>380+115</f>
        <v>495</v>
      </c>
      <c r="Q145" s="50">
        <v>534.58000000000004</v>
      </c>
      <c r="R145" s="48">
        <f>6*Q145</f>
        <v>3207.4800000000005</v>
      </c>
      <c r="T145" s="51"/>
      <c r="U145" s="54" t="s">
        <v>1400</v>
      </c>
      <c r="V145" s="51"/>
      <c r="W145" s="51"/>
      <c r="X145" s="51"/>
      <c r="Y145" s="82">
        <v>43684</v>
      </c>
      <c r="Z145" s="51">
        <f t="shared" si="41"/>
        <v>7</v>
      </c>
      <c r="AA145" s="51">
        <f t="shared" si="42"/>
        <v>8</v>
      </c>
      <c r="AB145" s="51">
        <f t="shared" si="43"/>
        <v>2019</v>
      </c>
    </row>
    <row r="146" spans="1:28" s="54" customFormat="1">
      <c r="A146" s="115" t="s">
        <v>1204</v>
      </c>
      <c r="B146" s="57">
        <v>25836697</v>
      </c>
      <c r="C146" s="57" t="s">
        <v>1205</v>
      </c>
      <c r="D146" s="37" t="s">
        <v>1206</v>
      </c>
      <c r="E146" s="37" t="s">
        <v>1207</v>
      </c>
      <c r="F146" s="37" t="s">
        <v>1208</v>
      </c>
      <c r="G146" s="36" t="s">
        <v>1209</v>
      </c>
      <c r="H146" s="57" t="s">
        <v>1210</v>
      </c>
      <c r="I146" s="2" t="s">
        <v>1223</v>
      </c>
      <c r="J146" s="36" t="s">
        <v>1211</v>
      </c>
      <c r="K146" s="36">
        <v>1</v>
      </c>
      <c r="L146" s="56">
        <v>43232</v>
      </c>
      <c r="M146" s="36">
        <f t="shared" si="50"/>
        <v>12</v>
      </c>
      <c r="N146" s="36">
        <f t="shared" si="51"/>
        <v>5</v>
      </c>
      <c r="O146" s="36">
        <f t="shared" si="52"/>
        <v>2018</v>
      </c>
      <c r="P146" s="114">
        <v>480</v>
      </c>
      <c r="Q146" s="48">
        <f>P146*1.1041667</f>
        <v>530.00001599999996</v>
      </c>
      <c r="R146" s="48">
        <f>6*Q146</f>
        <v>3180.0000959999998</v>
      </c>
      <c r="T146"/>
      <c r="U146" s="54" t="s">
        <v>1398</v>
      </c>
      <c r="V146"/>
      <c r="W146"/>
      <c r="X146"/>
      <c r="Y146" s="82">
        <v>43684</v>
      </c>
      <c r="Z146" s="54">
        <f t="shared" si="41"/>
        <v>7</v>
      </c>
      <c r="AA146" s="54">
        <f t="shared" si="42"/>
        <v>8</v>
      </c>
      <c r="AB146" s="54">
        <f t="shared" si="43"/>
        <v>2019</v>
      </c>
    </row>
    <row r="147" spans="1:28" s="51" customFormat="1">
      <c r="A147" s="86" t="s">
        <v>910</v>
      </c>
      <c r="B147" s="57">
        <v>34902877</v>
      </c>
      <c r="C147" s="37" t="s">
        <v>911</v>
      </c>
      <c r="D147" s="37" t="s">
        <v>919</v>
      </c>
      <c r="E147" s="37" t="s">
        <v>912</v>
      </c>
      <c r="F147" s="36" t="s">
        <v>913</v>
      </c>
      <c r="G147" s="36" t="s">
        <v>108</v>
      </c>
      <c r="H147" s="37" t="s">
        <v>914</v>
      </c>
      <c r="I147" t="s">
        <v>915</v>
      </c>
      <c r="J147" s="36" t="s">
        <v>916</v>
      </c>
      <c r="K147" s="36">
        <v>1</v>
      </c>
      <c r="L147" s="56">
        <v>42807</v>
      </c>
      <c r="M147" s="36">
        <f t="shared" si="50"/>
        <v>13</v>
      </c>
      <c r="N147" s="36">
        <f t="shared" si="51"/>
        <v>3</v>
      </c>
      <c r="O147" s="36">
        <f t="shared" si="52"/>
        <v>2017</v>
      </c>
      <c r="P147" s="97">
        <v>555.5</v>
      </c>
      <c r="Q147" s="50">
        <v>605.5</v>
      </c>
      <c r="R147" s="48">
        <f>6*Q147</f>
        <v>3633</v>
      </c>
      <c r="T147"/>
      <c r="U147" s="54" t="s">
        <v>1399</v>
      </c>
      <c r="V147" s="54"/>
      <c r="W147"/>
      <c r="X147"/>
      <c r="Y147" s="82">
        <v>43661</v>
      </c>
      <c r="Z147" s="51">
        <f t="shared" si="41"/>
        <v>15</v>
      </c>
      <c r="AA147" s="51">
        <f t="shared" si="42"/>
        <v>7</v>
      </c>
      <c r="AB147" s="51">
        <f t="shared" si="43"/>
        <v>2019</v>
      </c>
    </row>
    <row r="148" spans="1:28">
      <c r="A148" s="115" t="s">
        <v>1344</v>
      </c>
      <c r="B148" s="57">
        <v>43749652</v>
      </c>
      <c r="C148" s="37" t="s">
        <v>1345</v>
      </c>
      <c r="D148" s="57" t="s">
        <v>1368</v>
      </c>
      <c r="E148" s="37" t="s">
        <v>1346</v>
      </c>
      <c r="F148" s="36" t="s">
        <v>1347</v>
      </c>
      <c r="G148" s="36" t="s">
        <v>108</v>
      </c>
      <c r="H148" s="37" t="s">
        <v>1348</v>
      </c>
      <c r="I148" s="2" t="s">
        <v>1369</v>
      </c>
      <c r="J148" s="36" t="s">
        <v>1349</v>
      </c>
      <c r="K148" s="36">
        <v>1</v>
      </c>
      <c r="L148" s="56">
        <v>43526</v>
      </c>
      <c r="M148" s="36">
        <f t="shared" si="50"/>
        <v>2</v>
      </c>
      <c r="N148" s="36">
        <f t="shared" si="51"/>
        <v>3</v>
      </c>
      <c r="O148" s="36">
        <f t="shared" si="52"/>
        <v>2019</v>
      </c>
      <c r="P148" s="4"/>
      <c r="Q148" s="4">
        <v>530</v>
      </c>
      <c r="R148" s="48">
        <f>Q148*6</f>
        <v>3180</v>
      </c>
      <c r="U148" s="54" t="s">
        <v>1398</v>
      </c>
      <c r="Y148" s="82">
        <v>43697</v>
      </c>
      <c r="Z148" s="51">
        <f t="shared" si="41"/>
        <v>20</v>
      </c>
      <c r="AA148" s="51">
        <f t="shared" si="42"/>
        <v>8</v>
      </c>
      <c r="AB148" s="51">
        <f t="shared" si="43"/>
        <v>2019</v>
      </c>
    </row>
    <row r="149" spans="1:28">
      <c r="A149" s="98" t="s">
        <v>1359</v>
      </c>
      <c r="B149" s="81">
        <v>2000031111697</v>
      </c>
      <c r="C149" s="18" t="s">
        <v>1388</v>
      </c>
      <c r="D149" s="37" t="s">
        <v>1360</v>
      </c>
      <c r="E149" s="37" t="s">
        <v>1389</v>
      </c>
      <c r="F149" s="36" t="s">
        <v>1361</v>
      </c>
      <c r="G149" s="36" t="s">
        <v>1362</v>
      </c>
      <c r="H149" t="s">
        <v>1363</v>
      </c>
      <c r="I149" s="2" t="s">
        <v>1390</v>
      </c>
      <c r="J149" s="36" t="s">
        <v>1417</v>
      </c>
      <c r="K149" s="36">
        <v>1</v>
      </c>
      <c r="L149" s="104">
        <v>43683</v>
      </c>
      <c r="M149" s="36">
        <f t="shared" ref="M149:M154" si="53">DAY(L149)</f>
        <v>6</v>
      </c>
      <c r="N149" s="36">
        <f t="shared" ref="N149:N154" si="54">MONTH(L149)</f>
        <v>8</v>
      </c>
      <c r="O149" s="36">
        <f t="shared" ref="O149:O154" si="55">YEAR(L149)</f>
        <v>2019</v>
      </c>
      <c r="P149" s="43"/>
      <c r="Q149" s="116">
        <v>500</v>
      </c>
      <c r="R149" s="61">
        <f>Q149*3</f>
        <v>1500</v>
      </c>
      <c r="U149" s="99" t="s">
        <v>1422</v>
      </c>
      <c r="Y149" s="82">
        <v>43746</v>
      </c>
      <c r="Z149" s="51">
        <f t="shared" ref="Z149:Z180" si="56">IF($Y149=0,"",DAY($Y149))</f>
        <v>8</v>
      </c>
      <c r="AA149" s="51">
        <f t="shared" ref="AA149:AA180" si="57">IF($Y149=0,"",MONTH($Y149))</f>
        <v>10</v>
      </c>
      <c r="AB149" s="51">
        <f t="shared" ref="AB149:AB180" si="58">IF($Y149=0,"",YEAR($Y149))</f>
        <v>2019</v>
      </c>
    </row>
    <row r="150" spans="1:28">
      <c r="A150" s="115" t="s">
        <v>155</v>
      </c>
      <c r="B150" s="46">
        <v>436982444</v>
      </c>
      <c r="C150" s="36" t="s">
        <v>164</v>
      </c>
      <c r="D150" s="36" t="s">
        <v>156</v>
      </c>
      <c r="E150" s="36" t="s">
        <v>157</v>
      </c>
      <c r="F150" s="36" t="s">
        <v>158</v>
      </c>
      <c r="G150" s="36" t="s">
        <v>81</v>
      </c>
      <c r="H150" s="36" t="s">
        <v>159</v>
      </c>
      <c r="I150" s="36" t="s">
        <v>160</v>
      </c>
      <c r="J150" s="36" t="s">
        <v>161</v>
      </c>
      <c r="K150" s="36">
        <v>1</v>
      </c>
      <c r="L150" s="47">
        <v>41076</v>
      </c>
      <c r="M150" s="36">
        <f t="shared" si="53"/>
        <v>16</v>
      </c>
      <c r="N150" s="36">
        <f t="shared" si="54"/>
        <v>6</v>
      </c>
      <c r="O150" s="36">
        <f t="shared" si="55"/>
        <v>2012</v>
      </c>
      <c r="P150" s="48">
        <v>608.05999999999995</v>
      </c>
      <c r="Q150" s="48">
        <f>P150*1.1041667</f>
        <v>671.39960360199996</v>
      </c>
      <c r="R150" s="48">
        <f>6*Q150</f>
        <v>4028.397621612</v>
      </c>
      <c r="T150" s="51" t="s">
        <v>165</v>
      </c>
      <c r="U150" s="54" t="s">
        <v>1398</v>
      </c>
      <c r="V150" s="51"/>
      <c r="W150" s="51"/>
      <c r="X150" s="51"/>
      <c r="Y150" s="82">
        <v>43749</v>
      </c>
      <c r="Z150" s="51">
        <f t="shared" si="56"/>
        <v>11</v>
      </c>
      <c r="AA150" s="51">
        <f t="shared" si="57"/>
        <v>10</v>
      </c>
      <c r="AB150" s="51">
        <f t="shared" si="58"/>
        <v>2019</v>
      </c>
    </row>
    <row r="151" spans="1:28">
      <c r="A151" s="115" t="s">
        <v>1401</v>
      </c>
      <c r="B151" t="s">
        <v>1402</v>
      </c>
      <c r="C151" s="37" t="s">
        <v>1403</v>
      </c>
      <c r="D151" s="37" t="s">
        <v>1404</v>
      </c>
      <c r="E151" s="37" t="s">
        <v>1405</v>
      </c>
      <c r="F151" s="36" t="s">
        <v>1406</v>
      </c>
      <c r="G151" s="36" t="s">
        <v>108</v>
      </c>
      <c r="H151" t="s">
        <v>1407</v>
      </c>
      <c r="I151" s="2" t="s">
        <v>1408</v>
      </c>
      <c r="J151" s="36" t="s">
        <v>1409</v>
      </c>
      <c r="K151" s="36">
        <v>1</v>
      </c>
      <c r="L151" s="56">
        <v>43668</v>
      </c>
      <c r="M151" s="36">
        <f t="shared" si="53"/>
        <v>22</v>
      </c>
      <c r="N151" s="36">
        <f t="shared" si="54"/>
        <v>7</v>
      </c>
      <c r="O151" s="36">
        <f t="shared" si="55"/>
        <v>2019</v>
      </c>
      <c r="P151" s="43"/>
      <c r="Q151" s="4">
        <v>530</v>
      </c>
      <c r="R151" s="61">
        <f>Q151*5</f>
        <v>2650</v>
      </c>
      <c r="U151" s="54" t="s">
        <v>1418</v>
      </c>
      <c r="Y151" s="82">
        <v>43757</v>
      </c>
      <c r="Z151" s="51">
        <f t="shared" si="56"/>
        <v>19</v>
      </c>
      <c r="AA151" s="51">
        <f t="shared" si="57"/>
        <v>10</v>
      </c>
      <c r="AB151" s="51">
        <f t="shared" si="58"/>
        <v>2019</v>
      </c>
    </row>
    <row r="152" spans="1:28" s="51" customFormat="1">
      <c r="A152" s="115" t="s">
        <v>139</v>
      </c>
      <c r="B152" s="46">
        <v>229287864</v>
      </c>
      <c r="C152" s="36" t="s">
        <v>147</v>
      </c>
      <c r="D152" s="36" t="s">
        <v>140</v>
      </c>
      <c r="E152" s="36" t="s">
        <v>141</v>
      </c>
      <c r="F152" s="36" t="s">
        <v>142</v>
      </c>
      <c r="G152" s="36" t="s">
        <v>81</v>
      </c>
      <c r="H152" s="36" t="s">
        <v>143</v>
      </c>
      <c r="I152" s="36" t="s">
        <v>144</v>
      </c>
      <c r="J152" s="36" t="s">
        <v>145</v>
      </c>
      <c r="K152" s="36">
        <v>1</v>
      </c>
      <c r="L152" s="56">
        <v>41028</v>
      </c>
      <c r="M152" s="36">
        <f t="shared" si="53"/>
        <v>29</v>
      </c>
      <c r="N152" s="36">
        <f t="shared" si="54"/>
        <v>4</v>
      </c>
      <c r="O152" s="36">
        <f t="shared" si="55"/>
        <v>2012</v>
      </c>
      <c r="P152" s="48">
        <v>480</v>
      </c>
      <c r="Q152" s="48">
        <f>P152*1.1041667</f>
        <v>530.00001599999996</v>
      </c>
      <c r="R152" s="48">
        <f>6*Q152</f>
        <v>3180.0000959999998</v>
      </c>
      <c r="U152" s="54" t="s">
        <v>1398</v>
      </c>
      <c r="Y152" s="82">
        <v>43763</v>
      </c>
      <c r="Z152" s="51">
        <f t="shared" si="56"/>
        <v>25</v>
      </c>
      <c r="AA152" s="51">
        <f t="shared" si="57"/>
        <v>10</v>
      </c>
      <c r="AB152" s="51">
        <f t="shared" si="58"/>
        <v>2019</v>
      </c>
    </row>
    <row r="153" spans="1:28">
      <c r="A153" s="115" t="s">
        <v>1427</v>
      </c>
      <c r="B153" s="57">
        <v>28146792</v>
      </c>
      <c r="C153" s="57">
        <v>31170973841</v>
      </c>
      <c r="D153" s="37" t="s">
        <v>1428</v>
      </c>
      <c r="E153" s="37" t="s">
        <v>1429</v>
      </c>
      <c r="F153" s="36" t="s">
        <v>1430</v>
      </c>
      <c r="G153" s="36" t="s">
        <v>108</v>
      </c>
      <c r="H153" s="64" t="s">
        <v>1431</v>
      </c>
      <c r="I153" s="2" t="s">
        <v>1440</v>
      </c>
      <c r="J153" s="72" t="s">
        <v>1432</v>
      </c>
      <c r="K153" s="36">
        <v>1</v>
      </c>
      <c r="L153" s="56">
        <v>43714</v>
      </c>
      <c r="M153" s="36">
        <f t="shared" si="53"/>
        <v>6</v>
      </c>
      <c r="N153" s="36">
        <f t="shared" si="54"/>
        <v>9</v>
      </c>
      <c r="O153" s="36">
        <f t="shared" si="55"/>
        <v>2019</v>
      </c>
      <c r="P153" s="43"/>
      <c r="Q153" s="4">
        <v>530</v>
      </c>
      <c r="R153" s="61">
        <f>Q153*6</f>
        <v>3180</v>
      </c>
      <c r="U153" s="54" t="s">
        <v>1523</v>
      </c>
      <c r="Y153" s="82">
        <v>43840</v>
      </c>
      <c r="Z153" s="51">
        <f t="shared" si="56"/>
        <v>10</v>
      </c>
      <c r="AA153" s="51">
        <f t="shared" si="57"/>
        <v>1</v>
      </c>
      <c r="AB153" s="51">
        <f t="shared" si="58"/>
        <v>2020</v>
      </c>
    </row>
    <row r="154" spans="1:28" s="51" customFormat="1">
      <c r="A154" s="45" t="s">
        <v>875</v>
      </c>
      <c r="B154">
        <v>44064069</v>
      </c>
      <c r="C154" s="37" t="s">
        <v>889</v>
      </c>
      <c r="D154" s="18" t="s">
        <v>876</v>
      </c>
      <c r="E154" s="37" t="s">
        <v>877</v>
      </c>
      <c r="F154" s="36" t="s">
        <v>238</v>
      </c>
      <c r="G154" s="36" t="s">
        <v>108</v>
      </c>
      <c r="H154" t="s">
        <v>891</v>
      </c>
      <c r="I154" s="2" t="s">
        <v>1548</v>
      </c>
      <c r="J154" s="36" t="s">
        <v>878</v>
      </c>
      <c r="K154" s="36">
        <v>1</v>
      </c>
      <c r="L154" s="56">
        <v>42781</v>
      </c>
      <c r="M154" s="36">
        <f t="shared" si="53"/>
        <v>15</v>
      </c>
      <c r="N154" s="36">
        <f t="shared" si="54"/>
        <v>2</v>
      </c>
      <c r="O154" s="36">
        <f t="shared" si="55"/>
        <v>2017</v>
      </c>
      <c r="P154" s="5">
        <v>480</v>
      </c>
      <c r="Q154" s="48">
        <f>P154*1.1041667</f>
        <v>530.00001599999996</v>
      </c>
      <c r="R154" s="48">
        <f>6*Q154</f>
        <v>3180.0000959999998</v>
      </c>
      <c r="T154"/>
      <c r="U154" s="54" t="s">
        <v>1523</v>
      </c>
      <c r="V154"/>
      <c r="W154"/>
      <c r="X154"/>
      <c r="Y154" s="82">
        <v>43843</v>
      </c>
      <c r="Z154" s="51">
        <f t="shared" si="56"/>
        <v>13</v>
      </c>
      <c r="AA154" s="51">
        <f t="shared" si="57"/>
        <v>1</v>
      </c>
      <c r="AB154" s="51">
        <f t="shared" si="58"/>
        <v>2020</v>
      </c>
    </row>
    <row r="155" spans="1:28">
      <c r="A155" s="45" t="s">
        <v>1458</v>
      </c>
      <c r="B155" s="57">
        <v>40245246</v>
      </c>
      <c r="C155" s="57" t="s">
        <v>1464</v>
      </c>
      <c r="D155" s="37" t="s">
        <v>1459</v>
      </c>
      <c r="E155" s="37" t="s">
        <v>1460</v>
      </c>
      <c r="F155" s="36" t="s">
        <v>297</v>
      </c>
      <c r="G155" s="36" t="s">
        <v>108</v>
      </c>
      <c r="H155" s="37" t="s">
        <v>1461</v>
      </c>
      <c r="I155" s="2" t="s">
        <v>1465</v>
      </c>
      <c r="J155" s="36" t="s">
        <v>1462</v>
      </c>
      <c r="K155" s="36">
        <v>1</v>
      </c>
      <c r="L155" s="56">
        <v>43784</v>
      </c>
      <c r="M155" s="36">
        <f t="shared" ref="M155:M161" si="59">DAY(L155)</f>
        <v>15</v>
      </c>
      <c r="N155" s="36">
        <f t="shared" ref="N155:N161" si="60">MONTH(L155)</f>
        <v>11</v>
      </c>
      <c r="O155" s="36">
        <f t="shared" ref="O155:O161" si="61">YEAR(L155)</f>
        <v>2019</v>
      </c>
      <c r="P155" s="43"/>
      <c r="Q155" s="4">
        <v>450</v>
      </c>
      <c r="R155" s="48">
        <f>(450+130)+450*5</f>
        <v>2830</v>
      </c>
      <c r="U155" s="54" t="s">
        <v>1523</v>
      </c>
      <c r="V155" s="18" t="s">
        <v>1463</v>
      </c>
      <c r="Y155" s="82">
        <v>43850</v>
      </c>
      <c r="Z155" s="51">
        <f t="shared" si="56"/>
        <v>20</v>
      </c>
      <c r="AA155" s="51">
        <f t="shared" si="57"/>
        <v>1</v>
      </c>
      <c r="AB155" s="51">
        <f t="shared" si="58"/>
        <v>2020</v>
      </c>
    </row>
    <row r="156" spans="1:28">
      <c r="A156" s="45" t="s">
        <v>1423</v>
      </c>
      <c r="B156" s="57">
        <v>14198867</v>
      </c>
      <c r="C156" s="37" t="s">
        <v>1424</v>
      </c>
      <c r="D156" s="37" t="s">
        <v>1550</v>
      </c>
      <c r="E156" s="37" t="s">
        <v>1425</v>
      </c>
      <c r="F156" s="36" t="s">
        <v>1426</v>
      </c>
      <c r="G156" s="36" t="s">
        <v>745</v>
      </c>
      <c r="H156" s="57">
        <v>9050170</v>
      </c>
      <c r="I156" s="2" t="s">
        <v>1439</v>
      </c>
      <c r="J156" s="36" t="s">
        <v>1038</v>
      </c>
      <c r="K156" s="36">
        <v>1</v>
      </c>
      <c r="L156" s="56">
        <v>43710</v>
      </c>
      <c r="M156" s="36">
        <f t="shared" si="59"/>
        <v>2</v>
      </c>
      <c r="N156" s="36">
        <f t="shared" si="60"/>
        <v>9</v>
      </c>
      <c r="O156" s="36">
        <f t="shared" si="61"/>
        <v>2019</v>
      </c>
      <c r="P156" s="43"/>
      <c r="Q156" s="4">
        <v>530</v>
      </c>
      <c r="R156" s="61">
        <f>Q156*6</f>
        <v>3180</v>
      </c>
      <c r="U156" s="54" t="s">
        <v>1523</v>
      </c>
      <c r="Y156" s="82">
        <v>43862</v>
      </c>
      <c r="Z156" s="51">
        <f t="shared" si="56"/>
        <v>1</v>
      </c>
      <c r="AA156" s="51">
        <f t="shared" si="57"/>
        <v>2</v>
      </c>
      <c r="AB156" s="51">
        <f t="shared" si="58"/>
        <v>2020</v>
      </c>
    </row>
    <row r="157" spans="1:28">
      <c r="A157" s="45" t="s">
        <v>1410</v>
      </c>
      <c r="B157" s="57">
        <v>2371429</v>
      </c>
      <c r="C157" s="37" t="s">
        <v>1411</v>
      </c>
      <c r="D157" s="37" t="s">
        <v>1412</v>
      </c>
      <c r="E157" s="37" t="s">
        <v>1413</v>
      </c>
      <c r="F157" s="36" t="s">
        <v>579</v>
      </c>
      <c r="G157" s="36" t="s">
        <v>108</v>
      </c>
      <c r="H157" s="18" t="s">
        <v>1414</v>
      </c>
      <c r="I157" s="2" t="s">
        <v>1415</v>
      </c>
      <c r="J157" s="36" t="s">
        <v>1416</v>
      </c>
      <c r="K157" s="36">
        <v>1</v>
      </c>
      <c r="L157" s="56">
        <v>43673</v>
      </c>
      <c r="M157" s="36">
        <f t="shared" si="59"/>
        <v>27</v>
      </c>
      <c r="N157" s="36">
        <f t="shared" si="60"/>
        <v>7</v>
      </c>
      <c r="O157" s="36">
        <f t="shared" si="61"/>
        <v>2019</v>
      </c>
      <c r="P157" s="43"/>
      <c r="Q157" s="4">
        <v>530</v>
      </c>
      <c r="R157" s="61">
        <f>Q157*6</f>
        <v>3180</v>
      </c>
      <c r="U157" s="54" t="s">
        <v>1523</v>
      </c>
      <c r="Y157" s="82">
        <v>43868</v>
      </c>
      <c r="Z157" s="51">
        <f t="shared" si="56"/>
        <v>7</v>
      </c>
      <c r="AA157" s="51">
        <f t="shared" si="57"/>
        <v>2</v>
      </c>
      <c r="AB157" s="51">
        <f t="shared" si="58"/>
        <v>2020</v>
      </c>
    </row>
    <row r="158" spans="1:28">
      <c r="A158" s="45" t="s">
        <v>1288</v>
      </c>
      <c r="B158" s="57">
        <v>590129570</v>
      </c>
      <c r="C158" s="37" t="s">
        <v>1289</v>
      </c>
      <c r="D158" s="18" t="s">
        <v>1290</v>
      </c>
      <c r="E158" s="37" t="s">
        <v>1466</v>
      </c>
      <c r="F158" s="36" t="s">
        <v>1467</v>
      </c>
      <c r="G158" s="36" t="s">
        <v>108</v>
      </c>
      <c r="H158" s="57" t="s">
        <v>1468</v>
      </c>
      <c r="I158" s="2" t="s">
        <v>1308</v>
      </c>
      <c r="J158" s="36" t="s">
        <v>122</v>
      </c>
      <c r="K158" s="36">
        <v>1</v>
      </c>
      <c r="L158" s="56">
        <v>43409</v>
      </c>
      <c r="M158" s="36">
        <f t="shared" si="59"/>
        <v>5</v>
      </c>
      <c r="N158" s="36">
        <f t="shared" si="60"/>
        <v>11</v>
      </c>
      <c r="O158" s="36">
        <f t="shared" si="61"/>
        <v>2018</v>
      </c>
      <c r="P158" s="11">
        <v>480</v>
      </c>
      <c r="Q158" s="117">
        <v>530</v>
      </c>
      <c r="R158" s="48">
        <f>Q158*6</f>
        <v>3180</v>
      </c>
      <c r="U158" s="54" t="s">
        <v>1523</v>
      </c>
      <c r="V158" s="18"/>
      <c r="Y158" s="82">
        <v>43872</v>
      </c>
      <c r="Z158" s="51">
        <f t="shared" si="56"/>
        <v>11</v>
      </c>
      <c r="AA158" s="51">
        <f t="shared" si="57"/>
        <v>2</v>
      </c>
      <c r="AB158" s="51">
        <f t="shared" si="58"/>
        <v>2020</v>
      </c>
    </row>
    <row r="159" spans="1:28">
      <c r="A159" s="45" t="s">
        <v>1510</v>
      </c>
      <c r="B159" s="42" t="s">
        <v>1511</v>
      </c>
      <c r="C159" s="37" t="s">
        <v>1512</v>
      </c>
      <c r="D159" s="37" t="s">
        <v>1513</v>
      </c>
      <c r="E159" s="37" t="s">
        <v>1531</v>
      </c>
      <c r="F159" s="36" t="s">
        <v>1514</v>
      </c>
      <c r="G159" s="36" t="s">
        <v>108</v>
      </c>
      <c r="H159" s="57" t="s">
        <v>1532</v>
      </c>
      <c r="I159" s="2" t="s">
        <v>1546</v>
      </c>
      <c r="J159" s="36" t="s">
        <v>1515</v>
      </c>
      <c r="K159" s="36">
        <v>1</v>
      </c>
      <c r="L159" s="56">
        <v>43816</v>
      </c>
      <c r="M159" s="36">
        <f t="shared" si="59"/>
        <v>17</v>
      </c>
      <c r="N159" s="36">
        <f t="shared" si="60"/>
        <v>12</v>
      </c>
      <c r="O159" s="36">
        <f t="shared" si="61"/>
        <v>2019</v>
      </c>
      <c r="P159" s="43"/>
      <c r="Q159" s="12">
        <v>450</v>
      </c>
      <c r="R159" s="48">
        <f>6*Q159</f>
        <v>2700</v>
      </c>
      <c r="U159" s="18" t="s">
        <v>1523</v>
      </c>
      <c r="V159" s="18" t="s">
        <v>902</v>
      </c>
      <c r="Y159" s="82">
        <v>43874</v>
      </c>
      <c r="Z159" s="51">
        <f t="shared" si="56"/>
        <v>13</v>
      </c>
      <c r="AA159" s="51">
        <f t="shared" si="57"/>
        <v>2</v>
      </c>
      <c r="AB159" s="51">
        <f t="shared" si="58"/>
        <v>2020</v>
      </c>
    </row>
    <row r="160" spans="1:28">
      <c r="A160" s="45" t="s">
        <v>1557</v>
      </c>
      <c r="B160" s="42">
        <v>24981399</v>
      </c>
      <c r="C160" s="37" t="s">
        <v>1558</v>
      </c>
      <c r="D160" s="37" t="s">
        <v>1559</v>
      </c>
      <c r="E160" s="37" t="s">
        <v>1560</v>
      </c>
      <c r="F160" s="36" t="s">
        <v>1561</v>
      </c>
      <c r="G160" s="36" t="s">
        <v>108</v>
      </c>
      <c r="H160" s="57" t="s">
        <v>1562</v>
      </c>
      <c r="I160" t="s">
        <v>1563</v>
      </c>
      <c r="J160" s="36" t="s">
        <v>1564</v>
      </c>
      <c r="K160" s="36">
        <v>1</v>
      </c>
      <c r="L160" s="56">
        <v>43837</v>
      </c>
      <c r="M160" s="36">
        <f t="shared" si="59"/>
        <v>7</v>
      </c>
      <c r="N160" s="36">
        <f t="shared" si="60"/>
        <v>1</v>
      </c>
      <c r="O160" s="36">
        <f t="shared" si="61"/>
        <v>2020</v>
      </c>
      <c r="Q160" s="12">
        <v>450</v>
      </c>
      <c r="Y160" s="82">
        <v>43894</v>
      </c>
      <c r="Z160" s="51">
        <f t="shared" si="56"/>
        <v>4</v>
      </c>
      <c r="AA160" s="51">
        <f t="shared" si="57"/>
        <v>3</v>
      </c>
      <c r="AB160" s="51">
        <f t="shared" si="58"/>
        <v>2020</v>
      </c>
    </row>
    <row r="161" spans="1:28">
      <c r="A161" s="123" t="s">
        <v>1504</v>
      </c>
      <c r="B161" s="42">
        <v>17110905</v>
      </c>
      <c r="C161" s="37" t="s">
        <v>1505</v>
      </c>
      <c r="D161" s="37" t="s">
        <v>1506</v>
      </c>
      <c r="E161" s="37" t="s">
        <v>1507</v>
      </c>
      <c r="F161" s="36" t="s">
        <v>297</v>
      </c>
      <c r="G161" s="36" t="s">
        <v>108</v>
      </c>
      <c r="H161" s="57" t="s">
        <v>1508</v>
      </c>
      <c r="I161" s="2" t="s">
        <v>1530</v>
      </c>
      <c r="J161" s="36" t="s">
        <v>1509</v>
      </c>
      <c r="K161" s="36">
        <v>2</v>
      </c>
      <c r="L161" s="56">
        <v>43806</v>
      </c>
      <c r="M161" s="36">
        <f t="shared" si="59"/>
        <v>7</v>
      </c>
      <c r="N161" s="36">
        <f t="shared" si="60"/>
        <v>12</v>
      </c>
      <c r="O161" s="36">
        <f t="shared" si="61"/>
        <v>2019</v>
      </c>
      <c r="P161" s="43"/>
      <c r="Q161" s="124">
        <v>1900</v>
      </c>
      <c r="R161" s="125">
        <f>2*Q161</f>
        <v>3800</v>
      </c>
      <c r="U161" s="126" t="s">
        <v>1527</v>
      </c>
      <c r="V161" s="18" t="s">
        <v>902</v>
      </c>
      <c r="Y161" s="82">
        <v>43898</v>
      </c>
      <c r="Z161" s="51">
        <f t="shared" si="56"/>
        <v>8</v>
      </c>
      <c r="AA161" s="51">
        <f t="shared" si="57"/>
        <v>3</v>
      </c>
      <c r="AB161" s="51">
        <f t="shared" si="58"/>
        <v>2020</v>
      </c>
    </row>
    <row r="162" spans="1:28">
      <c r="A162" s="127" t="s">
        <v>1491</v>
      </c>
      <c r="B162" t="s">
        <v>1492</v>
      </c>
      <c r="C162" s="37" t="s">
        <v>1524</v>
      </c>
      <c r="D162" s="37" t="s">
        <v>1493</v>
      </c>
      <c r="E162" s="37" t="s">
        <v>1494</v>
      </c>
      <c r="F162" s="36" t="s">
        <v>1495</v>
      </c>
      <c r="G162" s="36" t="s">
        <v>108</v>
      </c>
      <c r="H162" s="57" t="s">
        <v>1525</v>
      </c>
      <c r="I162" s="2" t="s">
        <v>1526</v>
      </c>
      <c r="J162" s="36" t="s">
        <v>1496</v>
      </c>
      <c r="K162" s="36">
        <v>1</v>
      </c>
      <c r="L162" s="56">
        <v>43773</v>
      </c>
      <c r="M162" s="36">
        <f>DAY(L162)</f>
        <v>4</v>
      </c>
      <c r="N162" s="36">
        <f>MONTH(L162)</f>
        <v>11</v>
      </c>
      <c r="O162" s="36">
        <f>YEAR(L162)</f>
        <v>2019</v>
      </c>
      <c r="P162" s="43"/>
      <c r="Q162" s="12">
        <v>530</v>
      </c>
      <c r="R162" s="61">
        <f>Q162*6</f>
        <v>3180</v>
      </c>
      <c r="U162" s="54" t="s">
        <v>1523</v>
      </c>
      <c r="V162" s="18" t="s">
        <v>1457</v>
      </c>
      <c r="Y162" s="82">
        <v>43987</v>
      </c>
      <c r="Z162" s="51">
        <f t="shared" si="56"/>
        <v>5</v>
      </c>
      <c r="AA162" s="51">
        <f t="shared" si="57"/>
        <v>6</v>
      </c>
      <c r="AB162" s="51">
        <f t="shared" si="58"/>
        <v>2020</v>
      </c>
    </row>
    <row r="163" spans="1:28">
      <c r="A163" s="45" t="s">
        <v>1565</v>
      </c>
      <c r="B163" s="128">
        <v>943797</v>
      </c>
      <c r="C163" s="37" t="s">
        <v>1566</v>
      </c>
      <c r="D163" s="37" t="s">
        <v>1567</v>
      </c>
      <c r="E163" s="37" t="s">
        <v>1568</v>
      </c>
      <c r="F163" s="36" t="s">
        <v>1133</v>
      </c>
      <c r="G163" s="36" t="s">
        <v>108</v>
      </c>
      <c r="H163" s="57" t="s">
        <v>1569</v>
      </c>
      <c r="I163" t="s">
        <v>1570</v>
      </c>
      <c r="J163" s="36" t="s">
        <v>1571</v>
      </c>
      <c r="K163" s="36">
        <v>2</v>
      </c>
      <c r="L163" s="56">
        <v>43847</v>
      </c>
      <c r="M163" s="36">
        <f t="shared" ref="M163:M169" si="62">DAY(L163)</f>
        <v>17</v>
      </c>
      <c r="N163" s="36">
        <f t="shared" ref="N163:N169" si="63">MONTH(L163)</f>
        <v>1</v>
      </c>
      <c r="O163" s="36">
        <f t="shared" ref="O163:O169" si="64">YEAR(L163)</f>
        <v>2020</v>
      </c>
      <c r="Q163" s="12">
        <v>855</v>
      </c>
      <c r="R163" s="48">
        <f>6*Q163</f>
        <v>5130</v>
      </c>
      <c r="Y163" s="82">
        <v>43969</v>
      </c>
      <c r="Z163" s="51">
        <f t="shared" si="56"/>
        <v>18</v>
      </c>
      <c r="AA163" s="51">
        <f t="shared" si="57"/>
        <v>5</v>
      </c>
      <c r="AB163" s="51">
        <f t="shared" si="58"/>
        <v>2020</v>
      </c>
    </row>
    <row r="164" spans="1:28">
      <c r="A164" s="45" t="s">
        <v>1516</v>
      </c>
      <c r="B164" s="42">
        <v>89877871</v>
      </c>
      <c r="C164" s="37" t="s">
        <v>1517</v>
      </c>
      <c r="D164" s="37" t="s">
        <v>1518</v>
      </c>
      <c r="E164" s="37" t="s">
        <v>1519</v>
      </c>
      <c r="F164" s="36" t="s">
        <v>1520</v>
      </c>
      <c r="G164" s="36" t="s">
        <v>108</v>
      </c>
      <c r="H164" s="57" t="s">
        <v>1521</v>
      </c>
      <c r="I164" s="2" t="s">
        <v>1545</v>
      </c>
      <c r="J164" s="36" t="s">
        <v>832</v>
      </c>
      <c r="K164" s="36">
        <v>1</v>
      </c>
      <c r="L164" s="56">
        <v>43817</v>
      </c>
      <c r="M164" s="36">
        <f t="shared" si="62"/>
        <v>18</v>
      </c>
      <c r="N164" s="36">
        <f t="shared" si="63"/>
        <v>12</v>
      </c>
      <c r="O164" s="36">
        <f t="shared" si="64"/>
        <v>2019</v>
      </c>
      <c r="P164" s="43"/>
      <c r="Q164" s="12">
        <v>450</v>
      </c>
      <c r="R164" s="48">
        <f>6*Q164</f>
        <v>2700</v>
      </c>
      <c r="U164" s="54" t="s">
        <v>1523</v>
      </c>
      <c r="V164" s="18" t="s">
        <v>902</v>
      </c>
      <c r="Y164" s="82">
        <v>43909</v>
      </c>
      <c r="Z164" s="51">
        <f t="shared" si="56"/>
        <v>19</v>
      </c>
      <c r="AA164" s="51">
        <f t="shared" si="57"/>
        <v>3</v>
      </c>
      <c r="AB164" s="51">
        <f t="shared" si="58"/>
        <v>2020</v>
      </c>
    </row>
    <row r="165" spans="1:28">
      <c r="A165" s="45" t="s">
        <v>1572</v>
      </c>
      <c r="B165" t="s">
        <v>1573</v>
      </c>
      <c r="C165" s="37" t="s">
        <v>1574</v>
      </c>
      <c r="D165" s="37" t="s">
        <v>1575</v>
      </c>
      <c r="E165" s="37" t="s">
        <v>1576</v>
      </c>
      <c r="F165" s="36" t="s">
        <v>1430</v>
      </c>
      <c r="G165" s="36" t="s">
        <v>108</v>
      </c>
      <c r="H165" s="57">
        <v>4205050</v>
      </c>
      <c r="I165" t="s">
        <v>1577</v>
      </c>
      <c r="J165" s="36" t="s">
        <v>1578</v>
      </c>
      <c r="K165" s="36">
        <v>1</v>
      </c>
      <c r="L165" s="56">
        <v>43861</v>
      </c>
      <c r="M165" s="36">
        <f t="shared" si="62"/>
        <v>31</v>
      </c>
      <c r="N165" s="36">
        <f t="shared" si="63"/>
        <v>1</v>
      </c>
      <c r="O165" s="36">
        <f t="shared" si="64"/>
        <v>2020</v>
      </c>
      <c r="Q165" s="12">
        <v>500</v>
      </c>
      <c r="R165" s="18" t="s">
        <v>1579</v>
      </c>
      <c r="Y165" s="82">
        <v>43906</v>
      </c>
      <c r="Z165" s="51">
        <f t="shared" si="56"/>
        <v>16</v>
      </c>
      <c r="AA165" s="51">
        <f t="shared" si="57"/>
        <v>3</v>
      </c>
      <c r="AB165" s="51">
        <f t="shared" si="58"/>
        <v>2020</v>
      </c>
    </row>
    <row r="166" spans="1:28">
      <c r="A166" s="45" t="s">
        <v>1326</v>
      </c>
      <c r="B166" s="57">
        <v>35039681</v>
      </c>
      <c r="C166" s="37" t="s">
        <v>1327</v>
      </c>
      <c r="D166" s="37" t="s">
        <v>1328</v>
      </c>
      <c r="E166" s="37" t="s">
        <v>1329</v>
      </c>
      <c r="F166" s="36" t="s">
        <v>340</v>
      </c>
      <c r="G166" s="36" t="s">
        <v>265</v>
      </c>
      <c r="H166" s="57">
        <v>9750220</v>
      </c>
      <c r="I166" s="2" t="s">
        <v>1331</v>
      </c>
      <c r="J166" s="36" t="s">
        <v>1047</v>
      </c>
      <c r="K166" s="36">
        <v>1</v>
      </c>
      <c r="L166" s="56">
        <v>43787</v>
      </c>
      <c r="M166" s="36">
        <f t="shared" si="62"/>
        <v>18</v>
      </c>
      <c r="N166" s="36">
        <f t="shared" si="63"/>
        <v>11</v>
      </c>
      <c r="O166" s="36">
        <f t="shared" si="64"/>
        <v>2019</v>
      </c>
      <c r="P166" s="43"/>
      <c r="Q166" s="4">
        <v>450</v>
      </c>
      <c r="R166" s="48">
        <f>6*Q166</f>
        <v>2700</v>
      </c>
      <c r="U166" s="54" t="s">
        <v>1523</v>
      </c>
      <c r="V166" s="18" t="s">
        <v>552</v>
      </c>
      <c r="Y166" s="82">
        <v>43956</v>
      </c>
      <c r="Z166" s="51">
        <f t="shared" si="56"/>
        <v>5</v>
      </c>
      <c r="AA166" s="51">
        <f t="shared" si="57"/>
        <v>5</v>
      </c>
      <c r="AB166" s="51">
        <f t="shared" si="58"/>
        <v>2020</v>
      </c>
    </row>
    <row r="167" spans="1:28">
      <c r="A167" s="115" t="s">
        <v>1450</v>
      </c>
      <c r="B167" s="57">
        <v>407516165</v>
      </c>
      <c r="C167" s="37" t="s">
        <v>1451</v>
      </c>
      <c r="D167" s="37" t="s">
        <v>1452</v>
      </c>
      <c r="E167" s="37" t="s">
        <v>1453</v>
      </c>
      <c r="F167" s="36" t="s">
        <v>1454</v>
      </c>
      <c r="G167" s="36" t="s">
        <v>108</v>
      </c>
      <c r="H167" s="57">
        <v>3294100</v>
      </c>
      <c r="I167" s="2" t="s">
        <v>1455</v>
      </c>
      <c r="J167" s="36" t="s">
        <v>1456</v>
      </c>
      <c r="K167" s="36">
        <v>1</v>
      </c>
      <c r="L167" s="56">
        <v>43774</v>
      </c>
      <c r="M167" s="36">
        <f t="shared" si="62"/>
        <v>5</v>
      </c>
      <c r="N167" s="36">
        <f t="shared" si="63"/>
        <v>11</v>
      </c>
      <c r="O167" s="36">
        <f t="shared" si="64"/>
        <v>2019</v>
      </c>
      <c r="P167" s="43"/>
      <c r="Q167" s="4">
        <v>530</v>
      </c>
      <c r="R167" s="48">
        <f>Q167*6</f>
        <v>3180</v>
      </c>
      <c r="U167" s="54" t="s">
        <v>1523</v>
      </c>
      <c r="V167" t="s">
        <v>1457</v>
      </c>
      <c r="Y167" s="82">
        <v>43987</v>
      </c>
      <c r="Z167" s="51">
        <f t="shared" si="56"/>
        <v>5</v>
      </c>
      <c r="AA167" s="51">
        <f t="shared" si="57"/>
        <v>6</v>
      </c>
      <c r="AB167" s="51">
        <f t="shared" si="58"/>
        <v>2020</v>
      </c>
    </row>
    <row r="168" spans="1:28">
      <c r="A168" s="123" t="s">
        <v>1533</v>
      </c>
      <c r="B168" s="42">
        <v>32251583</v>
      </c>
      <c r="C168" s="37" t="s">
        <v>1534</v>
      </c>
      <c r="D168" s="37" t="s">
        <v>1535</v>
      </c>
      <c r="E168" s="37" t="s">
        <v>1536</v>
      </c>
      <c r="F168" s="36" t="s">
        <v>1537</v>
      </c>
      <c r="G168" s="36" t="s">
        <v>108</v>
      </c>
      <c r="H168" s="57" t="s">
        <v>1552</v>
      </c>
      <c r="I168" s="2" t="s">
        <v>1538</v>
      </c>
      <c r="J168" s="36" t="s">
        <v>1522</v>
      </c>
      <c r="K168" s="36">
        <v>1</v>
      </c>
      <c r="L168" s="56">
        <v>43813</v>
      </c>
      <c r="M168" s="36">
        <f t="shared" si="62"/>
        <v>14</v>
      </c>
      <c r="N168" s="36">
        <f t="shared" si="63"/>
        <v>12</v>
      </c>
      <c r="O168" s="36">
        <f t="shared" si="64"/>
        <v>2019</v>
      </c>
      <c r="P168" s="43"/>
      <c r="Q168" s="12">
        <v>1000</v>
      </c>
      <c r="R168" s="48">
        <f>2*Q168</f>
        <v>2000</v>
      </c>
      <c r="U168" s="126" t="s">
        <v>1527</v>
      </c>
      <c r="V168" s="18" t="s">
        <v>902</v>
      </c>
      <c r="Y168" s="82">
        <v>43995</v>
      </c>
      <c r="Z168" s="51">
        <f t="shared" si="56"/>
        <v>13</v>
      </c>
      <c r="AA168" s="51">
        <f t="shared" si="57"/>
        <v>6</v>
      </c>
      <c r="AB168" s="51">
        <f t="shared" si="58"/>
        <v>2020</v>
      </c>
    </row>
    <row r="169" spans="1:28">
      <c r="A169" s="45" t="s">
        <v>1588</v>
      </c>
      <c r="B169" s="42">
        <v>34696046</v>
      </c>
      <c r="C169" s="37" t="s">
        <v>1589</v>
      </c>
      <c r="D169" s="37" t="s">
        <v>1590</v>
      </c>
      <c r="E169" s="37" t="s">
        <v>1591</v>
      </c>
      <c r="F169" s="36" t="s">
        <v>1592</v>
      </c>
      <c r="G169" s="36" t="s">
        <v>108</v>
      </c>
      <c r="H169" s="57">
        <v>4194260</v>
      </c>
      <c r="I169" t="s">
        <v>1593</v>
      </c>
      <c r="J169" s="36" t="s">
        <v>471</v>
      </c>
      <c r="K169" s="36">
        <v>1</v>
      </c>
      <c r="L169" s="56">
        <v>43912</v>
      </c>
      <c r="M169" s="36">
        <f t="shared" si="62"/>
        <v>22</v>
      </c>
      <c r="N169" s="36">
        <f t="shared" si="63"/>
        <v>3</v>
      </c>
      <c r="O169" s="36">
        <f t="shared" si="64"/>
        <v>2020</v>
      </c>
      <c r="Q169" s="12">
        <v>500</v>
      </c>
      <c r="R169" t="s">
        <v>1579</v>
      </c>
      <c r="Y169" s="82">
        <v>44003</v>
      </c>
      <c r="Z169" s="51">
        <f t="shared" si="56"/>
        <v>21</v>
      </c>
      <c r="AA169" s="51">
        <f t="shared" si="57"/>
        <v>6</v>
      </c>
      <c r="AB169" s="51">
        <f t="shared" si="58"/>
        <v>2020</v>
      </c>
    </row>
    <row r="170" spans="1:28">
      <c r="A170" s="45" t="s">
        <v>1619</v>
      </c>
      <c r="B170" s="129">
        <v>6254741</v>
      </c>
      <c r="C170" s="37" t="s">
        <v>1620</v>
      </c>
      <c r="D170" s="37" t="s">
        <v>1621</v>
      </c>
      <c r="E170" s="37" t="s">
        <v>1622</v>
      </c>
      <c r="F170" s="36" t="s">
        <v>63</v>
      </c>
      <c r="G170" s="36" t="s">
        <v>108</v>
      </c>
      <c r="H170" s="72" t="s">
        <v>1623</v>
      </c>
      <c r="I170" s="130" t="s">
        <v>1624</v>
      </c>
      <c r="J170" s="36" t="s">
        <v>1625</v>
      </c>
      <c r="K170" s="36">
        <v>2</v>
      </c>
      <c r="L170" s="56">
        <v>43967</v>
      </c>
      <c r="M170" s="36">
        <v>16</v>
      </c>
      <c r="N170" s="36">
        <v>5</v>
      </c>
      <c r="O170" s="36">
        <v>2020</v>
      </c>
      <c r="Q170" s="17">
        <v>900</v>
      </c>
      <c r="Y170" s="82">
        <v>44046</v>
      </c>
      <c r="Z170" s="51">
        <f t="shared" si="56"/>
        <v>3</v>
      </c>
      <c r="AA170" s="51">
        <f t="shared" si="57"/>
        <v>8</v>
      </c>
      <c r="AB170" s="51">
        <f t="shared" si="58"/>
        <v>2020</v>
      </c>
    </row>
    <row r="171" spans="1:28">
      <c r="A171" s="123" t="s">
        <v>652</v>
      </c>
      <c r="B171" s="46">
        <v>7730784</v>
      </c>
      <c r="C171" s="36" t="s">
        <v>653</v>
      </c>
      <c r="D171" s="36" t="s">
        <v>654</v>
      </c>
      <c r="E171" s="36" t="s">
        <v>655</v>
      </c>
      <c r="F171" s="36" t="s">
        <v>399</v>
      </c>
      <c r="G171" s="36" t="s">
        <v>656</v>
      </c>
      <c r="H171" s="36" t="s">
        <v>659</v>
      </c>
      <c r="I171" s="52" t="s">
        <v>657</v>
      </c>
      <c r="J171" s="36" t="s">
        <v>665</v>
      </c>
      <c r="K171" s="36">
        <v>1</v>
      </c>
      <c r="L171" s="58">
        <v>42487</v>
      </c>
      <c r="M171" s="36">
        <f>DAY(L171)</f>
        <v>27</v>
      </c>
      <c r="N171" s="36">
        <f>MONTH(L171)</f>
        <v>4</v>
      </c>
      <c r="O171" s="36">
        <f>YEAR(L171)</f>
        <v>2016</v>
      </c>
      <c r="P171" s="48">
        <v>480</v>
      </c>
      <c r="Q171" s="48">
        <f>P171*1.1041667</f>
        <v>530.00001599999996</v>
      </c>
      <c r="R171" s="48">
        <f>12*Q171</f>
        <v>6360.0001919999995</v>
      </c>
      <c r="T171" s="28" t="s">
        <v>658</v>
      </c>
      <c r="U171" s="131" t="s">
        <v>1352</v>
      </c>
      <c r="V171" s="51"/>
      <c r="W171" s="51"/>
      <c r="X171" s="51"/>
      <c r="Y171" s="67">
        <v>44063</v>
      </c>
      <c r="Z171" s="51">
        <f t="shared" si="56"/>
        <v>20</v>
      </c>
      <c r="AA171" s="51">
        <f t="shared" si="57"/>
        <v>8</v>
      </c>
      <c r="AB171" s="51">
        <f t="shared" si="58"/>
        <v>2020</v>
      </c>
    </row>
    <row r="172" spans="1:28" s="51" customFormat="1">
      <c r="A172" s="45" t="s">
        <v>853</v>
      </c>
      <c r="B172" s="37" t="s">
        <v>854</v>
      </c>
      <c r="C172" s="37" t="s">
        <v>870</v>
      </c>
      <c r="D172" s="37" t="s">
        <v>872</v>
      </c>
      <c r="E172" s="37" t="s">
        <v>855</v>
      </c>
      <c r="F172" s="36" t="s">
        <v>856</v>
      </c>
      <c r="G172" s="36" t="s">
        <v>857</v>
      </c>
      <c r="H172" t="s">
        <v>871</v>
      </c>
      <c r="I172" s="2" t="s">
        <v>858</v>
      </c>
      <c r="J172" s="36" t="s">
        <v>828</v>
      </c>
      <c r="K172" s="36">
        <v>1</v>
      </c>
      <c r="L172" s="56">
        <v>42733</v>
      </c>
      <c r="M172" s="36">
        <f>DAY(L172)</f>
        <v>29</v>
      </c>
      <c r="N172" s="36">
        <f>MONTH(L172)</f>
        <v>12</v>
      </c>
      <c r="O172" s="36">
        <f>YEAR(L172)</f>
        <v>2016</v>
      </c>
      <c r="P172" s="4">
        <v>480</v>
      </c>
      <c r="Q172" s="48">
        <f>P172*1.1041667</f>
        <v>530.00001599999996</v>
      </c>
      <c r="R172" s="48">
        <f t="shared" ref="R172:R177" si="65">6*Q172</f>
        <v>3180.0000959999998</v>
      </c>
      <c r="T172"/>
      <c r="U172" s="54" t="s">
        <v>1523</v>
      </c>
      <c r="V172"/>
      <c r="W172"/>
      <c r="X172" s="51" t="s">
        <v>859</v>
      </c>
      <c r="Y172" s="67">
        <v>44089</v>
      </c>
      <c r="Z172" s="51">
        <f t="shared" si="56"/>
        <v>15</v>
      </c>
      <c r="AA172" s="51">
        <f t="shared" si="57"/>
        <v>9</v>
      </c>
      <c r="AB172" s="51">
        <f t="shared" si="58"/>
        <v>2020</v>
      </c>
    </row>
    <row r="173" spans="1:28">
      <c r="A173" s="45" t="s">
        <v>222</v>
      </c>
      <c r="B173" s="46" t="s">
        <v>243</v>
      </c>
      <c r="C173" s="36" t="s">
        <v>242</v>
      </c>
      <c r="D173" s="36" t="s">
        <v>463</v>
      </c>
      <c r="E173" s="36" t="s">
        <v>246</v>
      </c>
      <c r="F173" s="36" t="s">
        <v>223</v>
      </c>
      <c r="G173" s="36" t="s">
        <v>108</v>
      </c>
      <c r="H173" s="36" t="s">
        <v>224</v>
      </c>
      <c r="I173" s="52" t="s">
        <v>447</v>
      </c>
      <c r="J173" s="36" t="s">
        <v>225</v>
      </c>
      <c r="K173" s="36">
        <v>1</v>
      </c>
      <c r="L173" s="47">
        <v>41593</v>
      </c>
      <c r="M173" s="36">
        <f>DAY(L173)</f>
        <v>15</v>
      </c>
      <c r="N173" s="36">
        <f>MONTH(L173)</f>
        <v>11</v>
      </c>
      <c r="O173" s="36">
        <f>YEAR(L173)</f>
        <v>2013</v>
      </c>
      <c r="P173" s="48">
        <v>480</v>
      </c>
      <c r="Q173" s="48">
        <f>P173*1.1041667</f>
        <v>530.00001599999996</v>
      </c>
      <c r="R173" s="48">
        <f t="shared" si="65"/>
        <v>3180.0000959999998</v>
      </c>
      <c r="T173" s="51"/>
      <c r="U173" s="54" t="s">
        <v>1523</v>
      </c>
      <c r="V173" s="51"/>
      <c r="W173" s="51"/>
      <c r="X173" s="51"/>
      <c r="Y173" s="67">
        <v>44107</v>
      </c>
      <c r="Z173" s="51">
        <f t="shared" si="56"/>
        <v>3</v>
      </c>
      <c r="AA173" s="51">
        <f t="shared" si="57"/>
        <v>10</v>
      </c>
      <c r="AB173" s="51">
        <f t="shared" si="58"/>
        <v>2020</v>
      </c>
    </row>
    <row r="174" spans="1:28">
      <c r="A174" s="45" t="s">
        <v>1600</v>
      </c>
      <c r="B174" s="129" t="s">
        <v>1601</v>
      </c>
      <c r="C174" s="57" t="s">
        <v>1602</v>
      </c>
      <c r="D174" s="37" t="s">
        <v>1603</v>
      </c>
      <c r="E174" s="37" t="s">
        <v>1604</v>
      </c>
      <c r="F174" s="36" t="s">
        <v>1605</v>
      </c>
      <c r="G174" s="36" t="s">
        <v>108</v>
      </c>
      <c r="H174" s="57" t="s">
        <v>1606</v>
      </c>
      <c r="I174" t="s">
        <v>1607</v>
      </c>
      <c r="J174" s="36" t="s">
        <v>306</v>
      </c>
      <c r="K174" s="36">
        <v>1</v>
      </c>
      <c r="L174" s="56">
        <v>43932</v>
      </c>
      <c r="M174" s="36">
        <f>DAY(L174)</f>
        <v>11</v>
      </c>
      <c r="N174" s="36">
        <f>MONTH(L174)</f>
        <v>4</v>
      </c>
      <c r="O174" s="36">
        <f>YEAR(L174)</f>
        <v>2020</v>
      </c>
      <c r="Q174" s="12">
        <v>480</v>
      </c>
      <c r="R174" s="48">
        <f t="shared" si="65"/>
        <v>2880</v>
      </c>
      <c r="Y174" s="67">
        <v>44117</v>
      </c>
      <c r="Z174" s="51">
        <f t="shared" si="56"/>
        <v>13</v>
      </c>
      <c r="AA174" s="51">
        <f t="shared" si="57"/>
        <v>10</v>
      </c>
      <c r="AB174" s="51">
        <f t="shared" si="58"/>
        <v>2020</v>
      </c>
    </row>
    <row r="175" spans="1:28">
      <c r="A175" s="45" t="s">
        <v>1638</v>
      </c>
      <c r="B175" s="57">
        <v>448965161</v>
      </c>
      <c r="C175" s="57" t="s">
        <v>1639</v>
      </c>
      <c r="D175" s="57" t="s">
        <v>1640</v>
      </c>
      <c r="E175" s="37" t="s">
        <v>1641</v>
      </c>
      <c r="F175" s="37" t="s">
        <v>1642</v>
      </c>
      <c r="G175" s="36" t="s">
        <v>108</v>
      </c>
      <c r="H175" s="57">
        <v>1329000</v>
      </c>
      <c r="I175" t="s">
        <v>1643</v>
      </c>
      <c r="J175" s="36" t="s">
        <v>1644</v>
      </c>
      <c r="K175" s="36">
        <v>1</v>
      </c>
      <c r="L175" s="56">
        <v>44025</v>
      </c>
      <c r="M175" s="36">
        <v>13</v>
      </c>
      <c r="N175" s="36">
        <v>7</v>
      </c>
      <c r="O175" s="36">
        <v>2020</v>
      </c>
      <c r="Q175" s="12">
        <v>480</v>
      </c>
      <c r="R175" s="48">
        <f t="shared" si="65"/>
        <v>2880</v>
      </c>
      <c r="Y175" s="67">
        <v>44117</v>
      </c>
      <c r="Z175" s="51">
        <f t="shared" si="56"/>
        <v>13</v>
      </c>
      <c r="AA175" s="51">
        <f t="shared" si="57"/>
        <v>10</v>
      </c>
      <c r="AB175" s="51">
        <f t="shared" si="58"/>
        <v>2020</v>
      </c>
    </row>
    <row r="176" spans="1:28">
      <c r="A176" s="45" t="s">
        <v>1613</v>
      </c>
      <c r="B176" s="132" t="s">
        <v>1614</v>
      </c>
      <c r="C176" s="64">
        <v>10603672701</v>
      </c>
      <c r="D176" s="64">
        <v>11986666311</v>
      </c>
      <c r="E176" s="72" t="s">
        <v>1615</v>
      </c>
      <c r="F176" s="72" t="s">
        <v>1597</v>
      </c>
      <c r="G176" s="36" t="s">
        <v>108</v>
      </c>
      <c r="H176" s="72" t="s">
        <v>1616</v>
      </c>
      <c r="I176" s="130" t="s">
        <v>1617</v>
      </c>
      <c r="J176" s="36" t="s">
        <v>1618</v>
      </c>
      <c r="K176" s="36">
        <v>1</v>
      </c>
      <c r="L176" s="56">
        <v>43961</v>
      </c>
      <c r="M176" s="36">
        <v>10</v>
      </c>
      <c r="N176" s="36">
        <v>5</v>
      </c>
      <c r="O176" s="36">
        <v>2020</v>
      </c>
      <c r="Q176" s="17">
        <v>510</v>
      </c>
      <c r="R176" s="48">
        <f t="shared" si="65"/>
        <v>3060</v>
      </c>
      <c r="Y176" s="67">
        <v>44128</v>
      </c>
      <c r="Z176" s="51">
        <f t="shared" si="56"/>
        <v>24</v>
      </c>
      <c r="AA176" s="51">
        <f t="shared" si="57"/>
        <v>10</v>
      </c>
      <c r="AB176" s="51">
        <f t="shared" si="58"/>
        <v>2020</v>
      </c>
    </row>
    <row r="177" spans="1:28">
      <c r="A177" s="45" t="s">
        <v>1646</v>
      </c>
      <c r="B177" s="57">
        <v>79324058</v>
      </c>
      <c r="C177" s="37" t="s">
        <v>1647</v>
      </c>
      <c r="D177" s="37" t="s">
        <v>1648</v>
      </c>
      <c r="E177" s="37" t="s">
        <v>1649</v>
      </c>
      <c r="F177" t="s">
        <v>1650</v>
      </c>
      <c r="G177" s="36" t="s">
        <v>108</v>
      </c>
      <c r="H177" s="37" t="s">
        <v>1651</v>
      </c>
      <c r="I177" t="s">
        <v>1652</v>
      </c>
      <c r="J177" s="36" t="s">
        <v>1653</v>
      </c>
      <c r="K177" s="36">
        <v>1</v>
      </c>
      <c r="L177" s="56">
        <v>44102</v>
      </c>
      <c r="M177" s="36">
        <v>28</v>
      </c>
      <c r="N177" s="36">
        <v>9</v>
      </c>
      <c r="O177" s="36">
        <v>2020</v>
      </c>
      <c r="Q177" s="12">
        <v>450</v>
      </c>
      <c r="R177" s="48">
        <f t="shared" si="65"/>
        <v>2700</v>
      </c>
      <c r="V177" t="s">
        <v>1654</v>
      </c>
      <c r="Y177" s="67">
        <v>44164</v>
      </c>
      <c r="Z177" s="51">
        <f t="shared" si="56"/>
        <v>29</v>
      </c>
      <c r="AA177" s="51">
        <f t="shared" si="57"/>
        <v>11</v>
      </c>
      <c r="AB177" s="51">
        <f t="shared" si="58"/>
        <v>2020</v>
      </c>
    </row>
    <row r="178" spans="1:28">
      <c r="A178" s="115" t="s">
        <v>1704</v>
      </c>
      <c r="B178" s="18" t="s">
        <v>1705</v>
      </c>
      <c r="C178" s="37" t="s">
        <v>1706</v>
      </c>
      <c r="D178" s="18" t="s">
        <v>1707</v>
      </c>
      <c r="E178" s="37" t="s">
        <v>1708</v>
      </c>
      <c r="F178" s="18" t="s">
        <v>289</v>
      </c>
      <c r="G178" s="36" t="s">
        <v>108</v>
      </c>
      <c r="H178" s="57" t="s">
        <v>1709</v>
      </c>
      <c r="I178" t="s">
        <v>1710</v>
      </c>
      <c r="J178" s="36" t="s">
        <v>1711</v>
      </c>
      <c r="K178" s="36">
        <v>1</v>
      </c>
      <c r="L178" s="104">
        <v>44155</v>
      </c>
      <c r="M178" s="36">
        <f t="shared" ref="M178:M183" si="66">DAY(L178)</f>
        <v>20</v>
      </c>
      <c r="N178" s="36">
        <f t="shared" ref="N178:N183" si="67">MONTH(L178)</f>
        <v>11</v>
      </c>
      <c r="O178" s="36">
        <f t="shared" ref="O178:O183" si="68">YEAR(L178)</f>
        <v>2020</v>
      </c>
      <c r="Q178" s="13">
        <v>580</v>
      </c>
      <c r="R178" s="48">
        <f>1*Q178</f>
        <v>580</v>
      </c>
      <c r="U178" s="54" t="s">
        <v>1703</v>
      </c>
      <c r="V178" t="s">
        <v>1668</v>
      </c>
      <c r="Y178" s="67">
        <v>44179</v>
      </c>
      <c r="Z178" s="51">
        <f t="shared" si="56"/>
        <v>14</v>
      </c>
      <c r="AA178" s="51">
        <f t="shared" si="57"/>
        <v>12</v>
      </c>
      <c r="AB178" s="51">
        <f t="shared" si="58"/>
        <v>2020</v>
      </c>
    </row>
    <row r="179" spans="1:28">
      <c r="A179" s="45" t="s">
        <v>502</v>
      </c>
      <c r="B179" s="36" t="s">
        <v>503</v>
      </c>
      <c r="C179" s="36" t="s">
        <v>529</v>
      </c>
      <c r="D179" s="36" t="s">
        <v>504</v>
      </c>
      <c r="E179" s="36" t="s">
        <v>505</v>
      </c>
      <c r="F179" s="36" t="s">
        <v>177</v>
      </c>
      <c r="G179" s="36" t="s">
        <v>81</v>
      </c>
      <c r="H179" s="36" t="s">
        <v>837</v>
      </c>
      <c r="I179" s="52" t="s">
        <v>506</v>
      </c>
      <c r="J179" s="36" t="s">
        <v>1771</v>
      </c>
      <c r="K179" s="36">
        <v>2</v>
      </c>
      <c r="L179" s="47">
        <v>42264</v>
      </c>
      <c r="M179" s="36">
        <f t="shared" si="66"/>
        <v>17</v>
      </c>
      <c r="N179" s="36">
        <f t="shared" si="67"/>
        <v>9</v>
      </c>
      <c r="O179" s="36">
        <f t="shared" si="68"/>
        <v>2015</v>
      </c>
      <c r="P179" s="50">
        <v>1656.2500499999999</v>
      </c>
      <c r="Q179" s="48">
        <v>1750.0000468926883</v>
      </c>
      <c r="R179" s="48">
        <v>10500.00028135613</v>
      </c>
      <c r="U179" s="54" t="s">
        <v>1701</v>
      </c>
      <c r="V179" s="51"/>
      <c r="W179" s="51"/>
      <c r="X179" s="51"/>
      <c r="Y179" s="67">
        <v>44180</v>
      </c>
      <c r="Z179" s="51">
        <f t="shared" si="56"/>
        <v>15</v>
      </c>
      <c r="AA179" s="51">
        <f t="shared" si="57"/>
        <v>12</v>
      </c>
      <c r="AB179" s="51">
        <f t="shared" si="58"/>
        <v>2020</v>
      </c>
    </row>
    <row r="180" spans="1:28">
      <c r="A180" s="115" t="s">
        <v>1433</v>
      </c>
      <c r="B180" s="57">
        <v>43512646</v>
      </c>
      <c r="C180" s="37" t="s">
        <v>1434</v>
      </c>
      <c r="D180" s="37" t="s">
        <v>1435</v>
      </c>
      <c r="E180" s="37" t="s">
        <v>1436</v>
      </c>
      <c r="F180" s="36" t="s">
        <v>1437</v>
      </c>
      <c r="G180" s="36" t="s">
        <v>647</v>
      </c>
      <c r="H180" s="57" t="s">
        <v>1441</v>
      </c>
      <c r="I180" s="2" t="s">
        <v>1442</v>
      </c>
      <c r="J180" s="36" t="s">
        <v>1438</v>
      </c>
      <c r="K180" s="36">
        <v>1</v>
      </c>
      <c r="L180" s="56">
        <v>43719</v>
      </c>
      <c r="M180" s="36">
        <f t="shared" si="66"/>
        <v>11</v>
      </c>
      <c r="N180" s="36">
        <f t="shared" si="67"/>
        <v>9</v>
      </c>
      <c r="O180" s="36">
        <f t="shared" si="68"/>
        <v>2019</v>
      </c>
      <c r="P180" s="4">
        <v>500</v>
      </c>
      <c r="Q180" s="50">
        <f>P180*1.05660377</f>
        <v>528.30188499999997</v>
      </c>
      <c r="R180" s="48">
        <f>6*Q180</f>
        <v>3169.81131</v>
      </c>
      <c r="U180" s="54" t="s">
        <v>1701</v>
      </c>
      <c r="Y180" s="82">
        <v>44183</v>
      </c>
      <c r="Z180" s="51">
        <f t="shared" si="56"/>
        <v>18</v>
      </c>
      <c r="AA180" s="51">
        <f t="shared" si="57"/>
        <v>12</v>
      </c>
      <c r="AB180" s="51">
        <f t="shared" si="58"/>
        <v>2020</v>
      </c>
    </row>
    <row r="181" spans="1:28">
      <c r="A181" s="45" t="s">
        <v>1469</v>
      </c>
      <c r="B181" s="37" t="s">
        <v>1470</v>
      </c>
      <c r="C181" s="37" t="s">
        <v>1471</v>
      </c>
      <c r="D181" s="37" t="s">
        <v>1472</v>
      </c>
      <c r="E181" s="37" t="s">
        <v>1473</v>
      </c>
      <c r="F181" s="36" t="s">
        <v>151</v>
      </c>
      <c r="G181" s="36" t="s">
        <v>108</v>
      </c>
      <c r="H181" s="57">
        <v>5585040</v>
      </c>
      <c r="I181" s="2" t="s">
        <v>1553</v>
      </c>
      <c r="J181" s="36" t="s">
        <v>1474</v>
      </c>
      <c r="K181" s="36">
        <v>1</v>
      </c>
      <c r="L181" s="56">
        <v>43792</v>
      </c>
      <c r="M181" s="36">
        <f t="shared" si="66"/>
        <v>23</v>
      </c>
      <c r="N181" s="36">
        <f t="shared" si="67"/>
        <v>11</v>
      </c>
      <c r="O181" s="36">
        <f t="shared" si="68"/>
        <v>2019</v>
      </c>
      <c r="P181" s="12">
        <v>500</v>
      </c>
      <c r="Q181" s="50">
        <f>P181*1.05660377</f>
        <v>528.30188499999997</v>
      </c>
      <c r="R181" s="48">
        <f>6*Q181</f>
        <v>3169.81131</v>
      </c>
      <c r="U181" s="54" t="s">
        <v>1701</v>
      </c>
      <c r="V181" t="s">
        <v>1662</v>
      </c>
      <c r="Y181" s="82">
        <v>44186</v>
      </c>
      <c r="Z181" s="51">
        <f t="shared" ref="Z181:Z206" si="69">IF($Y181=0,"",DAY($Y181))</f>
        <v>21</v>
      </c>
      <c r="AA181" s="51">
        <f t="shared" ref="AA181:AA206" si="70">IF($Y181=0,"",MONTH($Y181))</f>
        <v>12</v>
      </c>
      <c r="AB181" s="51">
        <f t="shared" ref="AB181:AB206" si="71">IF($Y181=0,"",YEAR($Y181))</f>
        <v>2020</v>
      </c>
    </row>
    <row r="182" spans="1:28" s="51" customFormat="1">
      <c r="A182" s="133" t="s">
        <v>40</v>
      </c>
      <c r="B182" s="46" t="s">
        <v>41</v>
      </c>
      <c r="C182" s="36" t="s">
        <v>70</v>
      </c>
      <c r="D182" s="36" t="s">
        <v>42</v>
      </c>
      <c r="E182" s="36" t="s">
        <v>43</v>
      </c>
      <c r="F182" s="36" t="s">
        <v>11</v>
      </c>
      <c r="G182" s="36" t="s">
        <v>81</v>
      </c>
      <c r="H182" s="36" t="s">
        <v>44</v>
      </c>
      <c r="I182" s="36" t="s">
        <v>45</v>
      </c>
      <c r="J182" s="36" t="s">
        <v>46</v>
      </c>
      <c r="K182" s="36">
        <v>1</v>
      </c>
      <c r="L182" s="56">
        <v>40477</v>
      </c>
      <c r="M182" s="36">
        <f t="shared" si="66"/>
        <v>26</v>
      </c>
      <c r="N182" s="36">
        <f t="shared" si="67"/>
        <v>10</v>
      </c>
      <c r="O182" s="36">
        <f t="shared" si="68"/>
        <v>2010</v>
      </c>
      <c r="P182" s="50">
        <v>618.33000000000004</v>
      </c>
      <c r="Q182" s="50">
        <f>P182*1.05660377</f>
        <v>653.32980910410004</v>
      </c>
      <c r="R182" s="48">
        <f>6*Q182</f>
        <v>3919.9788546246</v>
      </c>
      <c r="T182" s="51" t="s">
        <v>165</v>
      </c>
      <c r="U182" s="54" t="s">
        <v>1773</v>
      </c>
      <c r="Y182" s="67">
        <v>44186</v>
      </c>
      <c r="Z182" s="51">
        <f t="shared" si="69"/>
        <v>21</v>
      </c>
      <c r="AA182" s="51">
        <f t="shared" si="70"/>
        <v>12</v>
      </c>
      <c r="AB182" s="51">
        <f t="shared" si="71"/>
        <v>2020</v>
      </c>
    </row>
    <row r="183" spans="1:28">
      <c r="A183" s="133" t="s">
        <v>1690</v>
      </c>
      <c r="B183" s="57">
        <v>34945132</v>
      </c>
      <c r="C183" s="37" t="s">
        <v>1691</v>
      </c>
      <c r="D183" t="s">
        <v>1692</v>
      </c>
      <c r="E183" s="37" t="s">
        <v>1693</v>
      </c>
      <c r="F183" s="18" t="s">
        <v>1694</v>
      </c>
      <c r="G183" s="36" t="s">
        <v>108</v>
      </c>
      <c r="H183" s="37" t="s">
        <v>1695</v>
      </c>
      <c r="I183" t="s">
        <v>1699</v>
      </c>
      <c r="J183" s="36" t="s">
        <v>1700</v>
      </c>
      <c r="K183" s="36">
        <v>1</v>
      </c>
      <c r="L183" s="104">
        <v>44154</v>
      </c>
      <c r="M183" s="36">
        <f t="shared" si="66"/>
        <v>19</v>
      </c>
      <c r="N183" s="36">
        <f t="shared" si="67"/>
        <v>11</v>
      </c>
      <c r="O183" s="36">
        <f t="shared" si="68"/>
        <v>2020</v>
      </c>
      <c r="P183" s="12">
        <v>580</v>
      </c>
      <c r="Q183" s="63">
        <f>P183</f>
        <v>580</v>
      </c>
      <c r="R183" s="48">
        <f>6*Q183</f>
        <v>3480</v>
      </c>
      <c r="U183" s="54" t="s">
        <v>1776</v>
      </c>
      <c r="V183" t="s">
        <v>1668</v>
      </c>
      <c r="Y183" s="82">
        <v>44244</v>
      </c>
      <c r="Z183" s="51">
        <f t="shared" si="69"/>
        <v>17</v>
      </c>
      <c r="AA183" s="51">
        <f t="shared" si="70"/>
        <v>2</v>
      </c>
      <c r="AB183" s="51">
        <f t="shared" si="71"/>
        <v>2021</v>
      </c>
    </row>
    <row r="184" spans="1:28" s="51" customFormat="1">
      <c r="A184" s="133" t="s">
        <v>1749</v>
      </c>
      <c r="B184" s="46">
        <v>505186457</v>
      </c>
      <c r="C184" s="36" t="s">
        <v>1750</v>
      </c>
      <c r="D184" s="36" t="s">
        <v>1751</v>
      </c>
      <c r="E184" s="36" t="s">
        <v>1752</v>
      </c>
      <c r="F184" s="36" t="s">
        <v>297</v>
      </c>
      <c r="G184" s="36" t="s">
        <v>108</v>
      </c>
      <c r="H184" s="36" t="s">
        <v>1753</v>
      </c>
      <c r="I184" s="36" t="s">
        <v>1754</v>
      </c>
      <c r="J184" s="36" t="s">
        <v>1755</v>
      </c>
      <c r="K184" s="36">
        <v>2</v>
      </c>
      <c r="L184" s="56">
        <v>44176</v>
      </c>
      <c r="M184" s="36">
        <v>11</v>
      </c>
      <c r="N184" s="36">
        <v>12</v>
      </c>
      <c r="O184" s="36">
        <v>2020</v>
      </c>
      <c r="P184" s="50"/>
      <c r="Q184" s="50"/>
      <c r="R184" s="48">
        <v>960</v>
      </c>
      <c r="T184" s="51">
        <f>2*R184</f>
        <v>1920</v>
      </c>
      <c r="U184" s="54"/>
      <c r="V184" s="51" t="s">
        <v>1773</v>
      </c>
      <c r="W184" s="51" t="s">
        <v>1661</v>
      </c>
      <c r="Y184" s="67">
        <v>44253</v>
      </c>
      <c r="Z184" s="51">
        <f t="shared" si="69"/>
        <v>26</v>
      </c>
      <c r="AA184" s="51">
        <f t="shared" si="70"/>
        <v>2</v>
      </c>
      <c r="AB184" s="51">
        <f t="shared" si="71"/>
        <v>2021</v>
      </c>
    </row>
    <row r="185" spans="1:28" s="51" customFormat="1">
      <c r="A185" s="133" t="s">
        <v>1510</v>
      </c>
      <c r="B185" s="46" t="s">
        <v>1511</v>
      </c>
      <c r="C185" s="36" t="s">
        <v>1512</v>
      </c>
      <c r="D185" s="36" t="s">
        <v>1513</v>
      </c>
      <c r="E185" s="36" t="s">
        <v>1531</v>
      </c>
      <c r="F185" s="36" t="s">
        <v>1514</v>
      </c>
      <c r="G185" s="36" t="s">
        <v>108</v>
      </c>
      <c r="H185" s="36" t="s">
        <v>1532</v>
      </c>
      <c r="I185" s="36" t="s">
        <v>1546</v>
      </c>
      <c r="J185" s="36" t="s">
        <v>1515</v>
      </c>
      <c r="K185" s="36">
        <v>1</v>
      </c>
      <c r="L185" s="56">
        <v>44179</v>
      </c>
      <c r="M185" s="36">
        <f t="shared" ref="M185:M190" si="72">DAY(L185)</f>
        <v>14</v>
      </c>
      <c r="N185" s="36">
        <f t="shared" ref="N185:N190" si="73">MONTH(L185)</f>
        <v>12</v>
      </c>
      <c r="O185" s="36">
        <f t="shared" ref="O185:O190" si="74">YEAR(L185)</f>
        <v>2020</v>
      </c>
      <c r="P185" s="50"/>
      <c r="Q185" s="50"/>
      <c r="R185" s="48">
        <v>480</v>
      </c>
      <c r="T185" s="51">
        <f>2*R185</f>
        <v>960</v>
      </c>
      <c r="U185" s="54"/>
      <c r="V185" s="51" t="s">
        <v>1773</v>
      </c>
      <c r="W185" s="51" t="s">
        <v>1661</v>
      </c>
      <c r="Y185" s="67">
        <v>44270</v>
      </c>
      <c r="Z185" s="51">
        <f t="shared" si="69"/>
        <v>15</v>
      </c>
      <c r="AA185" s="51">
        <f t="shared" si="70"/>
        <v>3</v>
      </c>
      <c r="AB185" s="51">
        <f t="shared" si="71"/>
        <v>2021</v>
      </c>
    </row>
    <row r="186" spans="1:28" s="51" customFormat="1">
      <c r="A186" s="133" t="s">
        <v>1483</v>
      </c>
      <c r="B186" s="46">
        <v>43867381</v>
      </c>
      <c r="C186" s="36" t="s">
        <v>1484</v>
      </c>
      <c r="D186" s="36" t="s">
        <v>1485</v>
      </c>
      <c r="E186" s="36" t="s">
        <v>1486</v>
      </c>
      <c r="F186" s="36" t="s">
        <v>1487</v>
      </c>
      <c r="G186" s="36" t="s">
        <v>108</v>
      </c>
      <c r="H186" s="36" t="s">
        <v>1488</v>
      </c>
      <c r="I186" s="36" t="s">
        <v>1489</v>
      </c>
      <c r="J186" s="36" t="s">
        <v>1490</v>
      </c>
      <c r="K186" s="36">
        <v>1</v>
      </c>
      <c r="L186" s="56">
        <v>43804</v>
      </c>
      <c r="M186" s="36">
        <f t="shared" si="72"/>
        <v>5</v>
      </c>
      <c r="N186" s="36">
        <f t="shared" si="73"/>
        <v>12</v>
      </c>
      <c r="O186" s="36">
        <f t="shared" si="74"/>
        <v>2019</v>
      </c>
      <c r="P186" s="50"/>
      <c r="Q186" s="50">
        <v>450</v>
      </c>
      <c r="R186" s="48">
        <f>Q186*1.05660377</f>
        <v>475.47169649999995</v>
      </c>
      <c r="T186" s="51">
        <f>6*R186</f>
        <v>2852.8301789999996</v>
      </c>
      <c r="U186" s="54"/>
      <c r="V186" s="51" t="s">
        <v>1776</v>
      </c>
      <c r="W186" s="51" t="s">
        <v>1843</v>
      </c>
      <c r="Y186" s="67">
        <v>44285</v>
      </c>
      <c r="Z186" s="51">
        <f t="shared" si="69"/>
        <v>30</v>
      </c>
      <c r="AA186" s="51">
        <f t="shared" si="70"/>
        <v>3</v>
      </c>
      <c r="AB186" s="51">
        <f t="shared" si="71"/>
        <v>2021</v>
      </c>
    </row>
    <row r="187" spans="1:28" s="51" customFormat="1">
      <c r="A187" s="133" t="s">
        <v>1829</v>
      </c>
      <c r="B187" s="46">
        <v>552649077</v>
      </c>
      <c r="C187" s="36" t="s">
        <v>1830</v>
      </c>
      <c r="D187" s="36" t="s">
        <v>1831</v>
      </c>
      <c r="E187" s="36" t="s">
        <v>1832</v>
      </c>
      <c r="F187" s="36" t="s">
        <v>240</v>
      </c>
      <c r="G187" s="36" t="s">
        <v>108</v>
      </c>
      <c r="H187" s="36" t="s">
        <v>1833</v>
      </c>
      <c r="I187" s="36" t="s">
        <v>1834</v>
      </c>
      <c r="J187" s="36" t="s">
        <v>1835</v>
      </c>
      <c r="K187" s="36">
        <v>1</v>
      </c>
      <c r="L187" s="56">
        <v>44278</v>
      </c>
      <c r="M187" s="36">
        <f t="shared" si="72"/>
        <v>23</v>
      </c>
      <c r="N187" s="36">
        <f t="shared" si="73"/>
        <v>3</v>
      </c>
      <c r="O187" s="36">
        <f t="shared" si="74"/>
        <v>2021</v>
      </c>
      <c r="P187" s="50"/>
      <c r="Q187" s="50"/>
      <c r="R187" s="48">
        <v>480</v>
      </c>
      <c r="T187" s="51">
        <f>3*R187</f>
        <v>1440</v>
      </c>
      <c r="U187" s="54" t="s">
        <v>902</v>
      </c>
      <c r="V187" s="51" t="s">
        <v>1844</v>
      </c>
      <c r="W187" s="51" t="s">
        <v>1661</v>
      </c>
      <c r="Y187" s="67">
        <v>44284</v>
      </c>
      <c r="Z187" s="51">
        <f t="shared" si="69"/>
        <v>29</v>
      </c>
      <c r="AA187" s="51">
        <f t="shared" si="70"/>
        <v>3</v>
      </c>
      <c r="AB187" s="51">
        <f t="shared" si="71"/>
        <v>2021</v>
      </c>
    </row>
    <row r="188" spans="1:28" s="51" customFormat="1">
      <c r="A188" s="133" t="s">
        <v>87</v>
      </c>
      <c r="B188" s="46" t="s">
        <v>88</v>
      </c>
      <c r="C188" s="36" t="s">
        <v>94</v>
      </c>
      <c r="D188" s="36" t="s">
        <v>89</v>
      </c>
      <c r="E188" s="36" t="s">
        <v>216</v>
      </c>
      <c r="F188" s="36" t="s">
        <v>217</v>
      </c>
      <c r="G188" s="36" t="s">
        <v>81</v>
      </c>
      <c r="H188" s="36" t="s">
        <v>241</v>
      </c>
      <c r="I188" s="36" t="s">
        <v>90</v>
      </c>
      <c r="J188" s="36" t="s">
        <v>471</v>
      </c>
      <c r="K188" s="36">
        <v>1</v>
      </c>
      <c r="L188" s="56">
        <v>40715</v>
      </c>
      <c r="M188" s="36">
        <f t="shared" si="72"/>
        <v>21</v>
      </c>
      <c r="N188" s="36">
        <f t="shared" si="73"/>
        <v>6</v>
      </c>
      <c r="O188" s="36">
        <f t="shared" si="74"/>
        <v>2011</v>
      </c>
      <c r="P188" s="50">
        <v>975.88</v>
      </c>
      <c r="Q188" s="50">
        <f>P188*1.1041667</f>
        <v>1077.5341991959999</v>
      </c>
      <c r="R188" s="48">
        <f>Q188*1.05660377</f>
        <v>1138.5266971744245</v>
      </c>
      <c r="T188" s="51">
        <f>6*R188</f>
        <v>6831.160183046547</v>
      </c>
      <c r="U188" s="54"/>
      <c r="V188" s="51" t="s">
        <v>1776</v>
      </c>
      <c r="Y188" s="67">
        <v>44299</v>
      </c>
      <c r="Z188" s="51">
        <f t="shared" si="69"/>
        <v>13</v>
      </c>
      <c r="AA188" s="51">
        <f t="shared" si="70"/>
        <v>4</v>
      </c>
      <c r="AB188" s="51">
        <f t="shared" si="71"/>
        <v>2021</v>
      </c>
    </row>
    <row r="189" spans="1:28" s="51" customFormat="1">
      <c r="A189" s="133" t="s">
        <v>1539</v>
      </c>
      <c r="B189" s="46">
        <v>437437826</v>
      </c>
      <c r="C189" s="36" t="s">
        <v>1540</v>
      </c>
      <c r="D189" s="36" t="s">
        <v>1541</v>
      </c>
      <c r="E189" s="36" t="s">
        <v>1542</v>
      </c>
      <c r="F189" s="36" t="s">
        <v>1543</v>
      </c>
      <c r="G189" s="36" t="s">
        <v>108</v>
      </c>
      <c r="H189" s="36" t="s">
        <v>1551</v>
      </c>
      <c r="I189" s="36" t="s">
        <v>1549</v>
      </c>
      <c r="J189" s="36" t="s">
        <v>1544</v>
      </c>
      <c r="K189" s="36">
        <v>2</v>
      </c>
      <c r="L189" s="56">
        <v>43827</v>
      </c>
      <c r="M189" s="36">
        <f t="shared" si="72"/>
        <v>28</v>
      </c>
      <c r="N189" s="36">
        <f t="shared" si="73"/>
        <v>12</v>
      </c>
      <c r="O189" s="36">
        <f t="shared" si="74"/>
        <v>2019</v>
      </c>
      <c r="P189" s="50"/>
      <c r="Q189" s="50">
        <v>900</v>
      </c>
      <c r="R189" s="48">
        <f>Q189*1.05660377</f>
        <v>950.9433929999999</v>
      </c>
      <c r="T189" s="51">
        <f>6*R189</f>
        <v>5705.6603579999992</v>
      </c>
      <c r="U189" s="54"/>
      <c r="V189" s="51" t="s">
        <v>1776</v>
      </c>
      <c r="Y189" s="67">
        <v>44319</v>
      </c>
      <c r="Z189" s="51">
        <f t="shared" si="69"/>
        <v>3</v>
      </c>
      <c r="AA189" s="51">
        <f t="shared" si="70"/>
        <v>5</v>
      </c>
      <c r="AB189" s="51">
        <f t="shared" si="71"/>
        <v>2021</v>
      </c>
    </row>
    <row r="190" spans="1:28" s="51" customFormat="1">
      <c r="A190" s="133" t="s">
        <v>1866</v>
      </c>
      <c r="B190" s="46">
        <v>2265206</v>
      </c>
      <c r="C190" s="36" t="s">
        <v>1867</v>
      </c>
      <c r="D190" s="36" t="s">
        <v>1868</v>
      </c>
      <c r="E190" s="36" t="s">
        <v>1869</v>
      </c>
      <c r="F190" s="36" t="s">
        <v>776</v>
      </c>
      <c r="G190" s="36" t="s">
        <v>108</v>
      </c>
      <c r="H190" s="36" t="s">
        <v>777</v>
      </c>
      <c r="I190" s="36" t="s">
        <v>1870</v>
      </c>
      <c r="J190" s="36" t="s">
        <v>1871</v>
      </c>
      <c r="K190" s="36">
        <v>1</v>
      </c>
      <c r="L190" s="56">
        <v>44306</v>
      </c>
      <c r="M190" s="36">
        <f t="shared" si="72"/>
        <v>20</v>
      </c>
      <c r="N190" s="36">
        <f t="shared" si="73"/>
        <v>4</v>
      </c>
      <c r="O190" s="36">
        <f t="shared" si="74"/>
        <v>2021</v>
      </c>
      <c r="P190" s="50"/>
      <c r="Q190" s="50"/>
      <c r="R190" s="48">
        <v>480</v>
      </c>
      <c r="T190" s="51">
        <f>2*R190</f>
        <v>960</v>
      </c>
      <c r="U190" s="54"/>
      <c r="V190" s="51" t="s">
        <v>1859</v>
      </c>
      <c r="Y190" s="67">
        <v>44331</v>
      </c>
      <c r="Z190" s="51">
        <f t="shared" si="69"/>
        <v>15</v>
      </c>
      <c r="AA190" s="51">
        <f t="shared" si="70"/>
        <v>5</v>
      </c>
      <c r="AB190" s="51">
        <f t="shared" si="71"/>
        <v>2021</v>
      </c>
    </row>
    <row r="191" spans="1:28">
      <c r="A191" s="133" t="s">
        <v>1212</v>
      </c>
      <c r="B191" s="57">
        <v>4960480</v>
      </c>
      <c r="C191" s="57" t="s">
        <v>1213</v>
      </c>
      <c r="D191" s="37" t="s">
        <v>1214</v>
      </c>
      <c r="E191" s="37" t="s">
        <v>1215</v>
      </c>
      <c r="F191" s="37" t="s">
        <v>240</v>
      </c>
      <c r="G191" s="36" t="s">
        <v>108</v>
      </c>
      <c r="H191" s="37" t="s">
        <v>588</v>
      </c>
      <c r="I191" s="2" t="s">
        <v>1216</v>
      </c>
      <c r="J191" s="36" t="s">
        <v>1217</v>
      </c>
      <c r="K191" s="36">
        <v>1</v>
      </c>
      <c r="L191" s="56">
        <v>43250</v>
      </c>
      <c r="M191" s="36">
        <f t="shared" ref="M191:M196" si="75">DAY(L191)</f>
        <v>30</v>
      </c>
      <c r="N191" s="36">
        <f t="shared" ref="N191:N196" si="76">MONTH(L191)</f>
        <v>5</v>
      </c>
      <c r="O191" s="36">
        <f t="shared" ref="O191:O196" si="77">YEAR(L191)</f>
        <v>2018</v>
      </c>
      <c r="P191" s="114">
        <v>480</v>
      </c>
      <c r="Q191" s="48">
        <f>P191*1.1041667</f>
        <v>530.00001599999996</v>
      </c>
      <c r="R191" s="50">
        <f>Q191*1.05660377</f>
        <v>560.0000150056602</v>
      </c>
      <c r="T191" s="48">
        <f t="shared" ref="T191:T196" si="78">6*R191</f>
        <v>3360.000090033961</v>
      </c>
      <c r="V191" s="54" t="s">
        <v>1776</v>
      </c>
      <c r="Y191" s="82">
        <v>44342</v>
      </c>
      <c r="Z191" s="51">
        <f t="shared" si="69"/>
        <v>26</v>
      </c>
      <c r="AA191" s="51">
        <f t="shared" si="70"/>
        <v>5</v>
      </c>
      <c r="AB191" s="51">
        <f t="shared" si="71"/>
        <v>2021</v>
      </c>
    </row>
    <row r="192" spans="1:28">
      <c r="A192" s="133" t="s">
        <v>1165</v>
      </c>
      <c r="B192" s="57">
        <v>13608006</v>
      </c>
      <c r="C192" t="s">
        <v>1166</v>
      </c>
      <c r="D192" s="37" t="s">
        <v>1167</v>
      </c>
      <c r="E192" s="37" t="s">
        <v>1168</v>
      </c>
      <c r="F192" s="36" t="s">
        <v>1097</v>
      </c>
      <c r="G192" s="36" t="s">
        <v>108</v>
      </c>
      <c r="H192" t="s">
        <v>1169</v>
      </c>
      <c r="I192" s="2" t="s">
        <v>1547</v>
      </c>
      <c r="J192" s="36" t="s">
        <v>1155</v>
      </c>
      <c r="K192" s="36">
        <v>1</v>
      </c>
      <c r="L192" s="56">
        <v>43147</v>
      </c>
      <c r="M192" s="36">
        <f t="shared" si="75"/>
        <v>16</v>
      </c>
      <c r="N192" s="36">
        <f t="shared" si="76"/>
        <v>2</v>
      </c>
      <c r="O192" s="36">
        <f t="shared" si="77"/>
        <v>2018</v>
      </c>
      <c r="P192" s="77">
        <v>480</v>
      </c>
      <c r="Q192" s="48">
        <f>P192*1.1041667</f>
        <v>530.00001599999996</v>
      </c>
      <c r="R192" s="50">
        <f>Q192*1.05660377</f>
        <v>560.0000150056602</v>
      </c>
      <c r="T192" s="48">
        <f t="shared" si="78"/>
        <v>3360.000090033961</v>
      </c>
      <c r="V192" s="54" t="s">
        <v>1776</v>
      </c>
      <c r="Y192" s="82">
        <v>44346</v>
      </c>
      <c r="Z192" s="51">
        <f t="shared" si="69"/>
        <v>30</v>
      </c>
      <c r="AA192" s="51">
        <f t="shared" si="70"/>
        <v>5</v>
      </c>
      <c r="AB192" s="51">
        <f t="shared" si="71"/>
        <v>2021</v>
      </c>
    </row>
    <row r="193" spans="1:28">
      <c r="A193" s="133" t="s">
        <v>1106</v>
      </c>
      <c r="B193" s="57">
        <v>44954355</v>
      </c>
      <c r="C193" s="57">
        <v>37834352857</v>
      </c>
      <c r="D193" s="37" t="s">
        <v>1143</v>
      </c>
      <c r="E193" s="37" t="s">
        <v>1107</v>
      </c>
      <c r="F193" s="36" t="s">
        <v>1151</v>
      </c>
      <c r="G193" s="36" t="s">
        <v>108</v>
      </c>
      <c r="H193" s="57">
        <v>2060000</v>
      </c>
      <c r="I193" s="2" t="s">
        <v>1144</v>
      </c>
      <c r="J193" s="36" t="s">
        <v>1108</v>
      </c>
      <c r="K193" s="36">
        <v>1</v>
      </c>
      <c r="L193" s="56">
        <v>43102</v>
      </c>
      <c r="M193" s="36">
        <f t="shared" si="75"/>
        <v>2</v>
      </c>
      <c r="N193" s="36">
        <f t="shared" si="76"/>
        <v>1</v>
      </c>
      <c r="O193" s="36">
        <f t="shared" si="77"/>
        <v>2018</v>
      </c>
      <c r="P193" s="11">
        <v>480</v>
      </c>
      <c r="Q193" s="134">
        <v>516.25</v>
      </c>
      <c r="R193" s="50">
        <f>Q193*1.05660377</f>
        <v>545.47169626250002</v>
      </c>
      <c r="T193" s="48">
        <f t="shared" si="78"/>
        <v>3272.8301775750001</v>
      </c>
      <c r="V193" s="54" t="s">
        <v>1895</v>
      </c>
      <c r="Y193" s="82">
        <v>44355</v>
      </c>
      <c r="Z193" s="51">
        <f t="shared" si="69"/>
        <v>8</v>
      </c>
      <c r="AA193" s="51">
        <f t="shared" si="70"/>
        <v>6</v>
      </c>
      <c r="AB193" s="51">
        <f t="shared" si="71"/>
        <v>2021</v>
      </c>
    </row>
    <row r="194" spans="1:28">
      <c r="A194" s="133" t="s">
        <v>1491</v>
      </c>
      <c r="B194" s="57">
        <v>28823580</v>
      </c>
      <c r="C194" s="37" t="s">
        <v>1733</v>
      </c>
      <c r="D194" s="37" t="s">
        <v>1734</v>
      </c>
      <c r="E194" s="37" t="s">
        <v>1735</v>
      </c>
      <c r="F194" s="18" t="s">
        <v>1495</v>
      </c>
      <c r="G194" s="36" t="s">
        <v>108</v>
      </c>
      <c r="H194" t="s">
        <v>1525</v>
      </c>
      <c r="I194" s="2" t="s">
        <v>1526</v>
      </c>
      <c r="J194" s="36" t="s">
        <v>1496</v>
      </c>
      <c r="K194" s="36">
        <v>1</v>
      </c>
      <c r="L194" s="56">
        <v>44170</v>
      </c>
      <c r="M194" s="36">
        <f t="shared" si="75"/>
        <v>5</v>
      </c>
      <c r="N194" s="36">
        <f t="shared" si="76"/>
        <v>12</v>
      </c>
      <c r="O194" s="36">
        <f t="shared" si="77"/>
        <v>2020</v>
      </c>
      <c r="Q194" s="12">
        <v>480</v>
      </c>
      <c r="R194" s="63">
        <f>Q194</f>
        <v>480</v>
      </c>
      <c r="T194" s="48">
        <f t="shared" si="78"/>
        <v>2880</v>
      </c>
      <c r="V194" s="54" t="s">
        <v>1776</v>
      </c>
      <c r="W194" t="s">
        <v>1661</v>
      </c>
      <c r="Y194" s="82">
        <v>44355</v>
      </c>
      <c r="Z194" s="51">
        <f t="shared" si="69"/>
        <v>8</v>
      </c>
      <c r="AA194" s="51">
        <f t="shared" si="70"/>
        <v>6</v>
      </c>
      <c r="AB194" s="51">
        <f t="shared" si="71"/>
        <v>2021</v>
      </c>
    </row>
    <row r="195" spans="1:28">
      <c r="A195" s="36" t="s">
        <v>1283</v>
      </c>
      <c r="B195" s="57">
        <v>539229</v>
      </c>
      <c r="C195" s="37" t="s">
        <v>1306</v>
      </c>
      <c r="D195" s="18" t="s">
        <v>1284</v>
      </c>
      <c r="E195" s="37" t="s">
        <v>1285</v>
      </c>
      <c r="F195" s="36" t="s">
        <v>490</v>
      </c>
      <c r="G195" s="36" t="s">
        <v>491</v>
      </c>
      <c r="H195" s="37" t="s">
        <v>1286</v>
      </c>
      <c r="I195" s="2" t="s">
        <v>1307</v>
      </c>
      <c r="J195" s="36" t="s">
        <v>1287</v>
      </c>
      <c r="K195" s="36">
        <v>1</v>
      </c>
      <c r="L195" s="56">
        <v>43398</v>
      </c>
      <c r="M195" s="36">
        <f t="shared" si="75"/>
        <v>25</v>
      </c>
      <c r="N195" s="36">
        <f t="shared" si="76"/>
        <v>10</v>
      </c>
      <c r="O195" s="36">
        <f t="shared" si="77"/>
        <v>2018</v>
      </c>
      <c r="P195" s="11">
        <v>480</v>
      </c>
      <c r="Q195" s="117">
        <v>780</v>
      </c>
      <c r="R195" s="50">
        <f>Q195*1.05660377</f>
        <v>824.1509405999999</v>
      </c>
      <c r="T195" s="48">
        <f t="shared" si="78"/>
        <v>4944.9056435999992</v>
      </c>
      <c r="V195" s="54"/>
      <c r="W195" t="s">
        <v>1645</v>
      </c>
      <c r="Y195" s="82">
        <v>44375</v>
      </c>
      <c r="Z195" s="51">
        <f t="shared" si="69"/>
        <v>28</v>
      </c>
      <c r="AA195" s="51">
        <f t="shared" si="70"/>
        <v>6</v>
      </c>
      <c r="AB195" s="51">
        <f t="shared" si="71"/>
        <v>2021</v>
      </c>
    </row>
    <row r="196" spans="1:28" s="51" customFormat="1">
      <c r="A196" s="133" t="s">
        <v>18</v>
      </c>
      <c r="B196" s="46">
        <v>9676700</v>
      </c>
      <c r="C196" s="36" t="s">
        <v>65</v>
      </c>
      <c r="D196" s="36" t="s">
        <v>19</v>
      </c>
      <c r="E196" s="36" t="s">
        <v>237</v>
      </c>
      <c r="F196" s="36" t="s">
        <v>238</v>
      </c>
      <c r="G196" s="36" t="s">
        <v>81</v>
      </c>
      <c r="H196" s="36" t="s">
        <v>239</v>
      </c>
      <c r="I196" s="135" t="s">
        <v>446</v>
      </c>
      <c r="J196" s="36" t="s">
        <v>1397</v>
      </c>
      <c r="K196" s="36">
        <v>1</v>
      </c>
      <c r="L196" s="58">
        <v>40487</v>
      </c>
      <c r="M196" s="36">
        <f t="shared" si="75"/>
        <v>5</v>
      </c>
      <c r="N196" s="36">
        <f t="shared" si="76"/>
        <v>11</v>
      </c>
      <c r="O196" s="36">
        <f t="shared" si="77"/>
        <v>2010</v>
      </c>
      <c r="P196" s="48">
        <v>912</v>
      </c>
      <c r="Q196" s="48">
        <f>530</f>
        <v>530</v>
      </c>
      <c r="R196" s="50">
        <f>Q196*1.05660377</f>
        <v>559.99999809999997</v>
      </c>
      <c r="T196" s="48">
        <f t="shared" si="78"/>
        <v>3359.9999885999996</v>
      </c>
      <c r="V196" s="54" t="s">
        <v>1896</v>
      </c>
      <c r="Y196" s="67">
        <v>44380</v>
      </c>
      <c r="Z196" s="51">
        <f t="shared" si="69"/>
        <v>3</v>
      </c>
      <c r="AA196" s="51">
        <f t="shared" si="70"/>
        <v>7</v>
      </c>
      <c r="AB196" s="51">
        <f t="shared" si="71"/>
        <v>2021</v>
      </c>
    </row>
    <row r="197" spans="1:28">
      <c r="A197" s="133" t="s">
        <v>1632</v>
      </c>
      <c r="B197" s="57">
        <v>482013758</v>
      </c>
      <c r="C197" s="37" t="s">
        <v>1634</v>
      </c>
      <c r="D197" s="37" t="s">
        <v>1635</v>
      </c>
      <c r="E197" s="37" t="s">
        <v>1636</v>
      </c>
      <c r="F197" s="37" t="s">
        <v>1637</v>
      </c>
      <c r="G197" s="36" t="s">
        <v>108</v>
      </c>
      <c r="H197" s="57">
        <v>6150000</v>
      </c>
      <c r="I197" t="s">
        <v>1633</v>
      </c>
      <c r="J197" s="36" t="s">
        <v>1775</v>
      </c>
      <c r="K197" s="36">
        <v>1</v>
      </c>
      <c r="L197" s="56">
        <v>43998</v>
      </c>
      <c r="M197" s="36">
        <f t="shared" ref="M197:M205" si="79">DAY(L197)</f>
        <v>16</v>
      </c>
      <c r="N197" s="36">
        <f t="shared" ref="N197:N205" si="80">MONTH(L197)</f>
        <v>6</v>
      </c>
      <c r="O197" s="36">
        <f t="shared" ref="O197:O205" si="81">YEAR(L197)</f>
        <v>2020</v>
      </c>
      <c r="Q197" s="12">
        <v>480</v>
      </c>
      <c r="R197" s="50">
        <f>Q197*1.05660377</f>
        <v>507.16980959999995</v>
      </c>
      <c r="T197" s="48">
        <f>6*R197</f>
        <v>3043.0188575999996</v>
      </c>
      <c r="V197" s="54" t="s">
        <v>1896</v>
      </c>
      <c r="Y197" s="82">
        <v>44387</v>
      </c>
      <c r="Z197" s="51">
        <f t="shared" si="69"/>
        <v>10</v>
      </c>
      <c r="AA197" s="51">
        <f t="shared" si="70"/>
        <v>7</v>
      </c>
      <c r="AB197" s="51">
        <f t="shared" si="71"/>
        <v>2021</v>
      </c>
    </row>
    <row r="198" spans="1:28">
      <c r="A198" s="133" t="s">
        <v>1594</v>
      </c>
      <c r="B198" s="42">
        <v>495103317</v>
      </c>
      <c r="C198" s="57">
        <v>40683721879</v>
      </c>
      <c r="D198" s="37" t="s">
        <v>1595</v>
      </c>
      <c r="E198" s="37" t="s">
        <v>1596</v>
      </c>
      <c r="F198" s="36" t="s">
        <v>1597</v>
      </c>
      <c r="G198" s="36" t="s">
        <v>108</v>
      </c>
      <c r="H198" s="57">
        <v>3309000</v>
      </c>
      <c r="I198" t="s">
        <v>1598</v>
      </c>
      <c r="J198" s="36" t="s">
        <v>1599</v>
      </c>
      <c r="K198" s="36">
        <v>1</v>
      </c>
      <c r="L198" s="56">
        <v>43939</v>
      </c>
      <c r="M198" s="36">
        <f t="shared" si="79"/>
        <v>18</v>
      </c>
      <c r="N198" s="36">
        <f t="shared" si="80"/>
        <v>4</v>
      </c>
      <c r="O198" s="36">
        <f t="shared" si="81"/>
        <v>2020</v>
      </c>
      <c r="Q198" s="12">
        <v>460</v>
      </c>
      <c r="R198" s="50">
        <f>Q198*1.05660377</f>
        <v>486.03773419999999</v>
      </c>
      <c r="T198" s="48">
        <f>6*R198</f>
        <v>2916.2264052</v>
      </c>
      <c r="V198" s="54" t="s">
        <v>1896</v>
      </c>
      <c r="Y198" s="82">
        <v>44393</v>
      </c>
      <c r="Z198" s="51">
        <f t="shared" si="69"/>
        <v>16</v>
      </c>
      <c r="AA198" s="51">
        <f t="shared" si="70"/>
        <v>7</v>
      </c>
      <c r="AB198" s="51">
        <f t="shared" si="71"/>
        <v>2021</v>
      </c>
    </row>
    <row r="199" spans="1:28">
      <c r="A199" s="133" t="s">
        <v>1679</v>
      </c>
      <c r="B199" s="57">
        <v>180650075</v>
      </c>
      <c r="C199" s="37" t="s">
        <v>1680</v>
      </c>
      <c r="D199" s="57" t="s">
        <v>1681</v>
      </c>
      <c r="E199" s="37" t="s">
        <v>1682</v>
      </c>
      <c r="F199" t="s">
        <v>1683</v>
      </c>
      <c r="G199" s="36" t="s">
        <v>108</v>
      </c>
      <c r="H199" s="37" t="s">
        <v>1697</v>
      </c>
      <c r="I199" t="s">
        <v>1684</v>
      </c>
      <c r="J199" s="36" t="s">
        <v>1685</v>
      </c>
      <c r="K199" s="36">
        <v>1</v>
      </c>
      <c r="L199" s="56">
        <v>44142</v>
      </c>
      <c r="M199" s="36">
        <f t="shared" si="79"/>
        <v>7</v>
      </c>
      <c r="N199" s="36">
        <f t="shared" si="80"/>
        <v>11</v>
      </c>
      <c r="O199" s="36">
        <f t="shared" si="81"/>
        <v>2020</v>
      </c>
      <c r="Q199" s="12">
        <v>560</v>
      </c>
      <c r="R199" s="50">
        <f>Q199</f>
        <v>560</v>
      </c>
      <c r="T199" s="48">
        <f>6*R199</f>
        <v>3360</v>
      </c>
      <c r="V199" s="54" t="s">
        <v>1896</v>
      </c>
      <c r="W199" t="s">
        <v>1686</v>
      </c>
      <c r="Y199" s="82">
        <v>44443</v>
      </c>
      <c r="Z199" s="51">
        <f t="shared" si="69"/>
        <v>4</v>
      </c>
      <c r="AA199" s="51">
        <f t="shared" si="70"/>
        <v>9</v>
      </c>
      <c r="AB199" s="51">
        <f t="shared" si="71"/>
        <v>2021</v>
      </c>
    </row>
    <row r="200" spans="1:28">
      <c r="A200" s="133" t="s">
        <v>1912</v>
      </c>
      <c r="B200" s="46">
        <v>25067839</v>
      </c>
      <c r="C200" s="57" t="s">
        <v>1903</v>
      </c>
      <c r="D200" s="36" t="s">
        <v>1899</v>
      </c>
      <c r="E200" s="36" t="s">
        <v>1900</v>
      </c>
      <c r="F200" t="s">
        <v>1904</v>
      </c>
      <c r="G200" s="36" t="s">
        <v>108</v>
      </c>
      <c r="H200" s="54" t="s">
        <v>1901</v>
      </c>
      <c r="I200" s="2" t="s">
        <v>1905</v>
      </c>
      <c r="J200" s="36" t="s">
        <v>1902</v>
      </c>
      <c r="K200" s="36">
        <v>1</v>
      </c>
      <c r="L200" s="56">
        <v>44369</v>
      </c>
      <c r="M200" s="36">
        <f t="shared" si="79"/>
        <v>22</v>
      </c>
      <c r="N200" s="36">
        <f t="shared" si="80"/>
        <v>6</v>
      </c>
      <c r="O200" s="36">
        <f t="shared" si="81"/>
        <v>2021</v>
      </c>
      <c r="R200" s="136">
        <v>560</v>
      </c>
      <c r="T200" s="61">
        <f>R200*6+116</f>
        <v>3476</v>
      </c>
      <c r="U200" t="s">
        <v>902</v>
      </c>
      <c r="W200" s="51" t="s">
        <v>1661</v>
      </c>
      <c r="Y200" s="82">
        <v>44456</v>
      </c>
      <c r="Z200" s="51">
        <f t="shared" si="69"/>
        <v>17</v>
      </c>
      <c r="AA200" s="51">
        <f t="shared" si="70"/>
        <v>9</v>
      </c>
      <c r="AB200" s="51">
        <f t="shared" si="71"/>
        <v>2021</v>
      </c>
    </row>
    <row r="201" spans="1:28">
      <c r="A201" s="133" t="s">
        <v>1872</v>
      </c>
      <c r="B201" s="137">
        <v>39968212</v>
      </c>
      <c r="C201" s="73" t="s">
        <v>1873</v>
      </c>
      <c r="E201" s="73" t="s">
        <v>1874</v>
      </c>
      <c r="F201" s="138" t="s">
        <v>1875</v>
      </c>
      <c r="G201" s="73" t="s">
        <v>1876</v>
      </c>
      <c r="H201" s="138" t="s">
        <v>1877</v>
      </c>
      <c r="I201" s="2" t="s">
        <v>1878</v>
      </c>
      <c r="J201" s="73" t="s">
        <v>1879</v>
      </c>
      <c r="K201" s="73">
        <v>1</v>
      </c>
      <c r="L201" s="56">
        <v>44311</v>
      </c>
      <c r="M201" s="36">
        <f t="shared" si="79"/>
        <v>25</v>
      </c>
      <c r="N201" s="36">
        <f t="shared" si="80"/>
        <v>4</v>
      </c>
      <c r="O201" s="36">
        <f t="shared" si="81"/>
        <v>2021</v>
      </c>
      <c r="P201" s="7"/>
      <c r="Q201" s="7"/>
      <c r="R201" s="139">
        <v>480</v>
      </c>
      <c r="T201" s="48">
        <f>6*R201</f>
        <v>2880</v>
      </c>
      <c r="U201" s="7"/>
      <c r="V201" s="54" t="s">
        <v>1896</v>
      </c>
      <c r="W201" s="7"/>
      <c r="Y201" s="82">
        <v>44464</v>
      </c>
      <c r="Z201" s="51">
        <f t="shared" si="69"/>
        <v>25</v>
      </c>
      <c r="AA201" s="51">
        <f t="shared" si="70"/>
        <v>9</v>
      </c>
      <c r="AB201" s="51">
        <f t="shared" si="71"/>
        <v>2021</v>
      </c>
    </row>
    <row r="202" spans="1:28" s="51" customFormat="1">
      <c r="A202" s="133" t="s">
        <v>792</v>
      </c>
      <c r="B202" s="57">
        <v>141896760</v>
      </c>
      <c r="C202" s="57" t="s">
        <v>803</v>
      </c>
      <c r="D202" s="37" t="s">
        <v>793</v>
      </c>
      <c r="E202" s="37" t="s">
        <v>794</v>
      </c>
      <c r="F202" s="36" t="s">
        <v>795</v>
      </c>
      <c r="G202" s="36" t="s">
        <v>108</v>
      </c>
      <c r="H202" s="140" t="s">
        <v>804</v>
      </c>
      <c r="I202" t="s">
        <v>796</v>
      </c>
      <c r="J202" s="36" t="s">
        <v>797</v>
      </c>
      <c r="K202" s="36">
        <v>1</v>
      </c>
      <c r="L202" s="56">
        <v>42656</v>
      </c>
      <c r="M202" s="36">
        <f t="shared" si="79"/>
        <v>13</v>
      </c>
      <c r="N202" s="36">
        <f t="shared" si="80"/>
        <v>10</v>
      </c>
      <c r="O202" s="36">
        <f t="shared" si="81"/>
        <v>2016</v>
      </c>
      <c r="P202" s="141">
        <v>380</v>
      </c>
      <c r="Q202" s="48">
        <f>P202*1.1041667</f>
        <v>419.58334600000001</v>
      </c>
      <c r="R202" s="50">
        <f>Q202*1.05660377</f>
        <v>443.33334521281438</v>
      </c>
      <c r="T202" s="48">
        <f>6*R202</f>
        <v>2660.000071276886</v>
      </c>
      <c r="U202"/>
      <c r="V202" s="54" t="s">
        <v>1896</v>
      </c>
      <c r="W202"/>
      <c r="X202"/>
      <c r="Y202" s="82">
        <v>44460</v>
      </c>
      <c r="Z202" s="51">
        <f t="shared" si="69"/>
        <v>21</v>
      </c>
      <c r="AA202" s="51">
        <f t="shared" si="70"/>
        <v>9</v>
      </c>
      <c r="AB202" s="51">
        <f t="shared" si="71"/>
        <v>2021</v>
      </c>
    </row>
    <row r="203" spans="1:28" s="51" customFormat="1">
      <c r="A203" s="133" t="s">
        <v>1811</v>
      </c>
      <c r="B203" s="46">
        <v>174668764</v>
      </c>
      <c r="C203" s="36" t="s">
        <v>1817</v>
      </c>
      <c r="D203" s="36" t="s">
        <v>1812</v>
      </c>
      <c r="E203" s="36" t="s">
        <v>1813</v>
      </c>
      <c r="F203" s="54" t="s">
        <v>1818</v>
      </c>
      <c r="G203" s="36" t="s">
        <v>1819</v>
      </c>
      <c r="H203" s="51" t="s">
        <v>1816</v>
      </c>
      <c r="I203" s="52" t="s">
        <v>1814</v>
      </c>
      <c r="J203" s="36" t="s">
        <v>1815</v>
      </c>
      <c r="K203" s="36">
        <v>1</v>
      </c>
      <c r="L203" s="47">
        <v>44251</v>
      </c>
      <c r="M203" s="36">
        <f t="shared" si="79"/>
        <v>24</v>
      </c>
      <c r="N203" s="36">
        <f t="shared" si="80"/>
        <v>2</v>
      </c>
      <c r="O203" s="36">
        <f t="shared" si="81"/>
        <v>2021</v>
      </c>
      <c r="R203" s="63">
        <v>480</v>
      </c>
      <c r="T203" s="48">
        <f>6*R203</f>
        <v>2880</v>
      </c>
      <c r="V203" s="54" t="s">
        <v>1896</v>
      </c>
      <c r="Y203" s="82">
        <v>44496</v>
      </c>
      <c r="Z203" s="51">
        <f t="shared" si="69"/>
        <v>27</v>
      </c>
      <c r="AA203" s="51">
        <f t="shared" si="70"/>
        <v>10</v>
      </c>
      <c r="AB203" s="51">
        <f t="shared" si="71"/>
        <v>2021</v>
      </c>
    </row>
    <row r="204" spans="1:28" s="51" customFormat="1">
      <c r="A204" s="133" t="s">
        <v>1845</v>
      </c>
      <c r="B204" s="46">
        <v>663702331</v>
      </c>
      <c r="C204" s="36" t="s">
        <v>1846</v>
      </c>
      <c r="D204" s="36" t="s">
        <v>1847</v>
      </c>
      <c r="E204" s="36" t="s">
        <v>1848</v>
      </c>
      <c r="F204" s="54" t="s">
        <v>1849</v>
      </c>
      <c r="G204" s="36" t="s">
        <v>108</v>
      </c>
      <c r="H204" s="51" t="s">
        <v>1850</v>
      </c>
      <c r="I204" s="52" t="s">
        <v>1851</v>
      </c>
      <c r="J204" s="36" t="s">
        <v>1852</v>
      </c>
      <c r="K204" s="36">
        <v>1</v>
      </c>
      <c r="L204" s="47">
        <v>44292</v>
      </c>
      <c r="M204" s="36">
        <f t="shared" si="79"/>
        <v>6</v>
      </c>
      <c r="N204" s="36">
        <f t="shared" si="80"/>
        <v>4</v>
      </c>
      <c r="O204" s="36">
        <f t="shared" si="81"/>
        <v>2021</v>
      </c>
      <c r="R204" s="63">
        <v>480</v>
      </c>
      <c r="T204" s="48">
        <f>2*R204</f>
        <v>960</v>
      </c>
      <c r="U204" s="51" t="s">
        <v>902</v>
      </c>
      <c r="V204" s="54" t="s">
        <v>1946</v>
      </c>
      <c r="W204" s="51" t="s">
        <v>1661</v>
      </c>
      <c r="Y204" s="82">
        <v>44477</v>
      </c>
      <c r="Z204" s="51">
        <f t="shared" si="69"/>
        <v>8</v>
      </c>
      <c r="AA204" s="51">
        <f t="shared" si="70"/>
        <v>10</v>
      </c>
      <c r="AB204" s="51">
        <f t="shared" si="71"/>
        <v>2021</v>
      </c>
    </row>
    <row r="205" spans="1:28">
      <c r="A205" s="36" t="s">
        <v>1736</v>
      </c>
      <c r="B205" s="57">
        <v>43696603</v>
      </c>
      <c r="C205" s="37" t="s">
        <v>1737</v>
      </c>
      <c r="D205" s="37" t="s">
        <v>1738</v>
      </c>
      <c r="E205" s="37" t="s">
        <v>1739</v>
      </c>
      <c r="F205" s="18" t="s">
        <v>1740</v>
      </c>
      <c r="G205" s="36" t="s">
        <v>1741</v>
      </c>
      <c r="H205" s="37" t="s">
        <v>1742</v>
      </c>
      <c r="I205" s="2" t="s">
        <v>1772</v>
      </c>
      <c r="J205" s="36" t="s">
        <v>1913</v>
      </c>
      <c r="K205" s="36">
        <v>1</v>
      </c>
      <c r="L205" s="56">
        <v>44173</v>
      </c>
      <c r="M205" s="36">
        <f t="shared" si="79"/>
        <v>8</v>
      </c>
      <c r="N205" s="36">
        <f t="shared" si="80"/>
        <v>12</v>
      </c>
      <c r="O205" s="36">
        <f t="shared" si="81"/>
        <v>2020</v>
      </c>
      <c r="Q205" s="12">
        <v>580</v>
      </c>
      <c r="R205" s="63">
        <f>Q205</f>
        <v>580</v>
      </c>
      <c r="T205" s="48">
        <f>6*R205</f>
        <v>3480</v>
      </c>
      <c r="V205" s="54" t="s">
        <v>1896</v>
      </c>
      <c r="W205" t="s">
        <v>1668</v>
      </c>
      <c r="Y205" s="82">
        <v>44409</v>
      </c>
      <c r="Z205" s="51">
        <f t="shared" si="69"/>
        <v>1</v>
      </c>
      <c r="AA205" s="51">
        <f t="shared" si="70"/>
        <v>8</v>
      </c>
      <c r="AB205" s="51">
        <f t="shared" si="71"/>
        <v>2021</v>
      </c>
    </row>
    <row r="206" spans="1:28" ht="12.75" customHeight="1">
      <c r="A206" s="133" t="s">
        <v>1049</v>
      </c>
      <c r="B206" s="37" t="s">
        <v>1050</v>
      </c>
      <c r="C206" s="37" t="s">
        <v>1051</v>
      </c>
      <c r="D206" s="37" t="s">
        <v>1052</v>
      </c>
      <c r="E206" s="37" t="s">
        <v>1053</v>
      </c>
      <c r="F206" s="36" t="s">
        <v>1054</v>
      </c>
      <c r="G206" s="36" t="s">
        <v>108</v>
      </c>
      <c r="H206" t="s">
        <v>1055</v>
      </c>
      <c r="I206" s="2" t="s">
        <v>1071</v>
      </c>
      <c r="J206" s="36" t="s">
        <v>1777</v>
      </c>
      <c r="K206" s="36">
        <v>1</v>
      </c>
      <c r="L206" s="56">
        <v>43001</v>
      </c>
      <c r="M206" s="36">
        <f t="shared" ref="M206:M211" si="82">DAY(L206)</f>
        <v>23</v>
      </c>
      <c r="N206" s="36">
        <f t="shared" ref="N206:N211" si="83">MONTH(L206)</f>
        <v>9</v>
      </c>
      <c r="O206" s="36">
        <f t="shared" ref="O206:O211" si="84">YEAR(L206)</f>
        <v>2017</v>
      </c>
      <c r="P206" s="97">
        <f>912+128</f>
        <v>1040</v>
      </c>
      <c r="Q206" s="50">
        <v>530</v>
      </c>
      <c r="R206" s="50">
        <f>Q206*1.05660377</f>
        <v>559.99999809999997</v>
      </c>
      <c r="T206" s="48">
        <f>6*R206</f>
        <v>3359.9999885999996</v>
      </c>
      <c r="U206" s="18" t="s">
        <v>165</v>
      </c>
      <c r="V206" s="54" t="s">
        <v>1896</v>
      </c>
      <c r="Y206" s="82">
        <v>44520</v>
      </c>
      <c r="Z206" s="51">
        <f t="shared" si="69"/>
        <v>20</v>
      </c>
      <c r="AA206" s="51">
        <f t="shared" si="70"/>
        <v>11</v>
      </c>
      <c r="AB206" s="51">
        <f t="shared" si="71"/>
        <v>2021</v>
      </c>
    </row>
    <row r="207" spans="1:28">
      <c r="A207" s="133" t="s">
        <v>1829</v>
      </c>
      <c r="B207" s="46">
        <v>552649077</v>
      </c>
      <c r="C207" s="36" t="s">
        <v>1830</v>
      </c>
      <c r="D207" s="36" t="s">
        <v>1831</v>
      </c>
      <c r="E207" s="36" t="s">
        <v>1832</v>
      </c>
      <c r="F207" s="36" t="s">
        <v>240</v>
      </c>
      <c r="G207" s="36" t="s">
        <v>108</v>
      </c>
      <c r="H207" s="36" t="s">
        <v>1833</v>
      </c>
      <c r="I207" s="52" t="s">
        <v>1834</v>
      </c>
      <c r="J207" s="36" t="s">
        <v>1835</v>
      </c>
      <c r="K207" s="36">
        <v>1</v>
      </c>
      <c r="L207" s="47">
        <v>44385</v>
      </c>
      <c r="M207" s="36">
        <f t="shared" si="82"/>
        <v>8</v>
      </c>
      <c r="N207" s="36">
        <f t="shared" si="83"/>
        <v>7</v>
      </c>
      <c r="O207" s="36">
        <f t="shared" si="84"/>
        <v>2021</v>
      </c>
      <c r="P207" s="48"/>
      <c r="Q207" s="48"/>
      <c r="R207" s="48">
        <v>560</v>
      </c>
      <c r="T207" s="48">
        <v>1680</v>
      </c>
      <c r="U207" s="54" t="s">
        <v>1579</v>
      </c>
      <c r="V207" s="54" t="s">
        <v>1971</v>
      </c>
      <c r="W207" s="51" t="s">
        <v>1661</v>
      </c>
      <c r="X207" s="51"/>
      <c r="Y207" s="67">
        <v>44509</v>
      </c>
      <c r="Z207" s="51">
        <f t="shared" ref="Z207:Z257" si="85">IF($Y207=0,"",DAY($Y207))</f>
        <v>9</v>
      </c>
      <c r="AA207" s="51">
        <f t="shared" ref="AA207:AA257" si="86">IF($Y207=0,"",MONTH($Y207))</f>
        <v>11</v>
      </c>
      <c r="AB207" s="51">
        <f t="shared" ref="AB207:AB257" si="87">IF($Y207=0,"",YEAR($Y207))</f>
        <v>2021</v>
      </c>
    </row>
    <row r="208" spans="1:28">
      <c r="A208" s="133" t="s">
        <v>1906</v>
      </c>
      <c r="B208" s="46">
        <v>38895441</v>
      </c>
      <c r="C208" s="36" t="s">
        <v>1907</v>
      </c>
      <c r="D208" s="36" t="s">
        <v>1908</v>
      </c>
      <c r="E208" s="36" t="s">
        <v>1909</v>
      </c>
      <c r="F208" s="36" t="s">
        <v>1910</v>
      </c>
      <c r="G208" s="36" t="s">
        <v>108</v>
      </c>
      <c r="H208" s="36" t="s">
        <v>1935</v>
      </c>
      <c r="I208" s="52" t="s">
        <v>1944</v>
      </c>
      <c r="J208" s="36" t="s">
        <v>1911</v>
      </c>
      <c r="K208" s="36">
        <v>1</v>
      </c>
      <c r="L208" s="47">
        <v>44404</v>
      </c>
      <c r="M208" s="36">
        <f t="shared" si="82"/>
        <v>27</v>
      </c>
      <c r="N208" s="36">
        <f t="shared" si="83"/>
        <v>7</v>
      </c>
      <c r="O208" s="36">
        <f t="shared" si="84"/>
        <v>2021</v>
      </c>
      <c r="P208" s="48"/>
      <c r="Q208" s="48"/>
      <c r="R208" s="48">
        <v>560</v>
      </c>
      <c r="T208" s="48">
        <f>2*R208</f>
        <v>1120</v>
      </c>
      <c r="U208" s="54" t="s">
        <v>902</v>
      </c>
      <c r="V208" s="54" t="s">
        <v>1994</v>
      </c>
      <c r="W208" s="51" t="s">
        <v>1661</v>
      </c>
      <c r="X208" s="51"/>
      <c r="Y208" s="67">
        <v>44528</v>
      </c>
      <c r="Z208" s="51">
        <f t="shared" si="85"/>
        <v>28</v>
      </c>
      <c r="AA208" s="51">
        <f t="shared" si="86"/>
        <v>11</v>
      </c>
      <c r="AB208" s="51">
        <f t="shared" si="87"/>
        <v>2021</v>
      </c>
    </row>
    <row r="209" spans="1:28">
      <c r="A209" s="133" t="s">
        <v>1919</v>
      </c>
      <c r="B209" s="46">
        <v>17217195</v>
      </c>
      <c r="C209" s="142" t="s">
        <v>1920</v>
      </c>
      <c r="D209" s="36" t="s">
        <v>1921</v>
      </c>
      <c r="E209" s="36" t="s">
        <v>1945</v>
      </c>
      <c r="F209" s="36" t="s">
        <v>1922</v>
      </c>
      <c r="G209" s="36" t="s">
        <v>108</v>
      </c>
      <c r="H209" s="36" t="s">
        <v>1923</v>
      </c>
      <c r="I209" s="2" t="s">
        <v>1924</v>
      </c>
      <c r="J209" s="36" t="s">
        <v>1925</v>
      </c>
      <c r="K209" s="36">
        <v>1</v>
      </c>
      <c r="L209" s="56">
        <v>44421</v>
      </c>
      <c r="M209" s="36">
        <f t="shared" si="82"/>
        <v>13</v>
      </c>
      <c r="N209" s="36">
        <f t="shared" si="83"/>
        <v>8</v>
      </c>
      <c r="O209" s="36">
        <f t="shared" si="84"/>
        <v>2021</v>
      </c>
      <c r="R209" s="63">
        <v>560</v>
      </c>
      <c r="T209" s="61">
        <f>4*R209</f>
        <v>2240</v>
      </c>
      <c r="V209" s="54" t="s">
        <v>1973</v>
      </c>
      <c r="Y209" s="82">
        <v>44539</v>
      </c>
      <c r="Z209" s="51">
        <f t="shared" si="85"/>
        <v>9</v>
      </c>
      <c r="AA209" s="51">
        <f t="shared" si="86"/>
        <v>12</v>
      </c>
      <c r="AB209" s="51">
        <f t="shared" si="87"/>
        <v>2021</v>
      </c>
    </row>
    <row r="210" spans="1:28">
      <c r="A210" s="36" t="s">
        <v>1926</v>
      </c>
      <c r="B210" s="46">
        <v>4680066</v>
      </c>
      <c r="C210" s="57" t="s">
        <v>1938</v>
      </c>
      <c r="D210" s="36" t="s">
        <v>1927</v>
      </c>
      <c r="E210" s="36" t="s">
        <v>1939</v>
      </c>
      <c r="F210" s="36" t="s">
        <v>1940</v>
      </c>
      <c r="G210" s="36" t="s">
        <v>108</v>
      </c>
      <c r="H210" s="72" t="s">
        <v>1928</v>
      </c>
      <c r="I210" s="2" t="s">
        <v>1941</v>
      </c>
      <c r="J210" s="36" t="s">
        <v>1929</v>
      </c>
      <c r="K210" s="36">
        <v>3</v>
      </c>
      <c r="L210" s="56">
        <v>44424</v>
      </c>
      <c r="M210" s="36">
        <f t="shared" si="82"/>
        <v>16</v>
      </c>
      <c r="N210" s="36">
        <f t="shared" si="83"/>
        <v>8</v>
      </c>
      <c r="O210" s="36">
        <f t="shared" si="84"/>
        <v>2021</v>
      </c>
      <c r="Q210" s="51"/>
      <c r="R210" s="63">
        <v>1550</v>
      </c>
      <c r="S210" s="48"/>
      <c r="T210" s="48">
        <f t="shared" ref="T210:T215" si="88">6*S210</f>
        <v>0</v>
      </c>
      <c r="V210" s="54"/>
      <c r="Y210" s="82">
        <v>44545</v>
      </c>
      <c r="Z210" s="51">
        <f t="shared" si="85"/>
        <v>15</v>
      </c>
      <c r="AA210" s="51">
        <f t="shared" si="86"/>
        <v>12</v>
      </c>
      <c r="AB210" s="51">
        <f t="shared" si="87"/>
        <v>2021</v>
      </c>
    </row>
    <row r="211" spans="1:28">
      <c r="A211" s="133" t="s">
        <v>1317</v>
      </c>
      <c r="B211" s="57">
        <v>24655493</v>
      </c>
      <c r="C211" s="37" t="s">
        <v>1318</v>
      </c>
      <c r="D211" s="37" t="s">
        <v>1319</v>
      </c>
      <c r="E211" s="37" t="s">
        <v>1320</v>
      </c>
      <c r="F211" s="36" t="s">
        <v>63</v>
      </c>
      <c r="G211" s="36" t="s">
        <v>108</v>
      </c>
      <c r="H211" s="37" t="s">
        <v>1188</v>
      </c>
      <c r="I211" s="2" t="s">
        <v>2033</v>
      </c>
      <c r="J211" s="36" t="s">
        <v>1321</v>
      </c>
      <c r="K211" s="36">
        <v>1</v>
      </c>
      <c r="L211" s="56">
        <v>43432</v>
      </c>
      <c r="M211" s="36">
        <f t="shared" si="82"/>
        <v>28</v>
      </c>
      <c r="N211" s="36">
        <f t="shared" si="83"/>
        <v>11</v>
      </c>
      <c r="O211" s="36">
        <f t="shared" si="84"/>
        <v>2018</v>
      </c>
      <c r="P211" s="4">
        <v>480</v>
      </c>
      <c r="Q211" s="48">
        <v>480</v>
      </c>
      <c r="R211" s="48">
        <f>Q211*1.05660377</f>
        <v>507.16980959999995</v>
      </c>
      <c r="S211" s="143">
        <f>R211*(1+10.7143%)</f>
        <v>561.50950450997277</v>
      </c>
      <c r="T211" s="48">
        <f t="shared" si="88"/>
        <v>3369.0570270598364</v>
      </c>
      <c r="V211" s="54" t="s">
        <v>2029</v>
      </c>
      <c r="Y211" s="82">
        <v>44564</v>
      </c>
      <c r="Z211" s="51">
        <f t="shared" si="85"/>
        <v>3</v>
      </c>
      <c r="AA211" s="51">
        <f t="shared" si="86"/>
        <v>1</v>
      </c>
      <c r="AB211" s="51">
        <f t="shared" si="87"/>
        <v>2022</v>
      </c>
    </row>
    <row r="212" spans="1:28">
      <c r="A212" s="133" t="s">
        <v>1762</v>
      </c>
      <c r="B212" s="57">
        <v>567396824</v>
      </c>
      <c r="C212" s="37" t="s">
        <v>1763</v>
      </c>
      <c r="D212" s="37" t="s">
        <v>1764</v>
      </c>
      <c r="E212" s="37" t="s">
        <v>1765</v>
      </c>
      <c r="F212" s="18" t="s">
        <v>1766</v>
      </c>
      <c r="G212" s="36" t="s">
        <v>1767</v>
      </c>
      <c r="H212" t="s">
        <v>1768</v>
      </c>
      <c r="I212" s="2" t="s">
        <v>1769</v>
      </c>
      <c r="J212" s="36" t="s">
        <v>1770</v>
      </c>
      <c r="K212" s="36">
        <v>1</v>
      </c>
      <c r="L212" s="56">
        <v>44178</v>
      </c>
      <c r="M212" s="36">
        <f t="shared" ref="M212:M217" si="89">DAY(L212)</f>
        <v>13</v>
      </c>
      <c r="N212" s="36">
        <f t="shared" ref="N212:N217" si="90">MONTH(L212)</f>
        <v>12</v>
      </c>
      <c r="O212" s="36">
        <f t="shared" ref="O212:O217" si="91">YEAR(L212)</f>
        <v>2020</v>
      </c>
      <c r="Q212" s="63"/>
      <c r="R212" s="63">
        <v>480</v>
      </c>
      <c r="S212" s="143">
        <f>R212*(1+10.7143%)</f>
        <v>531.42863999999997</v>
      </c>
      <c r="T212" s="48">
        <f t="shared" si="88"/>
        <v>3188.5718399999996</v>
      </c>
      <c r="V212" s="54" t="s">
        <v>2029</v>
      </c>
      <c r="W212" t="s">
        <v>1661</v>
      </c>
      <c r="Y212" s="82">
        <v>44568</v>
      </c>
      <c r="Z212" s="51">
        <f t="shared" si="85"/>
        <v>7</v>
      </c>
      <c r="AA212" s="51">
        <f t="shared" si="86"/>
        <v>1</v>
      </c>
      <c r="AB212" s="51">
        <f t="shared" si="87"/>
        <v>2022</v>
      </c>
    </row>
    <row r="213" spans="1:28" s="51" customFormat="1">
      <c r="A213" s="133" t="s">
        <v>1786</v>
      </c>
      <c r="B213" s="46">
        <v>428829387</v>
      </c>
      <c r="C213" s="36" t="s">
        <v>1787</v>
      </c>
      <c r="D213" s="36" t="s">
        <v>1788</v>
      </c>
      <c r="E213" s="36" t="s">
        <v>1789</v>
      </c>
      <c r="F213" s="54" t="s">
        <v>1790</v>
      </c>
      <c r="G213" s="36" t="s">
        <v>1791</v>
      </c>
      <c r="H213" s="144">
        <v>18150000</v>
      </c>
      <c r="I213" s="52" t="s">
        <v>1792</v>
      </c>
      <c r="J213" s="36" t="s">
        <v>1793</v>
      </c>
      <c r="K213" s="36">
        <v>1</v>
      </c>
      <c r="L213" s="47">
        <v>44205</v>
      </c>
      <c r="M213" s="36">
        <f t="shared" si="89"/>
        <v>9</v>
      </c>
      <c r="N213" s="36">
        <f t="shared" si="90"/>
        <v>1</v>
      </c>
      <c r="O213" s="36">
        <f t="shared" si="91"/>
        <v>2021</v>
      </c>
      <c r="R213" s="63">
        <v>450</v>
      </c>
      <c r="S213" s="143">
        <f>R213*(1+10.7143%)</f>
        <v>498.21434999999997</v>
      </c>
      <c r="T213" s="48">
        <f t="shared" si="88"/>
        <v>2989.2860999999998</v>
      </c>
      <c r="V213" s="54" t="s">
        <v>2029</v>
      </c>
      <c r="Y213" s="67">
        <v>44569</v>
      </c>
      <c r="Z213" s="51">
        <f t="shared" si="85"/>
        <v>8</v>
      </c>
      <c r="AA213" s="51">
        <f t="shared" si="86"/>
        <v>1</v>
      </c>
      <c r="AB213" s="51">
        <f t="shared" si="87"/>
        <v>2022</v>
      </c>
    </row>
    <row r="214" spans="1:28">
      <c r="A214" s="133" t="s">
        <v>330</v>
      </c>
      <c r="B214" s="46">
        <v>6329430</v>
      </c>
      <c r="C214" s="36" t="s">
        <v>360</v>
      </c>
      <c r="D214" s="36" t="s">
        <v>331</v>
      </c>
      <c r="E214" s="36" t="s">
        <v>332</v>
      </c>
      <c r="F214" s="36" t="s">
        <v>270</v>
      </c>
      <c r="G214" s="36" t="s">
        <v>81</v>
      </c>
      <c r="H214" s="46" t="s">
        <v>838</v>
      </c>
      <c r="I214" s="52" t="s">
        <v>333</v>
      </c>
      <c r="J214" s="36" t="s">
        <v>334</v>
      </c>
      <c r="K214" s="36">
        <v>1</v>
      </c>
      <c r="L214" s="47">
        <v>42643</v>
      </c>
      <c r="M214" s="36">
        <f t="shared" si="89"/>
        <v>30</v>
      </c>
      <c r="N214" s="36">
        <f t="shared" si="90"/>
        <v>9</v>
      </c>
      <c r="O214" s="36">
        <f t="shared" si="91"/>
        <v>2016</v>
      </c>
      <c r="P214" s="141">
        <v>380</v>
      </c>
      <c r="Q214" s="48">
        <f>P214*1.1041667</f>
        <v>419.58334600000001</v>
      </c>
      <c r="R214" s="48">
        <f>Q214*1.05660377</f>
        <v>443.33334521281438</v>
      </c>
      <c r="S214" s="143">
        <f>R214*(1+10.7143%)</f>
        <v>490.83340981895094</v>
      </c>
      <c r="T214" s="48">
        <f t="shared" si="88"/>
        <v>2945.0004589137056</v>
      </c>
      <c r="U214" s="51"/>
      <c r="V214" s="54" t="s">
        <v>2029</v>
      </c>
      <c r="W214" s="51"/>
      <c r="X214" s="51"/>
      <c r="Y214" s="67">
        <v>44609</v>
      </c>
      <c r="Z214" s="51">
        <f t="shared" si="85"/>
        <v>17</v>
      </c>
      <c r="AA214" s="51">
        <f t="shared" si="86"/>
        <v>2</v>
      </c>
      <c r="AB214" s="51">
        <f t="shared" si="87"/>
        <v>2022</v>
      </c>
    </row>
    <row r="215" spans="1:28">
      <c r="A215" s="133" t="s">
        <v>1498</v>
      </c>
      <c r="B215" s="42">
        <v>44796260</v>
      </c>
      <c r="C215" s="37" t="s">
        <v>1499</v>
      </c>
      <c r="D215" s="37" t="s">
        <v>1500</v>
      </c>
      <c r="E215" s="37" t="s">
        <v>1501</v>
      </c>
      <c r="F215" s="36" t="s">
        <v>1502</v>
      </c>
      <c r="G215" s="36" t="s">
        <v>1502</v>
      </c>
      <c r="H215" s="57" t="s">
        <v>1528</v>
      </c>
      <c r="I215" s="2" t="s">
        <v>1529</v>
      </c>
      <c r="J215" s="36" t="s">
        <v>1503</v>
      </c>
      <c r="K215" s="36">
        <v>1</v>
      </c>
      <c r="L215" s="56">
        <v>43953</v>
      </c>
      <c r="M215" s="36">
        <f t="shared" si="89"/>
        <v>2</v>
      </c>
      <c r="N215" s="36">
        <f t="shared" si="90"/>
        <v>5</v>
      </c>
      <c r="O215" s="36">
        <f t="shared" si="91"/>
        <v>2020</v>
      </c>
      <c r="P215" s="43"/>
      <c r="Q215" s="63">
        <v>450</v>
      </c>
      <c r="R215" s="48">
        <f>Q215*1.05660377</f>
        <v>475.47169649999995</v>
      </c>
      <c r="S215" s="143">
        <f>R215*(1+10.7143%)</f>
        <v>526.41516047809944</v>
      </c>
      <c r="T215" s="48">
        <f t="shared" si="88"/>
        <v>3158.4909628685964</v>
      </c>
      <c r="V215" s="54" t="s">
        <v>2029</v>
      </c>
      <c r="W215" s="18"/>
      <c r="Y215" s="82">
        <v>44613</v>
      </c>
      <c r="Z215" s="51">
        <f t="shared" si="85"/>
        <v>21</v>
      </c>
      <c r="AA215" s="51">
        <f t="shared" si="86"/>
        <v>2</v>
      </c>
      <c r="AB215" s="51">
        <f t="shared" si="87"/>
        <v>2022</v>
      </c>
    </row>
    <row r="216" spans="1:28">
      <c r="A216" s="133" t="s">
        <v>2036</v>
      </c>
      <c r="B216" s="145">
        <v>284024466</v>
      </c>
      <c r="C216" s="36" t="s">
        <v>2037</v>
      </c>
      <c r="D216" s="36" t="s">
        <v>2038</v>
      </c>
      <c r="E216" s="36" t="s">
        <v>2039</v>
      </c>
      <c r="F216" s="36" t="s">
        <v>2040</v>
      </c>
      <c r="G216" s="36" t="s">
        <v>108</v>
      </c>
      <c r="H216" s="36" t="s">
        <v>2057</v>
      </c>
      <c r="I216" s="52" t="s">
        <v>2041</v>
      </c>
      <c r="J216" s="36" t="s">
        <v>2042</v>
      </c>
      <c r="K216" s="36">
        <v>1</v>
      </c>
      <c r="L216" s="47">
        <v>44548</v>
      </c>
      <c r="M216" s="36">
        <f t="shared" si="89"/>
        <v>18</v>
      </c>
      <c r="N216" s="36">
        <f t="shared" si="90"/>
        <v>12</v>
      </c>
      <c r="O216" s="36">
        <f t="shared" si="91"/>
        <v>2021</v>
      </c>
      <c r="P216" s="48"/>
      <c r="Q216" s="48"/>
      <c r="R216" s="48">
        <v>560</v>
      </c>
      <c r="S216" s="143">
        <v>620</v>
      </c>
      <c r="T216" s="48">
        <f>4*S216</f>
        <v>2480</v>
      </c>
      <c r="U216" s="54"/>
      <c r="V216" s="54" t="s">
        <v>2067</v>
      </c>
      <c r="W216" s="51"/>
      <c r="X216" s="51"/>
      <c r="Y216" s="67">
        <v>44630</v>
      </c>
      <c r="Z216" s="51">
        <f t="shared" si="85"/>
        <v>10</v>
      </c>
      <c r="AA216" s="51">
        <f t="shared" si="86"/>
        <v>3</v>
      </c>
      <c r="AB216" s="51">
        <f t="shared" si="87"/>
        <v>2022</v>
      </c>
    </row>
    <row r="217" spans="1:28">
      <c r="A217" s="133" t="s">
        <v>1687</v>
      </c>
      <c r="B217" s="57">
        <v>56554006</v>
      </c>
      <c r="C217" s="37" t="s">
        <v>1688</v>
      </c>
      <c r="D217" s="57" t="s">
        <v>1689</v>
      </c>
      <c r="E217" s="37" t="s">
        <v>1914</v>
      </c>
      <c r="F217" t="s">
        <v>289</v>
      </c>
      <c r="G217" s="36" t="s">
        <v>108</v>
      </c>
      <c r="H217" s="37" t="s">
        <v>1698</v>
      </c>
      <c r="I217" s="2" t="s">
        <v>1999</v>
      </c>
      <c r="J217" s="36" t="s">
        <v>471</v>
      </c>
      <c r="K217" s="36">
        <v>1</v>
      </c>
      <c r="L217" s="56">
        <v>44154</v>
      </c>
      <c r="M217" s="36">
        <f t="shared" si="89"/>
        <v>19</v>
      </c>
      <c r="N217" s="36">
        <f t="shared" si="90"/>
        <v>11</v>
      </c>
      <c r="O217" s="36">
        <f t="shared" si="91"/>
        <v>2020</v>
      </c>
      <c r="Q217" s="63">
        <v>580</v>
      </c>
      <c r="R217" s="48">
        <f>Q217</f>
        <v>580</v>
      </c>
      <c r="S217" s="48">
        <f>R217*(1+10.7143%)</f>
        <v>642.14293999999995</v>
      </c>
      <c r="T217" s="48">
        <f>6*S217</f>
        <v>3852.8576399999997</v>
      </c>
      <c r="V217" s="54" t="s">
        <v>2029</v>
      </c>
      <c r="W217" t="s">
        <v>1668</v>
      </c>
      <c r="Y217" s="82">
        <v>44639</v>
      </c>
      <c r="Z217" s="51">
        <f t="shared" si="85"/>
        <v>19</v>
      </c>
      <c r="AA217" s="51">
        <f t="shared" si="86"/>
        <v>3</v>
      </c>
      <c r="AB217" s="51">
        <f t="shared" si="87"/>
        <v>2022</v>
      </c>
    </row>
    <row r="218" spans="1:28">
      <c r="A218" s="133" t="s">
        <v>1853</v>
      </c>
      <c r="B218" s="46">
        <v>99283761</v>
      </c>
      <c r="C218" s="36" t="s">
        <v>1854</v>
      </c>
      <c r="D218" s="36" t="s">
        <v>1855</v>
      </c>
      <c r="E218" s="36" t="s">
        <v>1856</v>
      </c>
      <c r="F218" s="54" t="s">
        <v>1857</v>
      </c>
      <c r="G218" s="36" t="s">
        <v>108</v>
      </c>
      <c r="H218" s="18" t="s">
        <v>1858</v>
      </c>
      <c r="I218" s="2" t="s">
        <v>2031</v>
      </c>
      <c r="J218" s="36" t="s">
        <v>471</v>
      </c>
      <c r="K218" s="36">
        <v>1</v>
      </c>
      <c r="L218" s="56">
        <v>44301</v>
      </c>
      <c r="M218" s="36">
        <f t="shared" ref="M218:M223" si="92">DAY(L218)</f>
        <v>15</v>
      </c>
      <c r="N218" s="36">
        <f t="shared" ref="N218:N223" si="93">MONTH(L218)</f>
        <v>4</v>
      </c>
      <c r="O218" s="36">
        <f t="shared" ref="O218:O223" si="94">YEAR(L218)</f>
        <v>2021</v>
      </c>
      <c r="Q218" s="51"/>
      <c r="R218" s="63">
        <v>480</v>
      </c>
      <c r="S218" s="48">
        <f>R218*(1+10.7143%)</f>
        <v>531.42863999999997</v>
      </c>
      <c r="T218" s="48">
        <f>6*S218</f>
        <v>3188.5718399999996</v>
      </c>
      <c r="V218" s="54" t="s">
        <v>2029</v>
      </c>
      <c r="Y218" s="82">
        <v>44655</v>
      </c>
      <c r="Z218" s="51">
        <f t="shared" si="85"/>
        <v>4</v>
      </c>
      <c r="AA218" s="51">
        <f t="shared" si="86"/>
        <v>4</v>
      </c>
      <c r="AB218" s="51">
        <f t="shared" si="87"/>
        <v>2022</v>
      </c>
    </row>
    <row r="219" spans="1:28">
      <c r="A219" s="133" t="s">
        <v>1960</v>
      </c>
      <c r="B219" s="46">
        <v>42064501</v>
      </c>
      <c r="C219" s="37" t="s">
        <v>1961</v>
      </c>
      <c r="D219" s="37" t="s">
        <v>1962</v>
      </c>
      <c r="E219" s="36" t="s">
        <v>1963</v>
      </c>
      <c r="F219" s="36" t="s">
        <v>1964</v>
      </c>
      <c r="G219" s="36" t="s">
        <v>1229</v>
      </c>
      <c r="H219" s="36" t="s">
        <v>1965</v>
      </c>
      <c r="I219" s="2" t="s">
        <v>1966</v>
      </c>
      <c r="J219" s="36" t="s">
        <v>1967</v>
      </c>
      <c r="K219" s="36">
        <v>1</v>
      </c>
      <c r="L219" s="56">
        <v>44452</v>
      </c>
      <c r="M219" s="36">
        <f t="shared" si="92"/>
        <v>13</v>
      </c>
      <c r="N219" s="36">
        <f t="shared" si="93"/>
        <v>9</v>
      </c>
      <c r="O219" s="36">
        <f t="shared" si="94"/>
        <v>2021</v>
      </c>
      <c r="Q219" s="51"/>
      <c r="R219" s="63">
        <v>560</v>
      </c>
      <c r="S219" s="48">
        <f>R219*(1+10.7143%)</f>
        <v>620.00008000000003</v>
      </c>
      <c r="T219" s="48">
        <f>6*S219</f>
        <v>3720.0004800000002</v>
      </c>
      <c r="V219" s="54" t="s">
        <v>2029</v>
      </c>
      <c r="Y219" s="82">
        <v>44656</v>
      </c>
      <c r="Z219" s="51">
        <f t="shared" si="85"/>
        <v>5</v>
      </c>
      <c r="AA219" s="51">
        <f t="shared" si="86"/>
        <v>4</v>
      </c>
      <c r="AB219" s="51">
        <f t="shared" si="87"/>
        <v>2022</v>
      </c>
    </row>
    <row r="220" spans="1:28">
      <c r="A220" s="133" t="s">
        <v>1915</v>
      </c>
      <c r="B220" s="46">
        <v>30600641</v>
      </c>
      <c r="C220" s="81">
        <v>28940804848</v>
      </c>
      <c r="D220" s="36" t="s">
        <v>1916</v>
      </c>
      <c r="E220" s="36" t="s">
        <v>1917</v>
      </c>
      <c r="F220" s="37" t="s">
        <v>1918</v>
      </c>
      <c r="G220" s="36" t="s">
        <v>108</v>
      </c>
      <c r="H220" s="129" t="s">
        <v>1936</v>
      </c>
      <c r="I220" s="2" t="s">
        <v>1937</v>
      </c>
      <c r="J220" s="36" t="s">
        <v>753</v>
      </c>
      <c r="K220" s="36">
        <v>1</v>
      </c>
      <c r="L220" s="56">
        <v>44419</v>
      </c>
      <c r="M220" s="36">
        <f t="shared" si="92"/>
        <v>11</v>
      </c>
      <c r="N220" s="36">
        <f t="shared" si="93"/>
        <v>8</v>
      </c>
      <c r="O220" s="36">
        <f t="shared" si="94"/>
        <v>2021</v>
      </c>
      <c r="Q220" s="51"/>
      <c r="R220" s="63">
        <v>560</v>
      </c>
      <c r="S220" s="48">
        <f>R220*(1+10.7143%)</f>
        <v>620.00008000000003</v>
      </c>
      <c r="T220" s="48">
        <f>6*S220</f>
        <v>3720.0004800000002</v>
      </c>
      <c r="V220" s="54" t="s">
        <v>2029</v>
      </c>
      <c r="Y220" s="82">
        <v>44658</v>
      </c>
      <c r="Z220" s="51">
        <f t="shared" si="85"/>
        <v>7</v>
      </c>
      <c r="AA220" s="51">
        <f t="shared" si="86"/>
        <v>4</v>
      </c>
      <c r="AB220" s="51">
        <f t="shared" si="87"/>
        <v>2022</v>
      </c>
    </row>
    <row r="221" spans="1:28">
      <c r="A221" s="133" t="s">
        <v>546</v>
      </c>
      <c r="B221" s="46">
        <v>261831173</v>
      </c>
      <c r="C221" s="37" t="s">
        <v>547</v>
      </c>
      <c r="D221" s="37" t="s">
        <v>2000</v>
      </c>
      <c r="E221" s="36" t="s">
        <v>2001</v>
      </c>
      <c r="F221" s="36" t="s">
        <v>548</v>
      </c>
      <c r="G221" s="36" t="s">
        <v>108</v>
      </c>
      <c r="H221" s="36" t="s">
        <v>549</v>
      </c>
      <c r="I221" s="2" t="s">
        <v>2019</v>
      </c>
      <c r="J221" s="36" t="s">
        <v>1153</v>
      </c>
      <c r="K221" s="36">
        <v>1</v>
      </c>
      <c r="L221" s="56">
        <v>44512</v>
      </c>
      <c r="M221" s="36">
        <f t="shared" si="92"/>
        <v>12</v>
      </c>
      <c r="N221" s="36">
        <f t="shared" si="93"/>
        <v>11</v>
      </c>
      <c r="O221" s="36">
        <f t="shared" si="94"/>
        <v>2021</v>
      </c>
      <c r="Q221" s="51"/>
      <c r="R221" s="63">
        <v>560</v>
      </c>
      <c r="S221" s="48">
        <v>620</v>
      </c>
      <c r="T221" s="48">
        <f>3*S221</f>
        <v>1860</v>
      </c>
      <c r="V221" s="54" t="s">
        <v>2029</v>
      </c>
      <c r="Y221" s="146">
        <v>44653</v>
      </c>
      <c r="Z221" s="51">
        <f t="shared" si="85"/>
        <v>2</v>
      </c>
      <c r="AA221" s="51">
        <f t="shared" si="86"/>
        <v>4</v>
      </c>
      <c r="AB221" s="51">
        <f t="shared" si="87"/>
        <v>2022</v>
      </c>
    </row>
    <row r="222" spans="1:28">
      <c r="A222" s="133" t="s">
        <v>2043</v>
      </c>
      <c r="B222" s="145">
        <v>209664564</v>
      </c>
      <c r="C222" s="36" t="s">
        <v>2044</v>
      </c>
      <c r="D222" s="36" t="s">
        <v>2045</v>
      </c>
      <c r="E222" s="36" t="s">
        <v>2046</v>
      </c>
      <c r="F222" s="36" t="s">
        <v>270</v>
      </c>
      <c r="G222" s="36" t="s">
        <v>108</v>
      </c>
      <c r="H222" s="36" t="s">
        <v>2047</v>
      </c>
      <c r="I222" s="52" t="s">
        <v>2048</v>
      </c>
      <c r="J222" s="36" t="s">
        <v>2049</v>
      </c>
      <c r="K222" s="36">
        <v>1</v>
      </c>
      <c r="L222" s="47">
        <v>44549</v>
      </c>
      <c r="M222" s="36">
        <f t="shared" si="92"/>
        <v>19</v>
      </c>
      <c r="N222" s="36">
        <f t="shared" si="93"/>
        <v>12</v>
      </c>
      <c r="O222" s="36">
        <f t="shared" si="94"/>
        <v>2021</v>
      </c>
      <c r="P222" s="48"/>
      <c r="Q222" s="48"/>
      <c r="R222" s="48"/>
      <c r="S222" s="48">
        <v>620</v>
      </c>
      <c r="T222" s="48">
        <f>4*S222</f>
        <v>2480</v>
      </c>
      <c r="U222" s="54" t="s">
        <v>2058</v>
      </c>
      <c r="V222" s="54" t="s">
        <v>2029</v>
      </c>
      <c r="W222" s="51"/>
      <c r="X222" s="51"/>
      <c r="Y222" s="67">
        <v>44670</v>
      </c>
      <c r="Z222" s="51">
        <f t="shared" si="85"/>
        <v>19</v>
      </c>
      <c r="AA222" s="51">
        <f t="shared" si="86"/>
        <v>4</v>
      </c>
      <c r="AB222" s="51">
        <f t="shared" si="87"/>
        <v>2022</v>
      </c>
    </row>
    <row r="223" spans="1:28">
      <c r="A223" s="133" t="s">
        <v>2007</v>
      </c>
      <c r="B223" s="46">
        <v>261972698</v>
      </c>
      <c r="C223" s="37" t="s">
        <v>2008</v>
      </c>
      <c r="D223" s="37" t="s">
        <v>2009</v>
      </c>
      <c r="E223" s="36" t="s">
        <v>2010</v>
      </c>
      <c r="F223" s="36" t="s">
        <v>2011</v>
      </c>
      <c r="G223" s="36" t="s">
        <v>108</v>
      </c>
      <c r="H223" s="36" t="s">
        <v>2012</v>
      </c>
      <c r="I223" s="2" t="s">
        <v>2024</v>
      </c>
      <c r="J223" s="36" t="s">
        <v>2013</v>
      </c>
      <c r="K223" s="36">
        <v>1</v>
      </c>
      <c r="L223" s="56">
        <v>44535</v>
      </c>
      <c r="M223" s="36">
        <f t="shared" si="92"/>
        <v>5</v>
      </c>
      <c r="N223" s="36">
        <f t="shared" si="93"/>
        <v>12</v>
      </c>
      <c r="O223" s="36">
        <f t="shared" si="94"/>
        <v>2021</v>
      </c>
      <c r="Q223" s="51"/>
      <c r="R223" s="63">
        <v>560</v>
      </c>
      <c r="S223" s="48">
        <v>620</v>
      </c>
      <c r="T223" s="48">
        <f>3*S223</f>
        <v>1860</v>
      </c>
      <c r="V223" s="54" t="s">
        <v>2029</v>
      </c>
      <c r="Y223" s="67">
        <v>44704</v>
      </c>
      <c r="Z223" s="51">
        <f t="shared" si="85"/>
        <v>23</v>
      </c>
      <c r="AA223" s="51">
        <f t="shared" si="86"/>
        <v>5</v>
      </c>
      <c r="AB223" s="51">
        <f t="shared" si="87"/>
        <v>2022</v>
      </c>
    </row>
    <row r="224" spans="1:28" s="51" customFormat="1">
      <c r="A224" s="133" t="s">
        <v>1821</v>
      </c>
      <c r="B224" s="46">
        <v>465275072</v>
      </c>
      <c r="C224" s="36" t="s">
        <v>1822</v>
      </c>
      <c r="D224" s="36" t="s">
        <v>2208</v>
      </c>
      <c r="E224" s="68" t="s">
        <v>1823</v>
      </c>
      <c r="F224" s="147" t="s">
        <v>1824</v>
      </c>
      <c r="G224" s="36" t="s">
        <v>1825</v>
      </c>
      <c r="H224" s="54" t="s">
        <v>1826</v>
      </c>
      <c r="I224" s="52" t="s">
        <v>1827</v>
      </c>
      <c r="J224" s="36" t="s">
        <v>1828</v>
      </c>
      <c r="K224" s="36">
        <v>1</v>
      </c>
      <c r="L224" s="47">
        <v>44261</v>
      </c>
      <c r="M224" s="36">
        <f t="shared" ref="M224:M230" si="95">DAY(L224)</f>
        <v>6</v>
      </c>
      <c r="N224" s="36">
        <f t="shared" ref="N224:N230" si="96">MONTH(L224)</f>
        <v>3</v>
      </c>
      <c r="O224" s="36">
        <f t="shared" ref="O224:O230" si="97">YEAR(L224)</f>
        <v>2021</v>
      </c>
      <c r="R224" s="63">
        <v>480</v>
      </c>
      <c r="S224" s="48">
        <f>R224*(1+10.7143%)</f>
        <v>531.42863999999997</v>
      </c>
      <c r="T224" s="48">
        <f t="shared" ref="T224:T230" si="98">6*S224</f>
        <v>3188.5718399999996</v>
      </c>
      <c r="V224" s="54" t="s">
        <v>2029</v>
      </c>
      <c r="W224" s="51" t="s">
        <v>1661</v>
      </c>
      <c r="Y224" s="67">
        <v>44703</v>
      </c>
      <c r="Z224" s="51">
        <f t="shared" si="85"/>
        <v>22</v>
      </c>
      <c r="AA224" s="51">
        <f t="shared" si="86"/>
        <v>5</v>
      </c>
      <c r="AB224" s="51">
        <f t="shared" si="87"/>
        <v>2022</v>
      </c>
    </row>
    <row r="225" spans="1:29" s="51" customFormat="1">
      <c r="A225" s="133" t="s">
        <v>2114</v>
      </c>
      <c r="B225" s="46"/>
      <c r="C225" s="36" t="s">
        <v>2115</v>
      </c>
      <c r="D225" s="36" t="s">
        <v>2116</v>
      </c>
      <c r="E225" s="68" t="s">
        <v>2118</v>
      </c>
      <c r="F225" s="147" t="s">
        <v>2119</v>
      </c>
      <c r="G225" s="36" t="s">
        <v>2120</v>
      </c>
      <c r="H225" s="54" t="s">
        <v>2121</v>
      </c>
      <c r="I225" s="52" t="s">
        <v>2117</v>
      </c>
      <c r="J225" s="36" t="s">
        <v>2175</v>
      </c>
      <c r="K225" s="36">
        <v>1</v>
      </c>
      <c r="L225" s="47">
        <v>44664</v>
      </c>
      <c r="M225" s="36">
        <f t="shared" si="95"/>
        <v>13</v>
      </c>
      <c r="N225" s="36">
        <f t="shared" si="96"/>
        <v>4</v>
      </c>
      <c r="O225" s="36">
        <f t="shared" si="97"/>
        <v>2022</v>
      </c>
      <c r="R225" s="63"/>
      <c r="S225" s="48">
        <v>620</v>
      </c>
      <c r="T225" s="48">
        <f t="shared" si="98"/>
        <v>3720</v>
      </c>
      <c r="V225" s="54" t="s">
        <v>2155</v>
      </c>
      <c r="Y225" s="67">
        <v>44780</v>
      </c>
      <c r="Z225" s="51">
        <f t="shared" si="85"/>
        <v>7</v>
      </c>
      <c r="AA225" s="51">
        <f t="shared" si="86"/>
        <v>8</v>
      </c>
      <c r="AB225" s="51">
        <f t="shared" si="87"/>
        <v>2022</v>
      </c>
    </row>
    <row r="226" spans="1:29">
      <c r="A226" s="45" t="s">
        <v>2156</v>
      </c>
      <c r="B226" s="57">
        <v>54606721</v>
      </c>
      <c r="C226" s="37" t="s">
        <v>2157</v>
      </c>
      <c r="D226" s="37" t="s">
        <v>2158</v>
      </c>
      <c r="E226" s="37" t="s">
        <v>2159</v>
      </c>
      <c r="F226" s="37" t="s">
        <v>2160</v>
      </c>
      <c r="G226" s="36" t="s">
        <v>1362</v>
      </c>
      <c r="H226" s="37" t="s">
        <v>2161</v>
      </c>
      <c r="I226" s="2" t="s">
        <v>2162</v>
      </c>
      <c r="J226" s="36" t="s">
        <v>2163</v>
      </c>
      <c r="K226" s="36">
        <v>1</v>
      </c>
      <c r="L226" s="56">
        <v>44736</v>
      </c>
      <c r="M226" s="36">
        <f t="shared" si="95"/>
        <v>24</v>
      </c>
      <c r="N226" s="36">
        <f t="shared" si="96"/>
        <v>6</v>
      </c>
      <c r="O226" s="36">
        <f t="shared" si="97"/>
        <v>2022</v>
      </c>
      <c r="Q226" s="51"/>
      <c r="R226" s="51"/>
      <c r="S226" s="70">
        <v>620</v>
      </c>
      <c r="T226" s="48">
        <f t="shared" si="98"/>
        <v>3720</v>
      </c>
      <c r="V226" s="54" t="s">
        <v>2155</v>
      </c>
      <c r="Y226" s="67">
        <v>44793</v>
      </c>
      <c r="Z226" s="51">
        <f t="shared" si="85"/>
        <v>20</v>
      </c>
      <c r="AA226" s="51">
        <f t="shared" si="86"/>
        <v>8</v>
      </c>
      <c r="AB226" s="51">
        <f t="shared" si="87"/>
        <v>2022</v>
      </c>
    </row>
    <row r="227" spans="1:29">
      <c r="A227" s="148" t="s">
        <v>2122</v>
      </c>
      <c r="B227" s="57">
        <v>283749362</v>
      </c>
      <c r="C227" s="37" t="s">
        <v>2123</v>
      </c>
      <c r="D227" s="37" t="s">
        <v>2124</v>
      </c>
      <c r="E227" s="37" t="s">
        <v>2125</v>
      </c>
      <c r="F227" s="37" t="s">
        <v>2126</v>
      </c>
      <c r="G227" s="37" t="s">
        <v>857</v>
      </c>
      <c r="H227" s="68" t="s">
        <v>2127</v>
      </c>
      <c r="I227" s="2" t="s">
        <v>2128</v>
      </c>
      <c r="J227" s="36" t="s">
        <v>2129</v>
      </c>
      <c r="K227" s="36">
        <v>2</v>
      </c>
      <c r="L227" s="56">
        <v>44702</v>
      </c>
      <c r="M227" s="36">
        <f t="shared" si="95"/>
        <v>21</v>
      </c>
      <c r="N227" s="36">
        <f t="shared" si="96"/>
        <v>5</v>
      </c>
      <c r="O227" s="36">
        <f t="shared" si="97"/>
        <v>2022</v>
      </c>
      <c r="Q227" s="51"/>
      <c r="R227" s="51"/>
      <c r="S227" s="70">
        <v>1200</v>
      </c>
      <c r="T227" s="48">
        <f t="shared" si="98"/>
        <v>7200</v>
      </c>
      <c r="V227" s="54" t="s">
        <v>2155</v>
      </c>
      <c r="Y227" s="67">
        <v>44796</v>
      </c>
      <c r="Z227" s="51">
        <f t="shared" si="85"/>
        <v>23</v>
      </c>
      <c r="AA227" s="51">
        <f t="shared" si="86"/>
        <v>8</v>
      </c>
      <c r="AB227" s="51">
        <f t="shared" si="87"/>
        <v>2022</v>
      </c>
    </row>
    <row r="228" spans="1:29">
      <c r="A228" s="148" t="s">
        <v>2130</v>
      </c>
      <c r="B228" s="57">
        <v>33772313</v>
      </c>
      <c r="C228" s="37" t="s">
        <v>2131</v>
      </c>
      <c r="D228" s="37" t="s">
        <v>2132</v>
      </c>
      <c r="E228" s="37" t="s">
        <v>2133</v>
      </c>
      <c r="F228" s="37" t="s">
        <v>2134</v>
      </c>
      <c r="G228" s="37" t="s">
        <v>857</v>
      </c>
      <c r="H228" s="68" t="s">
        <v>2135</v>
      </c>
      <c r="I228" s="2" t="s">
        <v>2151</v>
      </c>
      <c r="J228" s="36" t="s">
        <v>2136</v>
      </c>
      <c r="K228" s="36">
        <v>1</v>
      </c>
      <c r="L228" s="56">
        <v>44707</v>
      </c>
      <c r="M228" s="36">
        <f t="shared" si="95"/>
        <v>26</v>
      </c>
      <c r="N228" s="36">
        <f t="shared" si="96"/>
        <v>5</v>
      </c>
      <c r="O228" s="36">
        <f t="shared" si="97"/>
        <v>2022</v>
      </c>
      <c r="Q228" s="51"/>
      <c r="R228" s="51"/>
      <c r="S228" s="70">
        <v>620</v>
      </c>
      <c r="T228" s="48">
        <f t="shared" si="98"/>
        <v>3720</v>
      </c>
      <c r="V228" s="54" t="s">
        <v>2155</v>
      </c>
      <c r="Y228" s="67">
        <v>44797</v>
      </c>
      <c r="Z228" s="51">
        <f t="shared" si="85"/>
        <v>24</v>
      </c>
      <c r="AA228" s="51">
        <f t="shared" si="86"/>
        <v>8</v>
      </c>
      <c r="AB228" s="51">
        <f t="shared" si="87"/>
        <v>2022</v>
      </c>
    </row>
    <row r="229" spans="1:29">
      <c r="A229" s="149" t="s">
        <v>2137</v>
      </c>
      <c r="B229" s="37" t="s">
        <v>2138</v>
      </c>
      <c r="C229" s="37" t="s">
        <v>2139</v>
      </c>
      <c r="D229" s="57">
        <v>1130623453</v>
      </c>
      <c r="E229" s="37" t="s">
        <v>2140</v>
      </c>
      <c r="F229" s="36" t="s">
        <v>2141</v>
      </c>
      <c r="G229" s="37" t="s">
        <v>857</v>
      </c>
      <c r="H229" s="37" t="s">
        <v>2142</v>
      </c>
      <c r="I229" s="2" t="s">
        <v>2152</v>
      </c>
      <c r="J229" s="36" t="s">
        <v>2143</v>
      </c>
      <c r="K229" s="36">
        <v>1</v>
      </c>
      <c r="L229" s="56">
        <v>44714</v>
      </c>
      <c r="M229" s="36">
        <f t="shared" si="95"/>
        <v>2</v>
      </c>
      <c r="N229" s="36">
        <f t="shared" si="96"/>
        <v>6</v>
      </c>
      <c r="O229" s="36">
        <f t="shared" si="97"/>
        <v>2022</v>
      </c>
      <c r="Q229" s="51"/>
      <c r="R229" s="51"/>
      <c r="S229" s="70">
        <v>620</v>
      </c>
      <c r="T229" s="48">
        <f t="shared" si="98"/>
        <v>3720</v>
      </c>
      <c r="U229" s="18" t="s">
        <v>2144</v>
      </c>
      <c r="V229" s="126" t="s">
        <v>2153</v>
      </c>
      <c r="Y229" s="67">
        <v>44753</v>
      </c>
      <c r="Z229" s="51">
        <f t="shared" si="85"/>
        <v>11</v>
      </c>
      <c r="AA229" s="51">
        <f t="shared" si="86"/>
        <v>7</v>
      </c>
      <c r="AB229" s="51">
        <f t="shared" si="87"/>
        <v>2022</v>
      </c>
    </row>
    <row r="230" spans="1:29">
      <c r="A230" s="45" t="s">
        <v>1736</v>
      </c>
      <c r="B230" s="57">
        <v>43696603</v>
      </c>
      <c r="C230" s="37" t="s">
        <v>1737</v>
      </c>
      <c r="D230" s="37" t="s">
        <v>1738</v>
      </c>
      <c r="E230" s="37" t="s">
        <v>1739</v>
      </c>
      <c r="F230" s="18" t="s">
        <v>1740</v>
      </c>
      <c r="G230" s="36" t="s">
        <v>1741</v>
      </c>
      <c r="H230" s="37" t="s">
        <v>1742</v>
      </c>
      <c r="I230" s="2" t="s">
        <v>1772</v>
      </c>
      <c r="J230" s="36" t="s">
        <v>2197</v>
      </c>
      <c r="K230" s="36">
        <v>1</v>
      </c>
      <c r="L230" s="56">
        <v>44173</v>
      </c>
      <c r="M230" s="36">
        <f t="shared" si="95"/>
        <v>8</v>
      </c>
      <c r="N230" s="36">
        <f t="shared" si="96"/>
        <v>12</v>
      </c>
      <c r="O230" s="36">
        <f t="shared" si="97"/>
        <v>2020</v>
      </c>
      <c r="Q230" s="63">
        <v>1160</v>
      </c>
      <c r="R230" s="48">
        <f>Q230</f>
        <v>1160</v>
      </c>
      <c r="S230" s="48">
        <f>R230*(1+10.7143%)</f>
        <v>1284.2858799999999</v>
      </c>
      <c r="T230" s="48">
        <f t="shared" si="98"/>
        <v>7705.7152799999994</v>
      </c>
      <c r="U230" s="61"/>
      <c r="V230" s="54" t="s">
        <v>2155</v>
      </c>
      <c r="W230" t="s">
        <v>1668</v>
      </c>
      <c r="Y230" s="67">
        <v>44807</v>
      </c>
      <c r="Z230" s="51">
        <f t="shared" si="85"/>
        <v>3</v>
      </c>
      <c r="AA230" s="51">
        <f t="shared" si="86"/>
        <v>9</v>
      </c>
      <c r="AB230" s="51">
        <f t="shared" si="87"/>
        <v>2022</v>
      </c>
    </row>
    <row r="231" spans="1:29">
      <c r="A231" s="45" t="s">
        <v>2059</v>
      </c>
      <c r="B231" s="46">
        <v>221483998</v>
      </c>
      <c r="C231" s="37" t="s">
        <v>2060</v>
      </c>
      <c r="D231" s="37" t="s">
        <v>2061</v>
      </c>
      <c r="E231" s="36" t="s">
        <v>2066</v>
      </c>
      <c r="F231" s="36" t="s">
        <v>2062</v>
      </c>
      <c r="G231" s="36" t="s">
        <v>108</v>
      </c>
      <c r="H231" s="36" t="s">
        <v>2063</v>
      </c>
      <c r="I231" s="2" t="s">
        <v>2064</v>
      </c>
      <c r="J231" s="36" t="s">
        <v>2065</v>
      </c>
      <c r="K231" s="36">
        <v>1</v>
      </c>
      <c r="L231" s="56">
        <v>44569</v>
      </c>
      <c r="M231" s="36">
        <f t="shared" ref="M231:M237" si="99">DAY(L231)</f>
        <v>8</v>
      </c>
      <c r="N231" s="36">
        <f t="shared" ref="N231:N237" si="100">MONTH(L231)</f>
        <v>1</v>
      </c>
      <c r="O231" s="36">
        <f t="shared" ref="O231:O237" si="101">YEAR(L231)</f>
        <v>2022</v>
      </c>
      <c r="Q231" s="51"/>
      <c r="R231" s="63"/>
      <c r="S231" s="48">
        <v>620</v>
      </c>
      <c r="T231" s="48">
        <f>6*S231</f>
        <v>3720</v>
      </c>
      <c r="V231" s="54" t="s">
        <v>2155</v>
      </c>
      <c r="Y231" s="67">
        <v>44827</v>
      </c>
      <c r="Z231" s="51">
        <f t="shared" si="85"/>
        <v>23</v>
      </c>
      <c r="AA231" s="51">
        <f t="shared" si="86"/>
        <v>9</v>
      </c>
      <c r="AB231" s="51">
        <f t="shared" si="87"/>
        <v>2022</v>
      </c>
    </row>
    <row r="232" spans="1:29">
      <c r="A232" s="45" t="s">
        <v>1626</v>
      </c>
      <c r="B232" s="129">
        <v>7729555</v>
      </c>
      <c r="C232" s="86" t="s">
        <v>1627</v>
      </c>
      <c r="D232" s="64">
        <v>11981754456</v>
      </c>
      <c r="E232" s="72" t="s">
        <v>1628</v>
      </c>
      <c r="F232" s="72" t="s">
        <v>441</v>
      </c>
      <c r="G232" s="36" t="s">
        <v>108</v>
      </c>
      <c r="H232" s="72" t="s">
        <v>1629</v>
      </c>
      <c r="I232" s="130" t="s">
        <v>1630</v>
      </c>
      <c r="J232" s="36" t="s">
        <v>1631</v>
      </c>
      <c r="K232" s="36">
        <v>1</v>
      </c>
      <c r="L232" s="56">
        <v>43982</v>
      </c>
      <c r="M232" s="36">
        <f t="shared" si="99"/>
        <v>31</v>
      </c>
      <c r="N232" s="36">
        <f t="shared" si="100"/>
        <v>5</v>
      </c>
      <c r="O232" s="36">
        <f t="shared" si="101"/>
        <v>2020</v>
      </c>
      <c r="Q232" s="63">
        <v>480</v>
      </c>
      <c r="R232" s="48">
        <f>Q232*1.05660377+30</f>
        <v>537.16980960000001</v>
      </c>
      <c r="S232" s="143">
        <f>R232*(1+10.7143%)</f>
        <v>594.72379450997278</v>
      </c>
      <c r="T232" s="48">
        <f>6*S232</f>
        <v>3568.3427670598367</v>
      </c>
      <c r="V232" s="54" t="s">
        <v>2155</v>
      </c>
      <c r="Y232" s="67">
        <v>44827</v>
      </c>
      <c r="Z232" s="51">
        <f t="shared" si="85"/>
        <v>23</v>
      </c>
      <c r="AA232" s="51">
        <f t="shared" si="86"/>
        <v>9</v>
      </c>
      <c r="AB232" s="51">
        <f t="shared" si="87"/>
        <v>2022</v>
      </c>
    </row>
    <row r="233" spans="1:29" s="51" customFormat="1">
      <c r="A233" s="45" t="s">
        <v>2094</v>
      </c>
      <c r="B233" s="46">
        <v>349903773</v>
      </c>
      <c r="C233" s="46" t="s">
        <v>2095</v>
      </c>
      <c r="D233" s="36">
        <v>11991101724</v>
      </c>
      <c r="E233" s="36" t="s">
        <v>2101</v>
      </c>
      <c r="F233" s="36" t="s">
        <v>2096</v>
      </c>
      <c r="G233" s="36" t="s">
        <v>2097</v>
      </c>
      <c r="H233" s="68" t="s">
        <v>2098</v>
      </c>
      <c r="I233" s="52" t="s">
        <v>2102</v>
      </c>
      <c r="J233" s="36" t="s">
        <v>2099</v>
      </c>
      <c r="K233" s="36">
        <v>2</v>
      </c>
      <c r="L233" s="47">
        <v>44629</v>
      </c>
      <c r="M233" s="36">
        <f t="shared" si="99"/>
        <v>9</v>
      </c>
      <c r="N233" s="36">
        <f t="shared" si="100"/>
        <v>3</v>
      </c>
      <c r="O233" s="36">
        <f t="shared" si="101"/>
        <v>2022</v>
      </c>
      <c r="S233" s="48">
        <v>1180</v>
      </c>
      <c r="T233" s="48">
        <f>6*S233</f>
        <v>7080</v>
      </c>
      <c r="V233" s="54" t="s">
        <v>2155</v>
      </c>
      <c r="Y233" s="67">
        <v>44844</v>
      </c>
      <c r="Z233" s="51">
        <f t="shared" si="85"/>
        <v>10</v>
      </c>
      <c r="AA233" s="51">
        <f t="shared" si="86"/>
        <v>10</v>
      </c>
      <c r="AB233" s="51">
        <f t="shared" si="87"/>
        <v>2022</v>
      </c>
    </row>
    <row r="234" spans="1:29" s="51" customFormat="1">
      <c r="A234" s="45" t="s">
        <v>2072</v>
      </c>
      <c r="B234" s="46">
        <v>18610977</v>
      </c>
      <c r="C234" s="36" t="s">
        <v>2073</v>
      </c>
      <c r="D234" s="36" t="s">
        <v>2074</v>
      </c>
      <c r="E234" s="68" t="s">
        <v>2075</v>
      </c>
      <c r="F234" s="36" t="s">
        <v>2076</v>
      </c>
      <c r="G234" s="36" t="s">
        <v>108</v>
      </c>
      <c r="H234" s="36" t="s">
        <v>2077</v>
      </c>
      <c r="I234" s="52" t="s">
        <v>2078</v>
      </c>
      <c r="J234" s="36" t="s">
        <v>2079</v>
      </c>
      <c r="K234" s="36">
        <v>1</v>
      </c>
      <c r="L234" s="47">
        <v>44613</v>
      </c>
      <c r="M234" s="36">
        <f t="shared" si="99"/>
        <v>21</v>
      </c>
      <c r="N234" s="36">
        <f t="shared" si="100"/>
        <v>2</v>
      </c>
      <c r="O234" s="36">
        <f t="shared" si="101"/>
        <v>2022</v>
      </c>
      <c r="S234" s="48">
        <v>620</v>
      </c>
      <c r="T234" s="48">
        <f>6*S234</f>
        <v>3720</v>
      </c>
      <c r="V234" s="54" t="s">
        <v>2155</v>
      </c>
      <c r="Y234" s="67">
        <v>44914</v>
      </c>
      <c r="Z234" s="51">
        <f t="shared" si="85"/>
        <v>19</v>
      </c>
      <c r="AA234" s="51">
        <f t="shared" si="86"/>
        <v>12</v>
      </c>
      <c r="AB234" s="51">
        <f t="shared" si="87"/>
        <v>2022</v>
      </c>
    </row>
    <row r="235" spans="1:29">
      <c r="A235" s="45" t="s">
        <v>2221</v>
      </c>
      <c r="C235" s="37" t="s">
        <v>2222</v>
      </c>
      <c r="D235" s="37" t="s">
        <v>2223</v>
      </c>
      <c r="E235" s="37" t="s">
        <v>2224</v>
      </c>
      <c r="F235" s="37" t="s">
        <v>2225</v>
      </c>
      <c r="G235" s="37" t="s">
        <v>108</v>
      </c>
      <c r="H235" s="64" t="s">
        <v>2231</v>
      </c>
      <c r="I235" t="s">
        <v>2226</v>
      </c>
      <c r="J235" s="36" t="s">
        <v>2227</v>
      </c>
      <c r="K235" s="36">
        <v>1</v>
      </c>
      <c r="L235" s="75">
        <v>44887</v>
      </c>
      <c r="M235" s="36">
        <f t="shared" si="99"/>
        <v>22</v>
      </c>
      <c r="N235" s="36">
        <f t="shared" si="100"/>
        <v>11</v>
      </c>
      <c r="O235" s="36">
        <f t="shared" si="101"/>
        <v>2022</v>
      </c>
      <c r="Q235" s="51"/>
      <c r="R235" s="51"/>
      <c r="S235" s="70">
        <v>620</v>
      </c>
      <c r="T235" s="59">
        <f>1*S235</f>
        <v>620</v>
      </c>
      <c r="V235" s="54" t="s">
        <v>2229</v>
      </c>
      <c r="Y235" s="67">
        <v>44897</v>
      </c>
      <c r="Z235" s="51">
        <f t="shared" si="85"/>
        <v>2</v>
      </c>
      <c r="AA235" s="51">
        <f t="shared" si="86"/>
        <v>12</v>
      </c>
      <c r="AB235" s="51">
        <f t="shared" si="87"/>
        <v>2022</v>
      </c>
    </row>
    <row r="236" spans="1:29">
      <c r="A236" s="45" t="s">
        <v>2114</v>
      </c>
      <c r="C236" s="46" t="s">
        <v>2115</v>
      </c>
      <c r="D236" s="36" t="s">
        <v>2116</v>
      </c>
      <c r="E236" s="36" t="s">
        <v>2118</v>
      </c>
      <c r="F236" s="36" t="s">
        <v>2119</v>
      </c>
      <c r="G236" s="36" t="s">
        <v>2120</v>
      </c>
      <c r="H236" s="64" t="s">
        <v>2121</v>
      </c>
      <c r="I236" s="2" t="s">
        <v>2117</v>
      </c>
      <c r="J236" s="36" t="s">
        <v>2166</v>
      </c>
      <c r="K236" s="36">
        <v>1</v>
      </c>
      <c r="L236" s="56">
        <v>44664</v>
      </c>
      <c r="M236" s="36">
        <f t="shared" si="99"/>
        <v>13</v>
      </c>
      <c r="N236" s="36">
        <f t="shared" si="100"/>
        <v>4</v>
      </c>
      <c r="O236" s="36">
        <f t="shared" si="101"/>
        <v>2022</v>
      </c>
      <c r="Q236" s="51"/>
      <c r="R236" s="51"/>
      <c r="S236" s="48">
        <v>620</v>
      </c>
      <c r="T236" s="48">
        <f>6*S236</f>
        <v>3720</v>
      </c>
      <c r="V236" s="54" t="s">
        <v>2155</v>
      </c>
      <c r="Y236" s="67">
        <v>44904</v>
      </c>
      <c r="Z236" s="51">
        <f t="shared" si="85"/>
        <v>9</v>
      </c>
      <c r="AA236" s="51">
        <f t="shared" si="86"/>
        <v>12</v>
      </c>
      <c r="AB236" s="51">
        <f t="shared" si="87"/>
        <v>2022</v>
      </c>
    </row>
    <row r="237" spans="1:29">
      <c r="A237" s="45" t="s">
        <v>1580</v>
      </c>
      <c r="B237" s="42">
        <v>323209695</v>
      </c>
      <c r="C237" s="86" t="s">
        <v>1581</v>
      </c>
      <c r="D237" s="37" t="s">
        <v>1585</v>
      </c>
      <c r="E237" s="37" t="s">
        <v>1582</v>
      </c>
      <c r="F237" s="36" t="s">
        <v>1583</v>
      </c>
      <c r="G237" s="36" t="s">
        <v>108</v>
      </c>
      <c r="H237" s="57" t="s">
        <v>1584</v>
      </c>
      <c r="I237" t="s">
        <v>1586</v>
      </c>
      <c r="J237" s="36" t="s">
        <v>1038</v>
      </c>
      <c r="K237" s="36">
        <v>1</v>
      </c>
      <c r="L237" s="56">
        <v>43883</v>
      </c>
      <c r="M237" s="36">
        <f t="shared" si="99"/>
        <v>22</v>
      </c>
      <c r="N237" s="36">
        <f t="shared" si="100"/>
        <v>2</v>
      </c>
      <c r="O237" s="36">
        <f t="shared" si="101"/>
        <v>2020</v>
      </c>
      <c r="Q237" s="63">
        <v>480</v>
      </c>
      <c r="R237" s="48">
        <f>Q237*1.05660377+60</f>
        <v>567.16980960000001</v>
      </c>
      <c r="S237" s="143">
        <f>R237*(1+10.7143%)</f>
        <v>627.93808450997278</v>
      </c>
      <c r="T237" s="48">
        <f>6*S237</f>
        <v>3767.6285070598369</v>
      </c>
      <c r="V237" s="54" t="s">
        <v>2155</v>
      </c>
      <c r="Y237" s="67">
        <v>44904</v>
      </c>
      <c r="Z237" s="51">
        <f t="shared" si="85"/>
        <v>9</v>
      </c>
      <c r="AA237" s="51">
        <f t="shared" si="86"/>
        <v>12</v>
      </c>
      <c r="AB237" s="51">
        <f t="shared" si="87"/>
        <v>2022</v>
      </c>
    </row>
    <row r="238" spans="1:29">
      <c r="A238" s="45" t="s">
        <v>262</v>
      </c>
      <c r="B238" s="46">
        <v>18420741</v>
      </c>
      <c r="C238" s="86" t="s">
        <v>459</v>
      </c>
      <c r="D238" s="36" t="s">
        <v>263</v>
      </c>
      <c r="E238" s="36" t="s">
        <v>264</v>
      </c>
      <c r="F238" s="36" t="s">
        <v>265</v>
      </c>
      <c r="G238" s="36" t="s">
        <v>265</v>
      </c>
      <c r="H238" s="51" t="s">
        <v>266</v>
      </c>
      <c r="I238" s="52" t="s">
        <v>2030</v>
      </c>
      <c r="J238" s="36" t="s">
        <v>2258</v>
      </c>
      <c r="K238" s="36">
        <v>1</v>
      </c>
      <c r="L238" s="47">
        <v>41731</v>
      </c>
      <c r="M238" s="36">
        <f t="shared" ref="M238:M243" si="102">DAY(L238)</f>
        <v>2</v>
      </c>
      <c r="N238" s="36">
        <f t="shared" ref="N238:N243" si="103">MONTH(L238)</f>
        <v>4</v>
      </c>
      <c r="O238" s="36">
        <f t="shared" ref="O238:O243" si="104">YEAR(L238)</f>
        <v>2014</v>
      </c>
      <c r="P238" s="48"/>
      <c r="Q238" s="48"/>
      <c r="R238" s="48"/>
      <c r="S238" s="143"/>
      <c r="T238" s="48"/>
      <c r="U238" s="51"/>
      <c r="V238" s="54"/>
      <c r="Y238" s="82">
        <v>44936</v>
      </c>
      <c r="Z238" s="51">
        <f t="shared" si="85"/>
        <v>10</v>
      </c>
      <c r="AA238" s="51">
        <f t="shared" si="86"/>
        <v>1</v>
      </c>
      <c r="AB238" s="51">
        <f t="shared" si="87"/>
        <v>2023</v>
      </c>
    </row>
    <row r="239" spans="1:29">
      <c r="A239" s="45" t="s">
        <v>2216</v>
      </c>
      <c r="C239" s="37" t="s">
        <v>2217</v>
      </c>
      <c r="D239" s="37" t="s">
        <v>2218</v>
      </c>
      <c r="E239" s="37" t="s">
        <v>2259</v>
      </c>
      <c r="F239" s="37" t="s">
        <v>2219</v>
      </c>
      <c r="G239" s="37" t="s">
        <v>108</v>
      </c>
      <c r="H239" s="57">
        <v>1454010</v>
      </c>
      <c r="I239" t="s">
        <v>2220</v>
      </c>
      <c r="J239" s="36" t="s">
        <v>2260</v>
      </c>
      <c r="K239" s="36">
        <v>1</v>
      </c>
      <c r="L239" s="75">
        <v>44884</v>
      </c>
      <c r="M239" s="36">
        <f t="shared" si="102"/>
        <v>19</v>
      </c>
      <c r="N239" s="36">
        <f t="shared" si="103"/>
        <v>11</v>
      </c>
      <c r="O239" s="36">
        <f t="shared" si="104"/>
        <v>2022</v>
      </c>
      <c r="Q239" s="51"/>
      <c r="R239" s="51"/>
      <c r="S239" s="70"/>
      <c r="T239" s="59">
        <f>4*S239</f>
        <v>0</v>
      </c>
      <c r="Y239" s="82">
        <v>44938</v>
      </c>
      <c r="Z239" s="51">
        <f t="shared" si="85"/>
        <v>12</v>
      </c>
      <c r="AA239" s="51">
        <f t="shared" si="86"/>
        <v>1</v>
      </c>
      <c r="AB239" s="51">
        <f t="shared" si="87"/>
        <v>2023</v>
      </c>
    </row>
    <row r="240" spans="1:29">
      <c r="A240" s="45" t="s">
        <v>1906</v>
      </c>
      <c r="B240" s="145">
        <v>38895441</v>
      </c>
      <c r="C240" s="36" t="s">
        <v>1907</v>
      </c>
      <c r="D240" s="36" t="s">
        <v>1908</v>
      </c>
      <c r="E240" s="36" t="s">
        <v>2021</v>
      </c>
      <c r="F240" s="36" t="s">
        <v>2022</v>
      </c>
      <c r="G240" s="36" t="s">
        <v>108</v>
      </c>
      <c r="H240" s="36" t="s">
        <v>2023</v>
      </c>
      <c r="I240" s="52" t="s">
        <v>1944</v>
      </c>
      <c r="J240" s="36" t="s">
        <v>1911</v>
      </c>
      <c r="K240" s="36">
        <v>1</v>
      </c>
      <c r="L240" s="47">
        <v>44532</v>
      </c>
      <c r="M240" s="36">
        <f t="shared" si="102"/>
        <v>2</v>
      </c>
      <c r="N240" s="36">
        <f t="shared" si="103"/>
        <v>12</v>
      </c>
      <c r="O240" s="36">
        <f t="shared" si="104"/>
        <v>2021</v>
      </c>
      <c r="P240" s="48"/>
      <c r="Q240" s="48"/>
      <c r="R240" s="48">
        <v>560</v>
      </c>
      <c r="S240" s="48">
        <f>R240*(1+10.7143%)</f>
        <v>620.00008000000003</v>
      </c>
      <c r="T240" s="50">
        <f>S240*(1+9.677%)</f>
        <v>679.99748774160003</v>
      </c>
      <c r="U240" s="48">
        <f>6*T240+0.02</f>
        <v>4080.0049264496001</v>
      </c>
      <c r="V240" s="54"/>
      <c r="W240" s="54" t="s">
        <v>2247</v>
      </c>
      <c r="X240" s="51"/>
      <c r="Y240" s="82">
        <v>44956</v>
      </c>
      <c r="Z240" s="51">
        <f t="shared" si="85"/>
        <v>30</v>
      </c>
      <c r="AA240" s="51">
        <f t="shared" si="86"/>
        <v>1</v>
      </c>
      <c r="AB240" s="51">
        <f t="shared" si="87"/>
        <v>2023</v>
      </c>
      <c r="AC240" s="51"/>
    </row>
    <row r="241" spans="1:28">
      <c r="A241" s="98" t="s">
        <v>2232</v>
      </c>
      <c r="C241" s="37" t="s">
        <v>2233</v>
      </c>
      <c r="D241" s="37" t="s">
        <v>2234</v>
      </c>
      <c r="E241" s="37" t="s">
        <v>2235</v>
      </c>
      <c r="F241" s="37" t="s">
        <v>2236</v>
      </c>
      <c r="G241" s="37" t="s">
        <v>1362</v>
      </c>
      <c r="H241" s="57" t="s">
        <v>2249</v>
      </c>
      <c r="I241" t="s">
        <v>2237</v>
      </c>
      <c r="J241" s="36" t="s">
        <v>2238</v>
      </c>
      <c r="K241" s="36">
        <v>1</v>
      </c>
      <c r="L241" s="56">
        <v>44902</v>
      </c>
      <c r="M241" s="36">
        <f t="shared" si="102"/>
        <v>7</v>
      </c>
      <c r="N241" s="36">
        <f t="shared" si="103"/>
        <v>12</v>
      </c>
      <c r="O241" s="36">
        <f t="shared" si="104"/>
        <v>2022</v>
      </c>
      <c r="Q241" s="51"/>
      <c r="R241" s="51"/>
      <c r="S241" s="70">
        <v>620</v>
      </c>
      <c r="T241" s="150">
        <f>S241</f>
        <v>620</v>
      </c>
      <c r="U241" s="59">
        <f>2*S241</f>
        <v>1240</v>
      </c>
      <c r="W241" s="103" t="s">
        <v>2248</v>
      </c>
      <c r="Y241" s="82">
        <v>44961</v>
      </c>
      <c r="Z241" s="51">
        <f t="shared" si="85"/>
        <v>4</v>
      </c>
      <c r="AA241" s="51">
        <f t="shared" si="86"/>
        <v>2</v>
      </c>
      <c r="AB241" s="51">
        <f t="shared" si="87"/>
        <v>2023</v>
      </c>
    </row>
    <row r="242" spans="1:28" s="51" customFormat="1">
      <c r="A242" s="45" t="s">
        <v>2080</v>
      </c>
      <c r="B242" s="46">
        <v>26225822</v>
      </c>
      <c r="C242" s="46" t="s">
        <v>2091</v>
      </c>
      <c r="D242" s="36" t="s">
        <v>2081</v>
      </c>
      <c r="E242" s="36" t="s">
        <v>2082</v>
      </c>
      <c r="F242" s="36" t="s">
        <v>2083</v>
      </c>
      <c r="G242" s="36" t="s">
        <v>857</v>
      </c>
      <c r="H242" s="68">
        <v>5527080</v>
      </c>
      <c r="I242" s="52" t="s">
        <v>2093</v>
      </c>
      <c r="J242" s="36" t="s">
        <v>2084</v>
      </c>
      <c r="K242" s="36">
        <v>1</v>
      </c>
      <c r="L242" s="47">
        <v>44593</v>
      </c>
      <c r="M242" s="36">
        <f t="shared" si="102"/>
        <v>1</v>
      </c>
      <c r="N242" s="36">
        <f t="shared" si="103"/>
        <v>2</v>
      </c>
      <c r="O242" s="36">
        <f t="shared" si="104"/>
        <v>2022</v>
      </c>
      <c r="S242" s="48">
        <v>620</v>
      </c>
      <c r="T242" s="50">
        <f>S242*(1+9.677%)</f>
        <v>679.99739999999997</v>
      </c>
      <c r="U242" s="48">
        <f>6*T242+0.02</f>
        <v>4080.0043999999998</v>
      </c>
      <c r="W242" s="54" t="s">
        <v>2247</v>
      </c>
      <c r="Y242" s="67">
        <v>44985</v>
      </c>
      <c r="Z242" s="51">
        <f t="shared" si="85"/>
        <v>28</v>
      </c>
      <c r="AA242" s="51">
        <f t="shared" si="86"/>
        <v>2</v>
      </c>
      <c r="AB242" s="51">
        <f t="shared" si="87"/>
        <v>2023</v>
      </c>
    </row>
    <row r="243" spans="1:28" s="51" customFormat="1">
      <c r="A243" s="45" t="s">
        <v>2085</v>
      </c>
      <c r="B243" s="46">
        <v>393931006</v>
      </c>
      <c r="C243" s="46" t="s">
        <v>2092</v>
      </c>
      <c r="D243" s="36" t="s">
        <v>2086</v>
      </c>
      <c r="E243" s="36" t="s">
        <v>2087</v>
      </c>
      <c r="F243" s="36" t="s">
        <v>2088</v>
      </c>
      <c r="G243" s="36" t="s">
        <v>1229</v>
      </c>
      <c r="H243" s="68" t="s">
        <v>2089</v>
      </c>
      <c r="I243" s="52" t="s">
        <v>2090</v>
      </c>
      <c r="J243" s="36" t="s">
        <v>2269</v>
      </c>
      <c r="K243" s="36">
        <v>1</v>
      </c>
      <c r="L243" s="47">
        <v>44621</v>
      </c>
      <c r="M243" s="36">
        <f t="shared" si="102"/>
        <v>1</v>
      </c>
      <c r="N243" s="36">
        <f t="shared" si="103"/>
        <v>3</v>
      </c>
      <c r="O243" s="36">
        <f t="shared" si="104"/>
        <v>2022</v>
      </c>
      <c r="S243" s="48">
        <v>600</v>
      </c>
      <c r="T243" s="50">
        <f>S243*(1+9.677%)</f>
        <v>658.06200000000001</v>
      </c>
      <c r="U243" s="48">
        <f>6*T243</f>
        <v>3948.3720000000003</v>
      </c>
      <c r="W243" s="54" t="s">
        <v>2247</v>
      </c>
      <c r="Y243" s="67">
        <v>44987</v>
      </c>
      <c r="Z243" s="51">
        <f t="shared" si="85"/>
        <v>2</v>
      </c>
      <c r="AA243" s="51">
        <f t="shared" si="86"/>
        <v>3</v>
      </c>
      <c r="AB243" s="51">
        <f t="shared" si="87"/>
        <v>2023</v>
      </c>
    </row>
    <row r="244" spans="1:28">
      <c r="A244" s="98" t="s">
        <v>2251</v>
      </c>
      <c r="C244" s="37" t="s">
        <v>2252</v>
      </c>
      <c r="D244" s="37" t="s">
        <v>2253</v>
      </c>
      <c r="E244" s="37" t="s">
        <v>2254</v>
      </c>
      <c r="F244" s="37" t="s">
        <v>297</v>
      </c>
      <c r="G244" s="37" t="s">
        <v>108</v>
      </c>
      <c r="H244" s="37" t="s">
        <v>2255</v>
      </c>
      <c r="I244" s="2" t="s">
        <v>2256</v>
      </c>
      <c r="J244" s="36" t="s">
        <v>2257</v>
      </c>
      <c r="K244" s="36">
        <v>1</v>
      </c>
      <c r="L244" s="75">
        <v>44935</v>
      </c>
      <c r="M244" s="36">
        <f t="shared" ref="M244:M250" si="105">DAY(L244)</f>
        <v>9</v>
      </c>
      <c r="N244" s="36">
        <f t="shared" ref="N244:N250" si="106">MONTH(L244)</f>
        <v>1</v>
      </c>
      <c r="O244" s="36">
        <f t="shared" ref="O244:O250" si="107">YEAR(L244)</f>
        <v>2023</v>
      </c>
      <c r="Q244" s="51"/>
      <c r="R244" s="51"/>
      <c r="S244" s="70">
        <v>620</v>
      </c>
      <c r="T244" s="59">
        <v>620</v>
      </c>
      <c r="U244" s="61">
        <f>2*T244</f>
        <v>1240</v>
      </c>
      <c r="W244" s="103" t="s">
        <v>2301</v>
      </c>
      <c r="Y244" s="67">
        <v>45022</v>
      </c>
      <c r="Z244" s="51">
        <f t="shared" si="85"/>
        <v>6</v>
      </c>
      <c r="AA244" s="51">
        <f t="shared" si="86"/>
        <v>4</v>
      </c>
      <c r="AB244" s="51">
        <f t="shared" si="87"/>
        <v>2023</v>
      </c>
    </row>
    <row r="245" spans="1:28">
      <c r="A245" s="45" t="s">
        <v>1712</v>
      </c>
      <c r="B245" s="57">
        <v>62150461</v>
      </c>
      <c r="C245" s="45" t="s">
        <v>1713</v>
      </c>
      <c r="D245" s="37" t="s">
        <v>2176</v>
      </c>
      <c r="E245" s="37" t="s">
        <v>1897</v>
      </c>
      <c r="F245" s="18" t="s">
        <v>1714</v>
      </c>
      <c r="G245" s="36" t="s">
        <v>108</v>
      </c>
      <c r="H245" s="37" t="s">
        <v>1715</v>
      </c>
      <c r="I245" s="2" t="s">
        <v>1716</v>
      </c>
      <c r="J245" s="36" t="s">
        <v>1717</v>
      </c>
      <c r="K245" s="36">
        <v>1</v>
      </c>
      <c r="L245" s="56">
        <v>44165</v>
      </c>
      <c r="M245" s="36">
        <f t="shared" si="105"/>
        <v>30</v>
      </c>
      <c r="N245" s="36">
        <f t="shared" si="106"/>
        <v>11</v>
      </c>
      <c r="O245" s="36">
        <f t="shared" si="107"/>
        <v>2020</v>
      </c>
      <c r="Q245" s="151">
        <v>480</v>
      </c>
      <c r="R245" s="48">
        <f>Q245</f>
        <v>480</v>
      </c>
      <c r="S245" s="49">
        <f>R245*(1+10.7143%)</f>
        <v>531.42863999999997</v>
      </c>
      <c r="T245" s="50">
        <f>S245*1.09677</f>
        <v>582.85498949279997</v>
      </c>
      <c r="U245" s="48">
        <f>6*T245</f>
        <v>3497.1299369567996</v>
      </c>
      <c r="W245" s="54" t="s">
        <v>2247</v>
      </c>
      <c r="X245" s="18" t="s">
        <v>1718</v>
      </c>
      <c r="Y245" s="82">
        <v>45024</v>
      </c>
      <c r="Z245" s="51">
        <f t="shared" si="85"/>
        <v>8</v>
      </c>
      <c r="AA245" s="51">
        <f t="shared" si="86"/>
        <v>4</v>
      </c>
      <c r="AB245" s="51">
        <f t="shared" si="87"/>
        <v>2023</v>
      </c>
    </row>
    <row r="246" spans="1:28" s="51" customFormat="1">
      <c r="A246" s="45" t="s">
        <v>2085</v>
      </c>
      <c r="B246" s="46">
        <v>393931006</v>
      </c>
      <c r="C246" s="46" t="s">
        <v>2092</v>
      </c>
      <c r="D246" s="36" t="s">
        <v>2086</v>
      </c>
      <c r="E246" s="36" t="s">
        <v>2087</v>
      </c>
      <c r="F246" s="36" t="s">
        <v>2088</v>
      </c>
      <c r="G246" s="36" t="s">
        <v>1229</v>
      </c>
      <c r="H246" s="68" t="s">
        <v>2089</v>
      </c>
      <c r="I246" s="52" t="s">
        <v>2090</v>
      </c>
      <c r="J246" s="36" t="s">
        <v>2270</v>
      </c>
      <c r="K246" s="36">
        <v>1</v>
      </c>
      <c r="L246" s="47">
        <v>44621</v>
      </c>
      <c r="M246" s="36">
        <f t="shared" si="105"/>
        <v>1</v>
      </c>
      <c r="N246" s="36">
        <f t="shared" si="106"/>
        <v>3</v>
      </c>
      <c r="O246" s="36">
        <f t="shared" si="107"/>
        <v>2022</v>
      </c>
      <c r="S246" s="48">
        <v>620</v>
      </c>
      <c r="T246" s="48">
        <f>S246*(1+9.677%)</f>
        <v>679.99739999999997</v>
      </c>
      <c r="U246" s="48">
        <f>6*T246</f>
        <v>4079.9843999999998</v>
      </c>
      <c r="W246" s="54" t="s">
        <v>2247</v>
      </c>
      <c r="Y246" s="82">
        <v>45052</v>
      </c>
      <c r="Z246" s="51">
        <f t="shared" si="85"/>
        <v>6</v>
      </c>
      <c r="AA246" s="51">
        <f t="shared" si="86"/>
        <v>5</v>
      </c>
      <c r="AB246" s="51">
        <f t="shared" si="87"/>
        <v>2023</v>
      </c>
    </row>
    <row r="247" spans="1:28">
      <c r="A247" s="45" t="s">
        <v>2239</v>
      </c>
      <c r="C247" s="37" t="s">
        <v>2240</v>
      </c>
      <c r="D247" s="37" t="s">
        <v>2241</v>
      </c>
      <c r="E247" s="37" t="s">
        <v>2242</v>
      </c>
      <c r="F247" s="37" t="s">
        <v>297</v>
      </c>
      <c r="G247" s="37" t="s">
        <v>108</v>
      </c>
      <c r="H247" s="57" t="s">
        <v>2250</v>
      </c>
      <c r="I247" t="s">
        <v>2243</v>
      </c>
      <c r="J247" s="36" t="s">
        <v>2244</v>
      </c>
      <c r="K247" s="36">
        <v>1</v>
      </c>
      <c r="L247" s="56">
        <v>44903</v>
      </c>
      <c r="M247" s="36">
        <f t="shared" si="105"/>
        <v>8</v>
      </c>
      <c r="N247" s="36">
        <f t="shared" si="106"/>
        <v>12</v>
      </c>
      <c r="O247" s="36">
        <f t="shared" si="107"/>
        <v>2022</v>
      </c>
      <c r="Q247" s="51"/>
      <c r="R247" s="51"/>
      <c r="S247" s="48">
        <v>620</v>
      </c>
      <c r="T247" s="150">
        <v>680</v>
      </c>
      <c r="U247" s="59">
        <f>4*T247</f>
        <v>2720</v>
      </c>
      <c r="W247" s="54" t="s">
        <v>2247</v>
      </c>
      <c r="Y247" s="82">
        <v>45054</v>
      </c>
      <c r="Z247" s="51">
        <f t="shared" si="85"/>
        <v>8</v>
      </c>
      <c r="AA247" s="51">
        <f t="shared" si="86"/>
        <v>5</v>
      </c>
      <c r="AB247" s="51">
        <f t="shared" si="87"/>
        <v>2023</v>
      </c>
    </row>
    <row r="248" spans="1:28">
      <c r="A248" s="45" t="s">
        <v>1674</v>
      </c>
      <c r="B248" s="57">
        <v>32857099</v>
      </c>
      <c r="C248" s="45">
        <v>22417689871</v>
      </c>
      <c r="D248" s="57" t="s">
        <v>1675</v>
      </c>
      <c r="E248" s="37" t="s">
        <v>1676</v>
      </c>
      <c r="F248" t="s">
        <v>1677</v>
      </c>
      <c r="G248" s="36" t="s">
        <v>108</v>
      </c>
      <c r="H248" s="37" t="s">
        <v>1702</v>
      </c>
      <c r="I248" t="s">
        <v>1678</v>
      </c>
      <c r="J248" s="36" t="s">
        <v>753</v>
      </c>
      <c r="K248" s="36">
        <v>1</v>
      </c>
      <c r="L248" s="56">
        <v>44132</v>
      </c>
      <c r="M248" s="36">
        <f t="shared" si="105"/>
        <v>28</v>
      </c>
      <c r="N248" s="36">
        <f t="shared" si="106"/>
        <v>10</v>
      </c>
      <c r="O248" s="36">
        <f t="shared" si="107"/>
        <v>2020</v>
      </c>
      <c r="Q248" s="63">
        <v>580</v>
      </c>
      <c r="R248" s="48">
        <f>Q248</f>
        <v>580</v>
      </c>
      <c r="S248" s="49">
        <f>R248*(1+10.7143%)</f>
        <v>642.14293999999995</v>
      </c>
      <c r="T248" s="50">
        <f>S248*1.09677</f>
        <v>704.28311230379995</v>
      </c>
      <c r="U248" s="48">
        <f>6*T248</f>
        <v>4225.6986738227997</v>
      </c>
      <c r="W248" s="54" t="s">
        <v>2247</v>
      </c>
      <c r="X248" t="s">
        <v>1668</v>
      </c>
      <c r="Y248" s="82">
        <v>45065</v>
      </c>
      <c r="Z248" s="51">
        <f t="shared" si="85"/>
        <v>19</v>
      </c>
      <c r="AA248" s="51">
        <f t="shared" si="86"/>
        <v>5</v>
      </c>
      <c r="AB248" s="51">
        <f t="shared" si="87"/>
        <v>2023</v>
      </c>
    </row>
    <row r="249" spans="1:28">
      <c r="A249" s="45" t="s">
        <v>2216</v>
      </c>
      <c r="C249" s="37" t="s">
        <v>2217</v>
      </c>
      <c r="D249" s="37" t="s">
        <v>2218</v>
      </c>
      <c r="E249" s="37" t="s">
        <v>2230</v>
      </c>
      <c r="F249" s="37" t="s">
        <v>2219</v>
      </c>
      <c r="G249" s="37" t="s">
        <v>108</v>
      </c>
      <c r="H249" s="57" t="s">
        <v>202</v>
      </c>
      <c r="I249" t="s">
        <v>2220</v>
      </c>
      <c r="J249" s="36" t="s">
        <v>2268</v>
      </c>
      <c r="K249" s="36">
        <v>2</v>
      </c>
      <c r="L249" s="56">
        <v>44884</v>
      </c>
      <c r="M249" s="36">
        <f t="shared" si="105"/>
        <v>19</v>
      </c>
      <c r="N249" s="36">
        <f t="shared" si="106"/>
        <v>11</v>
      </c>
      <c r="O249" s="36">
        <f t="shared" si="107"/>
        <v>2022</v>
      </c>
      <c r="Q249" s="51"/>
      <c r="R249" s="51"/>
      <c r="S249" s="70">
        <v>1209</v>
      </c>
      <c r="T249" s="152">
        <v>1326</v>
      </c>
      <c r="U249" s="48">
        <f>6*T249</f>
        <v>7956</v>
      </c>
      <c r="W249" s="18" t="s">
        <v>2247</v>
      </c>
      <c r="Y249" s="82">
        <v>45065</v>
      </c>
      <c r="Z249" s="51">
        <f t="shared" si="85"/>
        <v>19</v>
      </c>
      <c r="AA249" s="51">
        <f t="shared" si="86"/>
        <v>5</v>
      </c>
      <c r="AB249" s="51">
        <f t="shared" si="87"/>
        <v>2023</v>
      </c>
    </row>
    <row r="250" spans="1:28">
      <c r="A250" s="45" t="s">
        <v>2201</v>
      </c>
      <c r="C250" s="36" t="s">
        <v>2202</v>
      </c>
      <c r="D250" s="37" t="s">
        <v>2203</v>
      </c>
      <c r="E250" s="37" t="s">
        <v>2204</v>
      </c>
      <c r="F250" s="37" t="s">
        <v>2205</v>
      </c>
      <c r="G250" s="37" t="s">
        <v>2206</v>
      </c>
      <c r="H250" s="57" t="s">
        <v>2207</v>
      </c>
      <c r="I250" s="2" t="s">
        <v>195</v>
      </c>
      <c r="J250" s="36" t="s">
        <v>2312</v>
      </c>
      <c r="K250" s="36">
        <v>5</v>
      </c>
      <c r="L250" s="75">
        <v>44828</v>
      </c>
      <c r="M250" s="36">
        <f t="shared" si="105"/>
        <v>24</v>
      </c>
      <c r="N250" s="36">
        <f t="shared" si="106"/>
        <v>9</v>
      </c>
      <c r="O250" s="36">
        <f t="shared" si="107"/>
        <v>2022</v>
      </c>
      <c r="Q250" s="51"/>
      <c r="R250" s="51"/>
      <c r="S250" s="70">
        <v>5600</v>
      </c>
      <c r="T250" s="143">
        <f>(S250*1.09677)/2</f>
        <v>3070.9560000000001</v>
      </c>
      <c r="U250" s="48">
        <f>3*T250</f>
        <v>9212.8680000000004</v>
      </c>
      <c r="W250" s="54" t="s">
        <v>2247</v>
      </c>
      <c r="Y250" s="82">
        <v>45066</v>
      </c>
      <c r="Z250" s="51">
        <f t="shared" si="85"/>
        <v>20</v>
      </c>
      <c r="AA250" s="51">
        <f t="shared" si="86"/>
        <v>5</v>
      </c>
      <c r="AB250" s="51">
        <f t="shared" si="87"/>
        <v>2023</v>
      </c>
    </row>
    <row r="251" spans="1:28">
      <c r="A251" s="45" t="s">
        <v>1980</v>
      </c>
      <c r="B251" s="46">
        <v>208625732</v>
      </c>
      <c r="C251" s="36" t="s">
        <v>1981</v>
      </c>
      <c r="D251" s="37" t="s">
        <v>1982</v>
      </c>
      <c r="E251" s="36" t="s">
        <v>1983</v>
      </c>
      <c r="F251" s="36" t="s">
        <v>1984</v>
      </c>
      <c r="G251" s="36" t="s">
        <v>1876</v>
      </c>
      <c r="H251" s="36" t="s">
        <v>1877</v>
      </c>
      <c r="I251" s="2" t="s">
        <v>1985</v>
      </c>
      <c r="J251" s="36" t="s">
        <v>1986</v>
      </c>
      <c r="K251" s="36">
        <v>1</v>
      </c>
      <c r="L251" s="56">
        <v>44482</v>
      </c>
      <c r="M251" s="36">
        <f t="shared" ref="M251:M256" si="108">DAY(L251)</f>
        <v>13</v>
      </c>
      <c r="N251" s="36">
        <f t="shared" ref="N251:N256" si="109">MONTH(L251)</f>
        <v>10</v>
      </c>
      <c r="O251" s="36">
        <f t="shared" ref="O251:O256" si="110">YEAR(L251)</f>
        <v>2021</v>
      </c>
      <c r="Q251" s="51"/>
      <c r="R251" s="63">
        <v>560</v>
      </c>
      <c r="S251" s="48">
        <v>620</v>
      </c>
      <c r="T251" s="48">
        <f>S251*1.09677</f>
        <v>679.99739999999997</v>
      </c>
      <c r="U251" s="48">
        <f>6*T251</f>
        <v>4079.9843999999998</v>
      </c>
      <c r="W251" s="54" t="s">
        <v>2247</v>
      </c>
      <c r="Y251" s="82">
        <v>45099</v>
      </c>
      <c r="Z251" s="51">
        <f t="shared" si="85"/>
        <v>22</v>
      </c>
      <c r="AA251" s="51">
        <f t="shared" si="86"/>
        <v>6</v>
      </c>
      <c r="AB251" s="51">
        <f t="shared" si="87"/>
        <v>2023</v>
      </c>
    </row>
    <row r="252" spans="1:28">
      <c r="A252" s="45" t="s">
        <v>1980</v>
      </c>
      <c r="B252" s="46">
        <v>208625732</v>
      </c>
      <c r="C252" s="36" t="s">
        <v>1981</v>
      </c>
      <c r="D252" s="37" t="s">
        <v>1982</v>
      </c>
      <c r="E252" s="36" t="s">
        <v>1983</v>
      </c>
      <c r="F252" s="36" t="s">
        <v>1984</v>
      </c>
      <c r="G252" s="36" t="s">
        <v>1876</v>
      </c>
      <c r="H252" s="36" t="s">
        <v>1877</v>
      </c>
      <c r="I252" s="2" t="s">
        <v>1985</v>
      </c>
      <c r="J252" s="36" t="s">
        <v>2154</v>
      </c>
      <c r="K252" s="36">
        <v>1</v>
      </c>
      <c r="L252" s="56">
        <v>44740</v>
      </c>
      <c r="M252" s="36">
        <f t="shared" si="108"/>
        <v>28</v>
      </c>
      <c r="N252" s="36">
        <f t="shared" si="109"/>
        <v>6</v>
      </c>
      <c r="O252" s="36">
        <f t="shared" si="110"/>
        <v>2022</v>
      </c>
      <c r="Q252" s="51"/>
      <c r="R252" s="63">
        <v>560</v>
      </c>
      <c r="S252" s="48">
        <v>620</v>
      </c>
      <c r="T252" s="48">
        <f>S252*1.09677</f>
        <v>679.99739999999997</v>
      </c>
      <c r="U252" s="48">
        <f>6*T252</f>
        <v>4079.9843999999998</v>
      </c>
      <c r="W252" s="54" t="s">
        <v>2247</v>
      </c>
      <c r="Y252" s="82">
        <v>45099</v>
      </c>
      <c r="Z252" s="51">
        <f t="shared" si="85"/>
        <v>22</v>
      </c>
      <c r="AA252" s="51">
        <f t="shared" si="86"/>
        <v>6</v>
      </c>
      <c r="AB252" s="51">
        <f t="shared" si="87"/>
        <v>2023</v>
      </c>
    </row>
    <row r="253" spans="1:28">
      <c r="A253" s="45" t="s">
        <v>2167</v>
      </c>
      <c r="B253" s="37" t="s">
        <v>2168</v>
      </c>
      <c r="C253" s="36" t="s">
        <v>2169</v>
      </c>
      <c r="D253" s="37" t="s">
        <v>2170</v>
      </c>
      <c r="E253" s="37" t="s">
        <v>2171</v>
      </c>
      <c r="F253" s="37" t="s">
        <v>2172</v>
      </c>
      <c r="G253" s="37" t="s">
        <v>1672</v>
      </c>
      <c r="H253" s="37" t="s">
        <v>2173</v>
      </c>
      <c r="I253" s="2" t="s">
        <v>2182</v>
      </c>
      <c r="J253" s="36" t="s">
        <v>2174</v>
      </c>
      <c r="K253" s="36">
        <v>3</v>
      </c>
      <c r="L253" s="56">
        <v>44768</v>
      </c>
      <c r="M253" s="36">
        <f t="shared" si="108"/>
        <v>26</v>
      </c>
      <c r="N253" s="36">
        <f t="shared" si="109"/>
        <v>7</v>
      </c>
      <c r="O253" s="36">
        <f t="shared" si="110"/>
        <v>2022</v>
      </c>
      <c r="Q253" s="51"/>
      <c r="R253" s="51"/>
      <c r="S253" s="70">
        <v>1860</v>
      </c>
      <c r="T253" s="48">
        <f>S253*1.09677</f>
        <v>2039.9922000000001</v>
      </c>
      <c r="U253" s="48">
        <f>6*T253</f>
        <v>12239.9532</v>
      </c>
      <c r="W253" s="54" t="s">
        <v>2247</v>
      </c>
      <c r="Y253" s="82">
        <v>45101</v>
      </c>
      <c r="Z253" s="51">
        <f t="shared" si="85"/>
        <v>24</v>
      </c>
      <c r="AA253" s="51">
        <f t="shared" si="86"/>
        <v>6</v>
      </c>
      <c r="AB253" s="51">
        <f t="shared" si="87"/>
        <v>2023</v>
      </c>
    </row>
    <row r="254" spans="1:28" s="37" customFormat="1">
      <c r="A254" s="45" t="s">
        <v>2271</v>
      </c>
      <c r="B254" s="57">
        <v>28071979</v>
      </c>
      <c r="C254" s="37" t="s">
        <v>2272</v>
      </c>
      <c r="D254" s="37" t="s">
        <v>2318</v>
      </c>
      <c r="E254" s="37" t="s">
        <v>2273</v>
      </c>
      <c r="F254" s="37" t="s">
        <v>2274</v>
      </c>
      <c r="G254" s="37" t="s">
        <v>108</v>
      </c>
      <c r="H254" s="64" t="s">
        <v>2282</v>
      </c>
      <c r="I254" s="2" t="s">
        <v>2283</v>
      </c>
      <c r="J254" s="36" t="s">
        <v>2275</v>
      </c>
      <c r="K254" s="36">
        <v>1</v>
      </c>
      <c r="L254" s="75">
        <v>44973</v>
      </c>
      <c r="M254" s="36">
        <f t="shared" si="108"/>
        <v>16</v>
      </c>
      <c r="N254" s="36">
        <f t="shared" si="109"/>
        <v>2</v>
      </c>
      <c r="O254" s="36">
        <f t="shared" si="110"/>
        <v>2023</v>
      </c>
      <c r="Q254" s="36"/>
      <c r="R254" s="36"/>
      <c r="S254" s="70">
        <v>680</v>
      </c>
      <c r="T254" s="59">
        <v>680</v>
      </c>
      <c r="U254" s="61">
        <f>4*T254</f>
        <v>2720</v>
      </c>
      <c r="W254" s="18" t="s">
        <v>2286</v>
      </c>
      <c r="Y254" s="82">
        <v>45103</v>
      </c>
      <c r="Z254" s="51">
        <f t="shared" si="85"/>
        <v>26</v>
      </c>
      <c r="AA254" s="51">
        <f t="shared" si="86"/>
        <v>6</v>
      </c>
      <c r="AB254" s="51">
        <f t="shared" si="87"/>
        <v>2023</v>
      </c>
    </row>
    <row r="255" spans="1:28">
      <c r="A255" s="45" t="s">
        <v>2201</v>
      </c>
      <c r="C255" s="36" t="s">
        <v>2202</v>
      </c>
      <c r="D255" s="37" t="s">
        <v>2203</v>
      </c>
      <c r="E255" s="37" t="s">
        <v>2204</v>
      </c>
      <c r="F255" s="37" t="s">
        <v>2205</v>
      </c>
      <c r="G255" s="37" t="s">
        <v>2206</v>
      </c>
      <c r="H255" s="57" t="s">
        <v>2207</v>
      </c>
      <c r="I255" s="2" t="s">
        <v>195</v>
      </c>
      <c r="J255" s="36" t="s">
        <v>2326</v>
      </c>
      <c r="K255" s="36">
        <v>1</v>
      </c>
      <c r="L255" s="75">
        <v>44828</v>
      </c>
      <c r="M255" s="36">
        <f t="shared" si="108"/>
        <v>24</v>
      </c>
      <c r="N255" s="36">
        <f t="shared" si="109"/>
        <v>9</v>
      </c>
      <c r="O255" s="36">
        <f t="shared" si="110"/>
        <v>2022</v>
      </c>
      <c r="Q255" s="51"/>
      <c r="R255" s="51"/>
      <c r="S255" s="70">
        <v>5600</v>
      </c>
      <c r="T255" s="143">
        <f>(S255*1.09677)/2</f>
        <v>3070.9560000000001</v>
      </c>
      <c r="U255" s="48">
        <f>3*T255</f>
        <v>9212.8680000000004</v>
      </c>
      <c r="W255" s="54" t="s">
        <v>2247</v>
      </c>
      <c r="Y255" s="82">
        <v>45115</v>
      </c>
      <c r="Z255" s="51">
        <f t="shared" si="85"/>
        <v>8</v>
      </c>
      <c r="AA255" s="51">
        <f t="shared" si="86"/>
        <v>7</v>
      </c>
      <c r="AB255" s="51">
        <f t="shared" si="87"/>
        <v>2023</v>
      </c>
    </row>
    <row r="256" spans="1:28" s="51" customFormat="1">
      <c r="A256" s="45" t="s">
        <v>1836</v>
      </c>
      <c r="B256" s="46">
        <v>256166134</v>
      </c>
      <c r="C256" s="36" t="s">
        <v>1837</v>
      </c>
      <c r="D256" s="68" t="s">
        <v>1838</v>
      </c>
      <c r="E256" s="36" t="s">
        <v>1839</v>
      </c>
      <c r="F256" s="54" t="s">
        <v>907</v>
      </c>
      <c r="G256" s="36" t="s">
        <v>108</v>
      </c>
      <c r="H256" s="54" t="s">
        <v>1840</v>
      </c>
      <c r="I256" s="147" t="s">
        <v>1841</v>
      </c>
      <c r="J256" s="36" t="s">
        <v>1842</v>
      </c>
      <c r="K256" s="36">
        <v>1</v>
      </c>
      <c r="L256" s="47">
        <v>44280</v>
      </c>
      <c r="M256" s="36">
        <f t="shared" si="108"/>
        <v>25</v>
      </c>
      <c r="N256" s="36">
        <f t="shared" si="109"/>
        <v>3</v>
      </c>
      <c r="O256" s="36">
        <f t="shared" si="110"/>
        <v>2021</v>
      </c>
      <c r="R256" s="63">
        <v>480</v>
      </c>
      <c r="S256" s="48">
        <f>R256*(1+10.7143%)</f>
        <v>531.42863999999997</v>
      </c>
      <c r="T256" s="50">
        <f>S256*1.09677</f>
        <v>582.85498949279997</v>
      </c>
      <c r="U256" s="48">
        <f>6*T256</f>
        <v>3497.1299369567996</v>
      </c>
      <c r="W256" s="54" t="s">
        <v>2319</v>
      </c>
      <c r="Y256" s="67">
        <v>45131</v>
      </c>
      <c r="Z256" s="51">
        <f t="shared" si="85"/>
        <v>24</v>
      </c>
      <c r="AA256" s="51">
        <f t="shared" si="86"/>
        <v>7</v>
      </c>
      <c r="AB256" s="51">
        <f t="shared" si="87"/>
        <v>2023</v>
      </c>
    </row>
    <row r="257" spans="1:28">
      <c r="A257" s="45" t="s">
        <v>2294</v>
      </c>
      <c r="B257" s="37" t="s">
        <v>2295</v>
      </c>
      <c r="C257" s="37" t="s">
        <v>2296</v>
      </c>
      <c r="D257" s="57">
        <v>11989302370</v>
      </c>
      <c r="E257" s="37" t="s">
        <v>2297</v>
      </c>
      <c r="F257" s="37" t="s">
        <v>2298</v>
      </c>
      <c r="G257" s="37" t="s">
        <v>108</v>
      </c>
      <c r="H257" s="57" t="s">
        <v>2303</v>
      </c>
      <c r="I257" t="s">
        <v>2299</v>
      </c>
      <c r="J257" s="36" t="s">
        <v>2300</v>
      </c>
      <c r="K257" s="36">
        <v>1</v>
      </c>
      <c r="L257" s="75">
        <v>45023</v>
      </c>
      <c r="M257" s="37">
        <v>7</v>
      </c>
      <c r="N257" s="37">
        <v>4</v>
      </c>
      <c r="O257" s="37">
        <v>2023</v>
      </c>
      <c r="Q257" s="51"/>
      <c r="R257" s="51"/>
      <c r="S257" s="48">
        <v>680</v>
      </c>
      <c r="T257" s="59">
        <v>680</v>
      </c>
      <c r="U257" s="153">
        <f>6*T257</f>
        <v>4080</v>
      </c>
      <c r="W257" s="54" t="s">
        <v>2319</v>
      </c>
      <c r="Y257" s="82">
        <v>45139</v>
      </c>
      <c r="Z257" s="51">
        <f t="shared" si="85"/>
        <v>1</v>
      </c>
      <c r="AA257" s="51">
        <f t="shared" si="86"/>
        <v>8</v>
      </c>
      <c r="AB257" s="51">
        <f t="shared" si="87"/>
        <v>2023</v>
      </c>
    </row>
    <row r="258" spans="1:28">
      <c r="A258" s="45" t="s">
        <v>1953</v>
      </c>
      <c r="B258" s="46">
        <v>3570837</v>
      </c>
      <c r="C258" s="36" t="s">
        <v>1954</v>
      </c>
      <c r="D258" s="36" t="s">
        <v>1955</v>
      </c>
      <c r="E258" s="36" t="s">
        <v>1969</v>
      </c>
      <c r="F258" s="36" t="s">
        <v>1956</v>
      </c>
      <c r="G258" s="36" t="s">
        <v>1957</v>
      </c>
      <c r="H258" s="36" t="s">
        <v>1958</v>
      </c>
      <c r="I258" s="2" t="s">
        <v>1970</v>
      </c>
      <c r="J258" s="36" t="s">
        <v>1959</v>
      </c>
      <c r="K258" s="36">
        <v>1</v>
      </c>
      <c r="L258" s="56">
        <v>44447</v>
      </c>
      <c r="M258" s="36">
        <f>DAY(L258)</f>
        <v>8</v>
      </c>
      <c r="N258" s="36">
        <f>MONTH(L258)</f>
        <v>9</v>
      </c>
      <c r="O258" s="36">
        <f>YEAR(L258)</f>
        <v>2021</v>
      </c>
      <c r="Q258" s="51"/>
      <c r="R258" s="63">
        <v>560</v>
      </c>
      <c r="S258" s="48">
        <f>R258*(1+10.7143%)</f>
        <v>620.00008000000003</v>
      </c>
      <c r="T258" s="48">
        <f>S258*(1+9.677%)</f>
        <v>679.99748774160003</v>
      </c>
      <c r="U258" s="53">
        <f>6*T258+0.02</f>
        <v>4080.0049264496001</v>
      </c>
      <c r="W258" s="54" t="s">
        <v>2319</v>
      </c>
      <c r="Y258" s="82">
        <v>45145</v>
      </c>
      <c r="Z258" s="51">
        <f t="shared" ref="Z258:Z330" si="111">IF($Y258=0,"",DAY($Y258))</f>
        <v>7</v>
      </c>
      <c r="AA258" s="51">
        <f t="shared" ref="AA258:AA330" si="112">IF($Y258=0,"",MONTH($Y258))</f>
        <v>8</v>
      </c>
      <c r="AB258" s="51">
        <f t="shared" ref="AB258:AB330" si="113">IF($Y258=0,"",YEAR($Y258))</f>
        <v>2023</v>
      </c>
    </row>
    <row r="259" spans="1:28" s="51" customFormat="1">
      <c r="A259" s="45" t="s">
        <v>1779</v>
      </c>
      <c r="B259" s="36" t="s">
        <v>1780</v>
      </c>
      <c r="C259" s="45" t="s">
        <v>1781</v>
      </c>
      <c r="D259" s="36" t="s">
        <v>1782</v>
      </c>
      <c r="E259" s="36" t="s">
        <v>1783</v>
      </c>
      <c r="F259" s="54" t="s">
        <v>1784</v>
      </c>
      <c r="G259" s="36" t="s">
        <v>108</v>
      </c>
      <c r="H259" s="51" t="s">
        <v>1785</v>
      </c>
      <c r="I259" s="52" t="s">
        <v>1805</v>
      </c>
      <c r="J259" s="36" t="s">
        <v>2328</v>
      </c>
      <c r="K259" s="36">
        <v>1</v>
      </c>
      <c r="L259" s="47">
        <v>44204</v>
      </c>
      <c r="M259" s="36">
        <f>DAY(L259)</f>
        <v>8</v>
      </c>
      <c r="N259" s="36">
        <f>MONTH(L259)</f>
        <v>1</v>
      </c>
      <c r="O259" s="36">
        <f>YEAR(L259)</f>
        <v>2021</v>
      </c>
      <c r="R259" s="63">
        <v>960</v>
      </c>
      <c r="S259" s="49">
        <f>R259*(1+10.7143%)</f>
        <v>1062.8572799999999</v>
      </c>
      <c r="T259" s="50">
        <v>582.85</v>
      </c>
      <c r="U259" s="53">
        <f>6*T259</f>
        <v>3497.1000000000004</v>
      </c>
      <c r="W259" s="54" t="s">
        <v>2319</v>
      </c>
      <c r="Y259" s="82">
        <v>45145</v>
      </c>
      <c r="Z259" s="51">
        <f t="shared" si="111"/>
        <v>7</v>
      </c>
      <c r="AA259" s="51">
        <f t="shared" si="112"/>
        <v>8</v>
      </c>
      <c r="AB259" s="51">
        <f t="shared" si="113"/>
        <v>2023</v>
      </c>
    </row>
    <row r="260" spans="1:28">
      <c r="A260" s="45" t="s">
        <v>1663</v>
      </c>
      <c r="B260" s="57">
        <v>306529014</v>
      </c>
      <c r="C260" s="45" t="s">
        <v>2325</v>
      </c>
      <c r="D260" s="37" t="s">
        <v>1664</v>
      </c>
      <c r="E260" s="37" t="s">
        <v>1666</v>
      </c>
      <c r="F260" t="s">
        <v>214</v>
      </c>
      <c r="G260" s="36" t="s">
        <v>108</v>
      </c>
      <c r="H260" s="37" t="s">
        <v>1667</v>
      </c>
      <c r="I260" s="2" t="s">
        <v>1665</v>
      </c>
      <c r="J260" s="36" t="s">
        <v>618</v>
      </c>
      <c r="K260" s="36">
        <v>1</v>
      </c>
      <c r="L260" s="56">
        <v>44127</v>
      </c>
      <c r="M260" s="36">
        <f>DAY(L260)</f>
        <v>23</v>
      </c>
      <c r="N260" s="36">
        <f>MONTH(L260)</f>
        <v>10</v>
      </c>
      <c r="O260" s="36">
        <f>YEAR(L260)</f>
        <v>2020</v>
      </c>
      <c r="Q260" s="63">
        <v>1740</v>
      </c>
      <c r="R260" s="48">
        <f>Q260</f>
        <v>1740</v>
      </c>
      <c r="S260" s="49">
        <f>R260*(1+10.7143%)</f>
        <v>1926.4288200000001</v>
      </c>
      <c r="T260" s="50">
        <f>S260*1.09677</f>
        <v>2112.8493369114003</v>
      </c>
      <c r="U260" s="48">
        <f>6*T260</f>
        <v>12677.096021468402</v>
      </c>
      <c r="W260" s="54" t="s">
        <v>2319</v>
      </c>
      <c r="X260" t="s">
        <v>1668</v>
      </c>
      <c r="Y260" s="82">
        <v>45183</v>
      </c>
      <c r="Z260" s="51">
        <f t="shared" si="111"/>
        <v>14</v>
      </c>
      <c r="AA260" s="51">
        <f t="shared" si="112"/>
        <v>9</v>
      </c>
      <c r="AB260" s="51">
        <f t="shared" si="113"/>
        <v>2023</v>
      </c>
    </row>
    <row r="261" spans="1:28">
      <c r="A261" s="36" t="s">
        <v>2368</v>
      </c>
      <c r="B261" s="57">
        <v>42200859</v>
      </c>
      <c r="C261" s="57">
        <v>36087313850</v>
      </c>
      <c r="D261" s="8" t="s">
        <v>2369</v>
      </c>
      <c r="E261" s="8" t="s">
        <v>2370</v>
      </c>
      <c r="F261" s="8" t="s">
        <v>1597</v>
      </c>
      <c r="G261" s="8" t="s">
        <v>108</v>
      </c>
      <c r="H261" s="8" t="s">
        <v>2371</v>
      </c>
      <c r="I261" t="s">
        <v>2372</v>
      </c>
      <c r="J261" s="73" t="s">
        <v>753</v>
      </c>
      <c r="K261" s="73">
        <v>1</v>
      </c>
      <c r="L261" s="75">
        <v>45185</v>
      </c>
      <c r="M261" s="37">
        <v>26</v>
      </c>
      <c r="N261" s="37">
        <v>9</v>
      </c>
      <c r="O261" s="36">
        <v>2023</v>
      </c>
      <c r="Q261" s="51"/>
      <c r="R261" s="51"/>
      <c r="S261" s="70">
        <v>597</v>
      </c>
      <c r="T261" s="59">
        <v>597</v>
      </c>
      <c r="U261" s="61">
        <f>2*T261</f>
        <v>1194</v>
      </c>
      <c r="Y261" s="82">
        <v>45192</v>
      </c>
      <c r="Z261" s="51">
        <f t="shared" si="111"/>
        <v>23</v>
      </c>
      <c r="AA261" s="51">
        <f t="shared" si="112"/>
        <v>9</v>
      </c>
      <c r="AB261" s="51">
        <f t="shared" si="113"/>
        <v>2023</v>
      </c>
    </row>
    <row r="262" spans="1:28">
      <c r="A262" s="45" t="s">
        <v>2165</v>
      </c>
      <c r="B262" s="57">
        <v>300422271</v>
      </c>
      <c r="C262" s="36" t="s">
        <v>2146</v>
      </c>
      <c r="D262" s="37" t="s">
        <v>2147</v>
      </c>
      <c r="E262" s="37" t="s">
        <v>2164</v>
      </c>
      <c r="F262" s="37" t="s">
        <v>1514</v>
      </c>
      <c r="G262" s="37" t="s">
        <v>857</v>
      </c>
      <c r="H262" s="37" t="s">
        <v>2148</v>
      </c>
      <c r="I262" s="2" t="s">
        <v>2149</v>
      </c>
      <c r="J262" s="36" t="s">
        <v>2150</v>
      </c>
      <c r="K262" s="36">
        <v>1</v>
      </c>
      <c r="L262" s="56">
        <v>44717</v>
      </c>
      <c r="M262" s="36">
        <f>DAY(L262)</f>
        <v>5</v>
      </c>
      <c r="N262" s="36">
        <f>MONTH(L262)</f>
        <v>6</v>
      </c>
      <c r="O262" s="36">
        <f>YEAR(L262)</f>
        <v>2022</v>
      </c>
      <c r="Q262" s="51"/>
      <c r="R262" s="51"/>
      <c r="S262" s="70">
        <v>620</v>
      </c>
      <c r="T262" s="48">
        <f>S262*(1+9.677%)</f>
        <v>679.99739999999997</v>
      </c>
      <c r="U262" s="53">
        <f>6*T262+0.02</f>
        <v>4080.0043999999998</v>
      </c>
      <c r="W262" s="54" t="s">
        <v>2319</v>
      </c>
      <c r="Y262" s="82">
        <v>45185</v>
      </c>
      <c r="Z262" s="51">
        <f t="shared" si="111"/>
        <v>16</v>
      </c>
      <c r="AA262" s="51">
        <f t="shared" si="112"/>
        <v>9</v>
      </c>
      <c r="AB262" s="51">
        <f t="shared" si="113"/>
        <v>2023</v>
      </c>
    </row>
    <row r="263" spans="1:28">
      <c r="A263" s="36" t="s">
        <v>2201</v>
      </c>
      <c r="C263" s="36" t="s">
        <v>2202</v>
      </c>
      <c r="D263" s="37" t="s">
        <v>2203</v>
      </c>
      <c r="E263" s="37" t="s">
        <v>2204</v>
      </c>
      <c r="F263" s="37" t="s">
        <v>2205</v>
      </c>
      <c r="G263" s="37" t="s">
        <v>2206</v>
      </c>
      <c r="H263" s="57" t="s">
        <v>2207</v>
      </c>
      <c r="I263" s="2" t="s">
        <v>195</v>
      </c>
      <c r="J263" s="36" t="s">
        <v>2373</v>
      </c>
      <c r="K263" s="36">
        <v>4</v>
      </c>
      <c r="L263" s="75">
        <v>44828</v>
      </c>
      <c r="M263" s="36">
        <f>DAY(L263)</f>
        <v>24</v>
      </c>
      <c r="N263" s="36">
        <f>MONTH(L263)</f>
        <v>9</v>
      </c>
      <c r="O263" s="36">
        <f>YEAR(L263)</f>
        <v>2022</v>
      </c>
      <c r="Q263" s="51"/>
      <c r="R263" s="51"/>
      <c r="S263" s="70">
        <v>5600</v>
      </c>
      <c r="T263" s="154">
        <f>(S263*1.09677)/2</f>
        <v>3070.9560000000001</v>
      </c>
      <c r="U263" s="59">
        <f>3*T263</f>
        <v>9212.8680000000004</v>
      </c>
      <c r="W263" s="54" t="s">
        <v>2247</v>
      </c>
      <c r="Y263" s="82">
        <v>45194</v>
      </c>
      <c r="Z263" s="51">
        <f t="shared" si="111"/>
        <v>25</v>
      </c>
      <c r="AA263" s="51">
        <f t="shared" si="112"/>
        <v>9</v>
      </c>
      <c r="AB263" s="51">
        <f t="shared" si="113"/>
        <v>2023</v>
      </c>
    </row>
    <row r="264" spans="1:28">
      <c r="A264" s="45" t="s">
        <v>2276</v>
      </c>
      <c r="B264" s="57">
        <v>43651422</v>
      </c>
      <c r="C264" s="37" t="s">
        <v>2277</v>
      </c>
      <c r="D264" s="37" t="s">
        <v>2278</v>
      </c>
      <c r="E264" s="37" t="s">
        <v>2279</v>
      </c>
      <c r="F264" s="37" t="s">
        <v>2280</v>
      </c>
      <c r="G264" s="37" t="s">
        <v>1825</v>
      </c>
      <c r="H264" s="42" t="s">
        <v>2284</v>
      </c>
      <c r="I264" s="2" t="s">
        <v>2285</v>
      </c>
      <c r="J264" s="36" t="s">
        <v>2281</v>
      </c>
      <c r="K264" s="36">
        <v>1</v>
      </c>
      <c r="L264" s="75">
        <v>44985</v>
      </c>
      <c r="M264" s="36">
        <f>DAY(L264)</f>
        <v>28</v>
      </c>
      <c r="N264" s="36">
        <f>MONTH(L264)</f>
        <v>2</v>
      </c>
      <c r="O264" s="36">
        <f>YEAR(L264)</f>
        <v>2023</v>
      </c>
      <c r="Q264" s="51"/>
      <c r="R264" s="51"/>
      <c r="S264" s="70">
        <v>680</v>
      </c>
      <c r="T264" s="59">
        <v>680</v>
      </c>
      <c r="U264" s="61">
        <f>6*T264</f>
        <v>4080</v>
      </c>
      <c r="W264" s="54" t="s">
        <v>2319</v>
      </c>
      <c r="Y264" s="82">
        <v>45201</v>
      </c>
      <c r="Z264" s="51">
        <f t="shared" si="111"/>
        <v>2</v>
      </c>
      <c r="AA264" s="51">
        <f t="shared" si="112"/>
        <v>10</v>
      </c>
      <c r="AB264" s="51">
        <f t="shared" si="113"/>
        <v>2023</v>
      </c>
    </row>
    <row r="265" spans="1:28">
      <c r="A265" s="45" t="s">
        <v>2362</v>
      </c>
      <c r="B265" s="57">
        <v>6554015</v>
      </c>
      <c r="C265" s="46" t="s">
        <v>2374</v>
      </c>
      <c r="D265" s="37" t="s">
        <v>2363</v>
      </c>
      <c r="E265" s="37" t="s">
        <v>2364</v>
      </c>
      <c r="F265" s="37" t="s">
        <v>2365</v>
      </c>
      <c r="G265" s="37" t="s">
        <v>108</v>
      </c>
      <c r="H265" s="72" t="s">
        <v>2375</v>
      </c>
      <c r="I265" s="2" t="s">
        <v>2366</v>
      </c>
      <c r="J265" s="36" t="s">
        <v>2367</v>
      </c>
      <c r="K265" s="36">
        <v>1</v>
      </c>
      <c r="L265" s="75">
        <v>45198</v>
      </c>
      <c r="M265" s="37">
        <v>29</v>
      </c>
      <c r="N265" s="37">
        <v>9</v>
      </c>
      <c r="O265" s="36">
        <v>2023</v>
      </c>
      <c r="Q265" s="51"/>
      <c r="R265" s="51"/>
      <c r="S265" s="70">
        <v>597</v>
      </c>
      <c r="T265" s="59">
        <v>597</v>
      </c>
      <c r="U265" s="61">
        <f>3*T265</f>
        <v>1791</v>
      </c>
      <c r="W265" s="54" t="s">
        <v>2376</v>
      </c>
      <c r="Y265" s="82">
        <v>45212</v>
      </c>
      <c r="Z265" s="51">
        <f t="shared" si="111"/>
        <v>13</v>
      </c>
      <c r="AA265" s="51">
        <f t="shared" si="112"/>
        <v>10</v>
      </c>
      <c r="AB265" s="51">
        <f t="shared" si="113"/>
        <v>2023</v>
      </c>
    </row>
    <row r="266" spans="1:28">
      <c r="A266" s="45" t="s">
        <v>2353</v>
      </c>
      <c r="B266" s="57">
        <v>477156502</v>
      </c>
      <c r="C266" s="8" t="s">
        <v>2336</v>
      </c>
      <c r="D266" s="8" t="s">
        <v>2337</v>
      </c>
      <c r="E266" s="8" t="s">
        <v>2338</v>
      </c>
      <c r="F266" s="8" t="s">
        <v>2339</v>
      </c>
      <c r="G266" s="8" t="s">
        <v>108</v>
      </c>
      <c r="H266" s="15" t="s">
        <v>2352</v>
      </c>
      <c r="I266" s="16" t="s">
        <v>2340</v>
      </c>
      <c r="J266" s="73" t="s">
        <v>2341</v>
      </c>
      <c r="K266" s="73">
        <v>1</v>
      </c>
      <c r="L266" s="75">
        <v>45157</v>
      </c>
      <c r="M266" s="37">
        <v>19</v>
      </c>
      <c r="N266" s="37">
        <v>8</v>
      </c>
      <c r="O266" s="36">
        <v>2023</v>
      </c>
      <c r="Q266" s="51"/>
      <c r="R266" s="51"/>
      <c r="S266" s="70">
        <v>597</v>
      </c>
      <c r="T266" s="59">
        <v>597</v>
      </c>
      <c r="U266" s="61">
        <f>4*T266</f>
        <v>2388</v>
      </c>
      <c r="W266" s="54" t="s">
        <v>2354</v>
      </c>
      <c r="Y266" s="82">
        <v>45237</v>
      </c>
      <c r="Z266" s="51">
        <f t="shared" si="111"/>
        <v>7</v>
      </c>
      <c r="AA266" s="51">
        <f t="shared" si="112"/>
        <v>11</v>
      </c>
      <c r="AB266" s="51">
        <f t="shared" si="113"/>
        <v>2023</v>
      </c>
    </row>
    <row r="267" spans="1:28">
      <c r="A267" s="45" t="s">
        <v>2342</v>
      </c>
      <c r="B267" s="37" t="s">
        <v>2343</v>
      </c>
      <c r="C267" s="8" t="s">
        <v>2344</v>
      </c>
      <c r="D267" s="8" t="s">
        <v>2345</v>
      </c>
      <c r="E267" s="8" t="s">
        <v>2346</v>
      </c>
      <c r="F267" s="8" t="s">
        <v>2347</v>
      </c>
      <c r="G267" s="8" t="s">
        <v>108</v>
      </c>
      <c r="H267" s="8" t="s">
        <v>2348</v>
      </c>
      <c r="I267" s="16" t="s">
        <v>2349</v>
      </c>
      <c r="J267" s="73" t="s">
        <v>2350</v>
      </c>
      <c r="K267" s="73">
        <v>1</v>
      </c>
      <c r="L267" s="75">
        <v>45159</v>
      </c>
      <c r="M267" s="37">
        <v>21</v>
      </c>
      <c r="N267" s="37">
        <v>8</v>
      </c>
      <c r="O267" s="36">
        <v>2023</v>
      </c>
      <c r="Q267" s="51"/>
      <c r="R267" s="51"/>
      <c r="S267" s="70">
        <v>597</v>
      </c>
      <c r="T267" s="59">
        <v>597</v>
      </c>
      <c r="U267" s="61">
        <f>4*T267</f>
        <v>2388</v>
      </c>
      <c r="W267" s="54" t="s">
        <v>2354</v>
      </c>
      <c r="Y267" s="82">
        <v>45250</v>
      </c>
      <c r="Z267" s="51">
        <f t="shared" si="111"/>
        <v>20</v>
      </c>
      <c r="AA267" s="51">
        <f t="shared" si="112"/>
        <v>11</v>
      </c>
      <c r="AB267" s="51">
        <f t="shared" si="113"/>
        <v>2023</v>
      </c>
    </row>
    <row r="268" spans="1:28">
      <c r="A268" s="45" t="s">
        <v>502</v>
      </c>
      <c r="B268" s="36" t="s">
        <v>503</v>
      </c>
      <c r="C268" s="45" t="s">
        <v>529</v>
      </c>
      <c r="D268" s="36" t="s">
        <v>504</v>
      </c>
      <c r="E268" s="36" t="s">
        <v>505</v>
      </c>
      <c r="F268" s="36" t="s">
        <v>177</v>
      </c>
      <c r="G268" s="36" t="s">
        <v>81</v>
      </c>
      <c r="H268" s="36" t="s">
        <v>837</v>
      </c>
      <c r="I268" s="52" t="s">
        <v>506</v>
      </c>
      <c r="J268" s="36" t="s">
        <v>2388</v>
      </c>
      <c r="K268" s="36">
        <v>1</v>
      </c>
      <c r="L268" s="47">
        <v>42264</v>
      </c>
      <c r="M268" s="36">
        <f>DAY(L268)</f>
        <v>17</v>
      </c>
      <c r="N268" s="36">
        <f>MONTH(L268)</f>
        <v>9</v>
      </c>
      <c r="O268" s="36">
        <f>YEAR(L268)</f>
        <v>2015</v>
      </c>
      <c r="P268" s="66">
        <v>1500</v>
      </c>
      <c r="Q268" s="48">
        <f>P268*1.1041667</f>
        <v>1656.2500499999999</v>
      </c>
      <c r="R268" s="48">
        <v>1064</v>
      </c>
      <c r="S268" s="49">
        <f>R268*(1+10.7143%)+589</f>
        <v>1767.0001520000001</v>
      </c>
      <c r="T268" s="50">
        <f>S268*1.09677</f>
        <v>1937.9927567090401</v>
      </c>
      <c r="U268" s="48">
        <f>6*T268</f>
        <v>11627.956540254241</v>
      </c>
      <c r="W268" s="54" t="s">
        <v>2319</v>
      </c>
      <c r="X268" s="51"/>
      <c r="Y268" s="82">
        <v>45252</v>
      </c>
      <c r="Z268" s="51">
        <f t="shared" si="111"/>
        <v>22</v>
      </c>
      <c r="AA268" s="51">
        <f t="shared" si="112"/>
        <v>11</v>
      </c>
      <c r="AB268" s="51">
        <f t="shared" si="113"/>
        <v>2023</v>
      </c>
    </row>
    <row r="269" spans="1:28">
      <c r="A269" s="45" t="s">
        <v>1736</v>
      </c>
      <c r="B269" s="57">
        <v>43696603</v>
      </c>
      <c r="C269" s="45" t="s">
        <v>1737</v>
      </c>
      <c r="D269" s="37" t="s">
        <v>1738</v>
      </c>
      <c r="E269" s="37" t="s">
        <v>1739</v>
      </c>
      <c r="F269" s="18" t="s">
        <v>1740</v>
      </c>
      <c r="G269" s="36" t="s">
        <v>1741</v>
      </c>
      <c r="H269" s="37" t="s">
        <v>1742</v>
      </c>
      <c r="I269" s="2" t="s">
        <v>1772</v>
      </c>
      <c r="J269" s="36" t="s">
        <v>1793</v>
      </c>
      <c r="K269" s="36">
        <v>1</v>
      </c>
      <c r="L269" s="56">
        <v>44173</v>
      </c>
      <c r="M269" s="36">
        <f>DAY(L269)</f>
        <v>8</v>
      </c>
      <c r="N269" s="36">
        <f>MONTH(L269)</f>
        <v>12</v>
      </c>
      <c r="O269" s="36">
        <f>YEAR(L269)</f>
        <v>2020</v>
      </c>
      <c r="Q269" s="63">
        <v>1160</v>
      </c>
      <c r="R269" s="48">
        <f>Q269</f>
        <v>1160</v>
      </c>
      <c r="S269" s="49">
        <f>(R269*(1+10.7143%))/2</f>
        <v>642.14293999999995</v>
      </c>
      <c r="T269" s="50">
        <f>S269*(1+9.677%)</f>
        <v>704.28311230379995</v>
      </c>
      <c r="U269" s="50">
        <f>ROUNDUP(T269*1.05,2)</f>
        <v>739.5</v>
      </c>
      <c r="V269" s="48">
        <f>6*U269</f>
        <v>4437</v>
      </c>
      <c r="W269" s="61"/>
      <c r="X269" s="54" t="s">
        <v>2412</v>
      </c>
      <c r="Y269" s="82">
        <v>45272</v>
      </c>
      <c r="Z269" s="51">
        <f t="shared" si="111"/>
        <v>12</v>
      </c>
      <c r="AA269" s="51">
        <f t="shared" si="112"/>
        <v>12</v>
      </c>
      <c r="AB269" s="51">
        <f t="shared" si="113"/>
        <v>2023</v>
      </c>
    </row>
    <row r="270" spans="1:28">
      <c r="A270" s="45" t="s">
        <v>1947</v>
      </c>
      <c r="B270" s="46">
        <v>401873778</v>
      </c>
      <c r="C270" s="36" t="s">
        <v>1968</v>
      </c>
      <c r="D270" s="37" t="s">
        <v>1948</v>
      </c>
      <c r="E270" s="86" t="s">
        <v>1949</v>
      </c>
      <c r="F270" s="36" t="s">
        <v>1950</v>
      </c>
      <c r="G270" s="36" t="s">
        <v>1951</v>
      </c>
      <c r="H270" s="57" t="s">
        <v>1974</v>
      </c>
      <c r="I270" s="2" t="s">
        <v>1972</v>
      </c>
      <c r="J270" s="36" t="s">
        <v>1952</v>
      </c>
      <c r="K270" s="36">
        <v>1</v>
      </c>
      <c r="L270" s="56">
        <v>44447</v>
      </c>
      <c r="M270" s="36">
        <f>DAY(L270)</f>
        <v>8</v>
      </c>
      <c r="N270" s="36">
        <f>MONTH(L270)</f>
        <v>9</v>
      </c>
      <c r="O270" s="36">
        <f>YEAR(L270)</f>
        <v>2021</v>
      </c>
      <c r="Q270" s="51"/>
      <c r="R270" s="63">
        <v>560</v>
      </c>
      <c r="S270" s="48">
        <f>R270*(1+10.7143%)</f>
        <v>620.00008000000003</v>
      </c>
      <c r="T270" s="48">
        <f>S270*(1+9.677%)</f>
        <v>679.99748774160003</v>
      </c>
      <c r="U270" s="48">
        <f>ROUNDUP(T270*1.05,2)</f>
        <v>714</v>
      </c>
      <c r="V270" s="48">
        <f>6*U270</f>
        <v>4284</v>
      </c>
      <c r="X270" s="54" t="s">
        <v>2412</v>
      </c>
      <c r="Y270" s="82">
        <v>45300</v>
      </c>
      <c r="Z270" s="51">
        <f t="shared" si="111"/>
        <v>9</v>
      </c>
      <c r="AA270" s="51">
        <f t="shared" si="112"/>
        <v>1</v>
      </c>
      <c r="AB270" s="51">
        <f t="shared" si="113"/>
        <v>2024</v>
      </c>
    </row>
    <row r="271" spans="1:28">
      <c r="A271" s="45" t="s">
        <v>2414</v>
      </c>
      <c r="B271" s="37" t="s">
        <v>2295</v>
      </c>
      <c r="C271" s="37" t="s">
        <v>2296</v>
      </c>
      <c r="D271" s="57" t="s">
        <v>2379</v>
      </c>
      <c r="E271" s="37" t="s">
        <v>2297</v>
      </c>
      <c r="F271" s="37" t="s">
        <v>2298</v>
      </c>
      <c r="G271" s="37" t="s">
        <v>108</v>
      </c>
      <c r="H271" s="57" t="s">
        <v>2303</v>
      </c>
      <c r="I271" s="2" t="s">
        <v>2299</v>
      </c>
      <c r="J271" s="36" t="s">
        <v>2300</v>
      </c>
      <c r="K271" s="36">
        <v>1</v>
      </c>
      <c r="L271" s="75">
        <v>45226</v>
      </c>
      <c r="M271" s="36">
        <f>DAY(L271)</f>
        <v>27</v>
      </c>
      <c r="N271" s="36">
        <f>MONTH(L271)</f>
        <v>10</v>
      </c>
      <c r="O271" s="36">
        <f>YEAR(L271)</f>
        <v>2023</v>
      </c>
      <c r="Q271" s="51"/>
      <c r="R271" s="51"/>
      <c r="S271" s="48">
        <v>680</v>
      </c>
      <c r="T271" s="59">
        <v>597</v>
      </c>
      <c r="U271" s="59">
        <f>ROUNDUP(T271*1.05,2)</f>
        <v>626.85</v>
      </c>
      <c r="V271" s="48">
        <f>6*U271</f>
        <v>3761.1000000000004</v>
      </c>
      <c r="X271" s="54" t="s">
        <v>2412</v>
      </c>
      <c r="Y271" s="82">
        <v>45309</v>
      </c>
      <c r="Z271" s="51">
        <f t="shared" si="111"/>
        <v>18</v>
      </c>
      <c r="AA271" s="51">
        <f t="shared" si="112"/>
        <v>1</v>
      </c>
      <c r="AB271" s="51">
        <f t="shared" si="113"/>
        <v>2024</v>
      </c>
    </row>
    <row r="272" spans="1:28">
      <c r="A272" t="s">
        <v>2380</v>
      </c>
      <c r="B272">
        <v>5516744</v>
      </c>
      <c r="C272" t="s">
        <v>2381</v>
      </c>
      <c r="D272" t="s">
        <v>2382</v>
      </c>
      <c r="E272" t="s">
        <v>2383</v>
      </c>
      <c r="F272" t="s">
        <v>2384</v>
      </c>
      <c r="G272" t="s">
        <v>108</v>
      </c>
      <c r="H272" t="s">
        <v>2386</v>
      </c>
      <c r="I272" t="s">
        <v>2385</v>
      </c>
      <c r="J272" t="s">
        <v>2418</v>
      </c>
      <c r="K272">
        <v>1</v>
      </c>
      <c r="L272">
        <v>45230</v>
      </c>
      <c r="M272">
        <v>31</v>
      </c>
      <c r="N272">
        <v>10</v>
      </c>
      <c r="O272">
        <v>2023</v>
      </c>
      <c r="T272">
        <v>1100</v>
      </c>
      <c r="U272">
        <v>1100</v>
      </c>
      <c r="V272">
        <v>6600</v>
      </c>
      <c r="X272" t="s">
        <v>2412</v>
      </c>
      <c r="Y272" s="82">
        <v>45286</v>
      </c>
      <c r="Z272" s="51">
        <f t="shared" si="111"/>
        <v>26</v>
      </c>
      <c r="AA272" s="51">
        <f t="shared" si="112"/>
        <v>12</v>
      </c>
      <c r="AB272" s="51">
        <f t="shared" si="113"/>
        <v>2023</v>
      </c>
    </row>
    <row r="273" spans="1:28">
      <c r="A273" s="94" t="s">
        <v>219</v>
      </c>
      <c r="B273" s="46">
        <v>8840476</v>
      </c>
      <c r="C273" s="55" t="s">
        <v>456</v>
      </c>
      <c r="D273" s="46" t="s">
        <v>220</v>
      </c>
      <c r="E273" s="36" t="s">
        <v>12</v>
      </c>
      <c r="F273" s="36" t="s">
        <v>13</v>
      </c>
      <c r="G273" s="36" t="s">
        <v>81</v>
      </c>
      <c r="H273" s="36" t="s">
        <v>14</v>
      </c>
      <c r="I273" s="36" t="s">
        <v>221</v>
      </c>
      <c r="J273" s="36" t="s">
        <v>362</v>
      </c>
      <c r="K273" s="36">
        <v>1</v>
      </c>
      <c r="L273" s="47">
        <v>41486</v>
      </c>
      <c r="M273" s="36">
        <f t="shared" ref="M273:M278" si="114">DAY(L273)</f>
        <v>31</v>
      </c>
      <c r="N273" s="36">
        <f t="shared" ref="N273:N278" si="115">MONTH(L273)</f>
        <v>7</v>
      </c>
      <c r="O273" s="36">
        <f t="shared" ref="O273:O278" si="116">YEAR(L273)</f>
        <v>2013</v>
      </c>
      <c r="P273" s="48">
        <v>480</v>
      </c>
      <c r="Q273" s="48">
        <f>P273*1.1041667</f>
        <v>530.00001599999996</v>
      </c>
      <c r="R273" s="48">
        <f>Q273*1.05660377</f>
        <v>560.0000150056602</v>
      </c>
      <c r="S273" s="49">
        <f>R273*(1+10.7143%)</f>
        <v>620.00009661341164</v>
      </c>
      <c r="T273" s="50">
        <f>S273*1.09677</f>
        <v>679.99750596269155</v>
      </c>
      <c r="U273" s="50">
        <f t="shared" ref="U273:U278" si="117">ROUNDUP(T273*1.05,2)</f>
        <v>714</v>
      </c>
      <c r="V273" s="48">
        <f t="shared" ref="V273:V278" si="118">6*U273</f>
        <v>4284</v>
      </c>
      <c r="X273" s="155" t="s">
        <v>2416</v>
      </c>
      <c r="Y273" s="82">
        <v>45273</v>
      </c>
      <c r="Z273" s="51">
        <f t="shared" si="111"/>
        <v>13</v>
      </c>
      <c r="AA273" s="51">
        <f t="shared" si="112"/>
        <v>12</v>
      </c>
      <c r="AB273" s="51">
        <f t="shared" si="113"/>
        <v>2023</v>
      </c>
    </row>
    <row r="274" spans="1:28" s="158" customFormat="1">
      <c r="A274" s="45" t="s">
        <v>2261</v>
      </c>
      <c r="B274" s="156" t="s">
        <v>2263</v>
      </c>
      <c r="C274" s="157" t="s">
        <v>2262</v>
      </c>
      <c r="D274" s="156" t="s">
        <v>2265</v>
      </c>
      <c r="E274" s="156" t="s">
        <v>2267</v>
      </c>
      <c r="F274" s="156" t="s">
        <v>579</v>
      </c>
      <c r="G274" s="85" t="s">
        <v>81</v>
      </c>
      <c r="H274" s="156" t="s">
        <v>2266</v>
      </c>
      <c r="I274" s="158" t="s">
        <v>2264</v>
      </c>
      <c r="J274" s="85" t="s">
        <v>582</v>
      </c>
      <c r="K274" s="85">
        <v>1</v>
      </c>
      <c r="L274" s="159">
        <v>42635</v>
      </c>
      <c r="M274" s="85">
        <f t="shared" si="114"/>
        <v>22</v>
      </c>
      <c r="N274" s="85">
        <f t="shared" si="115"/>
        <v>9</v>
      </c>
      <c r="O274" s="85">
        <f t="shared" si="116"/>
        <v>2016</v>
      </c>
      <c r="P274" s="160">
        <v>380</v>
      </c>
      <c r="Q274" s="161">
        <f>P274*1.1041667</f>
        <v>419.58334600000001</v>
      </c>
      <c r="R274" s="161">
        <f>Q274*1.05660377</f>
        <v>443.33334521281438</v>
      </c>
      <c r="S274" s="162">
        <f>R274*(1+10.7143%)</f>
        <v>490.83340981895094</v>
      </c>
      <c r="T274" s="50">
        <f>S274*1.09677</f>
        <v>538.33135888713082</v>
      </c>
      <c r="U274" s="50">
        <f t="shared" si="117"/>
        <v>565.25</v>
      </c>
      <c r="V274" s="161">
        <f t="shared" si="118"/>
        <v>3391.5</v>
      </c>
      <c r="X274" s="54" t="s">
        <v>2412</v>
      </c>
      <c r="Y274" s="82">
        <v>45325</v>
      </c>
      <c r="Z274" s="163">
        <f t="shared" si="111"/>
        <v>3</v>
      </c>
      <c r="AA274" s="163">
        <f t="shared" si="112"/>
        <v>2</v>
      </c>
      <c r="AB274" s="158">
        <f t="shared" si="113"/>
        <v>2024</v>
      </c>
    </row>
    <row r="275" spans="1:28">
      <c r="A275" s="115" t="s">
        <v>2390</v>
      </c>
      <c r="B275" s="57">
        <v>48511847</v>
      </c>
      <c r="C275" s="37" t="s">
        <v>2391</v>
      </c>
      <c r="D275" s="8" t="s">
        <v>2392</v>
      </c>
      <c r="E275" s="37" t="s">
        <v>2393</v>
      </c>
      <c r="F275" s="37" t="s">
        <v>2394</v>
      </c>
      <c r="G275" s="37" t="s">
        <v>647</v>
      </c>
      <c r="H275" s="57" t="s">
        <v>2413</v>
      </c>
      <c r="I275" t="s">
        <v>2395</v>
      </c>
      <c r="J275" s="36" t="s">
        <v>138</v>
      </c>
      <c r="K275" s="36">
        <v>1</v>
      </c>
      <c r="L275" s="75">
        <v>45261</v>
      </c>
      <c r="M275" s="36">
        <f t="shared" si="114"/>
        <v>1</v>
      </c>
      <c r="N275" s="36">
        <f t="shared" si="115"/>
        <v>12</v>
      </c>
      <c r="O275" s="36">
        <f t="shared" si="116"/>
        <v>2023</v>
      </c>
      <c r="Q275" s="51"/>
      <c r="R275" s="51"/>
      <c r="S275" s="51"/>
      <c r="T275" s="59">
        <v>597</v>
      </c>
      <c r="U275" s="164">
        <f t="shared" si="117"/>
        <v>626.85</v>
      </c>
      <c r="V275" s="61">
        <f t="shared" si="118"/>
        <v>3761.1000000000004</v>
      </c>
      <c r="X275" s="54" t="s">
        <v>2412</v>
      </c>
      <c r="Y275" s="82">
        <v>45311</v>
      </c>
      <c r="Z275" s="51">
        <f t="shared" si="111"/>
        <v>20</v>
      </c>
      <c r="AA275" s="51">
        <f t="shared" si="112"/>
        <v>1</v>
      </c>
      <c r="AB275" s="51">
        <f t="shared" si="113"/>
        <v>2024</v>
      </c>
    </row>
    <row r="276" spans="1:28" s="171" customFormat="1">
      <c r="A276" s="165" t="s">
        <v>2356</v>
      </c>
      <c r="B276" s="166">
        <v>3101803520</v>
      </c>
      <c r="C276" s="166" t="s">
        <v>2360</v>
      </c>
      <c r="D276" s="167" t="s">
        <v>2357</v>
      </c>
      <c r="E276" s="167" t="s">
        <v>2358</v>
      </c>
      <c r="F276" s="167" t="s">
        <v>715</v>
      </c>
      <c r="G276" s="167" t="s">
        <v>108</v>
      </c>
      <c r="H276" s="167" t="s">
        <v>2359</v>
      </c>
      <c r="I276" s="168" t="s">
        <v>2361</v>
      </c>
      <c r="J276" s="169" t="s">
        <v>334</v>
      </c>
      <c r="K276" s="169">
        <v>1</v>
      </c>
      <c r="L276" s="170">
        <v>45165</v>
      </c>
      <c r="M276" s="94">
        <f t="shared" si="114"/>
        <v>27</v>
      </c>
      <c r="N276" s="94">
        <f t="shared" si="115"/>
        <v>8</v>
      </c>
      <c r="O276" s="94">
        <f t="shared" si="116"/>
        <v>2023</v>
      </c>
      <c r="Q276" s="155"/>
      <c r="R276" s="155"/>
      <c r="S276" s="172">
        <v>597</v>
      </c>
      <c r="T276" s="173">
        <v>597</v>
      </c>
      <c r="U276" s="173">
        <f t="shared" si="117"/>
        <v>626.85</v>
      </c>
      <c r="V276" s="174">
        <f t="shared" si="118"/>
        <v>3761.1000000000004</v>
      </c>
      <c r="X276" s="155" t="s">
        <v>2412</v>
      </c>
      <c r="Y276" s="82">
        <v>45329</v>
      </c>
      <c r="Z276" s="51">
        <f t="shared" si="111"/>
        <v>7</v>
      </c>
      <c r="AA276" s="51">
        <f t="shared" si="112"/>
        <v>2</v>
      </c>
      <c r="AB276" s="51">
        <f t="shared" si="113"/>
        <v>2024</v>
      </c>
    </row>
    <row r="277" spans="1:28" ht="12.75" customHeight="1">
      <c r="A277" s="115" t="s">
        <v>1116</v>
      </c>
      <c r="B277" s="57">
        <v>379294898</v>
      </c>
      <c r="C277" s="55" t="s">
        <v>1117</v>
      </c>
      <c r="D277" s="37" t="s">
        <v>1118</v>
      </c>
      <c r="E277" s="37" t="s">
        <v>1119</v>
      </c>
      <c r="F277" s="36" t="s">
        <v>11</v>
      </c>
      <c r="G277" s="36" t="s">
        <v>108</v>
      </c>
      <c r="H277" s="57" t="s">
        <v>1120</v>
      </c>
      <c r="I277" s="2" t="s">
        <v>1146</v>
      </c>
      <c r="J277" s="36" t="s">
        <v>1121</v>
      </c>
      <c r="K277" s="36">
        <v>1</v>
      </c>
      <c r="L277" s="56">
        <v>43101</v>
      </c>
      <c r="M277" s="36">
        <f t="shared" si="114"/>
        <v>1</v>
      </c>
      <c r="N277" s="36">
        <f t="shared" si="115"/>
        <v>1</v>
      </c>
      <c r="O277" s="36">
        <f t="shared" si="116"/>
        <v>2018</v>
      </c>
      <c r="P277" s="11">
        <v>588</v>
      </c>
      <c r="Q277" s="48">
        <v>480</v>
      </c>
      <c r="R277" s="48">
        <v>480</v>
      </c>
      <c r="S277" s="49">
        <f>R277*(1+10.7143%)</f>
        <v>531.42863999999997</v>
      </c>
      <c r="T277" s="50">
        <f>S277*(1+9.677%)</f>
        <v>582.85498949279997</v>
      </c>
      <c r="U277" s="50">
        <f t="shared" si="117"/>
        <v>612</v>
      </c>
      <c r="V277" s="53">
        <f t="shared" si="118"/>
        <v>3672</v>
      </c>
      <c r="X277" s="54" t="s">
        <v>2412</v>
      </c>
      <c r="Y277" s="82">
        <v>45304</v>
      </c>
      <c r="Z277" s="51">
        <f t="shared" si="111"/>
        <v>13</v>
      </c>
      <c r="AA277" s="51">
        <f t="shared" si="112"/>
        <v>1</v>
      </c>
      <c r="AB277" s="51">
        <f t="shared" si="113"/>
        <v>2024</v>
      </c>
    </row>
    <row r="278" spans="1:28">
      <c r="A278" s="115" t="s">
        <v>1655</v>
      </c>
      <c r="B278" t="s">
        <v>1656</v>
      </c>
      <c r="C278" s="45" t="s">
        <v>1657</v>
      </c>
      <c r="D278" s="37" t="s">
        <v>1658</v>
      </c>
      <c r="E278" s="37" t="s">
        <v>1659</v>
      </c>
      <c r="F278" t="s">
        <v>1660</v>
      </c>
      <c r="G278" s="36" t="s">
        <v>108</v>
      </c>
      <c r="H278" s="37" t="s">
        <v>1488</v>
      </c>
      <c r="I278" s="2" t="s">
        <v>1820</v>
      </c>
      <c r="J278" s="36" t="s">
        <v>500</v>
      </c>
      <c r="K278" s="36">
        <v>1</v>
      </c>
      <c r="L278" s="56">
        <v>44106</v>
      </c>
      <c r="M278" s="36">
        <f t="shared" si="114"/>
        <v>2</v>
      </c>
      <c r="N278" s="36">
        <f t="shared" si="115"/>
        <v>10</v>
      </c>
      <c r="O278" s="36">
        <f t="shared" si="116"/>
        <v>2020</v>
      </c>
      <c r="Q278" s="63">
        <v>480</v>
      </c>
      <c r="R278" s="48">
        <f>Q278</f>
        <v>480</v>
      </c>
      <c r="S278" s="49">
        <f>R278*(1+10.7143%)</f>
        <v>531.42863999999997</v>
      </c>
      <c r="T278" s="50">
        <f>S278*(1+9.677%)</f>
        <v>582.85498949279997</v>
      </c>
      <c r="U278" s="50">
        <f t="shared" si="117"/>
        <v>612</v>
      </c>
      <c r="V278" s="53">
        <f t="shared" si="118"/>
        <v>3672</v>
      </c>
      <c r="X278" s="54" t="s">
        <v>2412</v>
      </c>
      <c r="Y278" s="82">
        <v>45300</v>
      </c>
      <c r="Z278" s="51">
        <f t="shared" si="111"/>
        <v>9</v>
      </c>
      <c r="AA278" s="51">
        <f t="shared" si="112"/>
        <v>1</v>
      </c>
      <c r="AB278" s="51">
        <f t="shared" si="113"/>
        <v>2024</v>
      </c>
    </row>
    <row r="279" spans="1:28">
      <c r="A279" s="45" t="s">
        <v>2403</v>
      </c>
      <c r="B279" s="37" t="s">
        <v>2404</v>
      </c>
      <c r="C279" s="37" t="s">
        <v>2405</v>
      </c>
      <c r="D279" s="8" t="s">
        <v>2406</v>
      </c>
      <c r="E279" s="37" t="s">
        <v>2407</v>
      </c>
      <c r="F279" s="37" t="s">
        <v>2408</v>
      </c>
      <c r="G279" s="37" t="s">
        <v>108</v>
      </c>
      <c r="H279" s="64" t="s">
        <v>2417</v>
      </c>
      <c r="I279" s="2" t="s">
        <v>2409</v>
      </c>
      <c r="J279" s="36" t="s">
        <v>2410</v>
      </c>
      <c r="K279" s="36">
        <v>1</v>
      </c>
      <c r="L279" s="75">
        <v>45276</v>
      </c>
      <c r="M279" s="36">
        <f t="shared" ref="M279:M288" si="119">DAY(L279)</f>
        <v>16</v>
      </c>
      <c r="N279" s="36">
        <f t="shared" ref="N279:N288" si="120">MONTH(L279)</f>
        <v>12</v>
      </c>
      <c r="O279" s="36">
        <f t="shared" ref="O279:O288" si="121">YEAR(L279)</f>
        <v>2023</v>
      </c>
      <c r="Q279" s="51"/>
      <c r="R279" s="51"/>
      <c r="S279" s="51"/>
      <c r="T279" s="59">
        <v>597</v>
      </c>
      <c r="U279" s="164">
        <f>ROUNDUP(T279*1,2)</f>
        <v>597</v>
      </c>
      <c r="V279" s="61">
        <f t="shared" ref="V279:V287" si="122">6*U279</f>
        <v>3582</v>
      </c>
      <c r="X279" s="54" t="s">
        <v>2412</v>
      </c>
      <c r="Y279" s="82">
        <v>45367</v>
      </c>
      <c r="Z279" s="51">
        <f t="shared" si="111"/>
        <v>16</v>
      </c>
      <c r="AA279" s="51">
        <f t="shared" si="112"/>
        <v>3</v>
      </c>
      <c r="AB279" s="51">
        <f t="shared" si="113"/>
        <v>2024</v>
      </c>
    </row>
    <row r="280" spans="1:28">
      <c r="A280" s="115" t="s">
        <v>262</v>
      </c>
      <c r="B280" s="46">
        <v>18420741</v>
      </c>
      <c r="C280" s="45" t="s">
        <v>459</v>
      </c>
      <c r="D280" s="36" t="s">
        <v>263</v>
      </c>
      <c r="E280" s="36" t="s">
        <v>264</v>
      </c>
      <c r="F280" s="36" t="s">
        <v>265</v>
      </c>
      <c r="G280" s="36" t="s">
        <v>265</v>
      </c>
      <c r="H280" s="51" t="s">
        <v>266</v>
      </c>
      <c r="I280" s="52" t="s">
        <v>2030</v>
      </c>
      <c r="J280" s="36" t="s">
        <v>2507</v>
      </c>
      <c r="K280" s="36">
        <v>1</v>
      </c>
      <c r="L280" s="47">
        <v>41731</v>
      </c>
      <c r="M280" s="36">
        <f t="shared" si="119"/>
        <v>2</v>
      </c>
      <c r="N280" s="36">
        <f t="shared" si="120"/>
        <v>4</v>
      </c>
      <c r="O280" s="36">
        <f t="shared" si="121"/>
        <v>2014</v>
      </c>
      <c r="P280" s="48">
        <f>3443.52-423.36</f>
        <v>3020.16</v>
      </c>
      <c r="Q280" s="48">
        <f>P280*1.1041667</f>
        <v>3334.7601006719997</v>
      </c>
      <c r="R280" s="48">
        <v>4017.44</v>
      </c>
      <c r="S280" s="49">
        <f>R280*(1+10.7143%)</f>
        <v>4447.8805739199997</v>
      </c>
      <c r="T280" s="50">
        <v>4268.51</v>
      </c>
      <c r="U280" s="50">
        <f>ROUNDUP(T280*1.05,2)</f>
        <v>4481.9400000000005</v>
      </c>
      <c r="V280" s="53">
        <f t="shared" si="122"/>
        <v>26891.640000000003</v>
      </c>
      <c r="W280" s="51" t="s">
        <v>165</v>
      </c>
      <c r="X280" s="54" t="s">
        <v>2412</v>
      </c>
      <c r="Y280" s="82">
        <v>45362</v>
      </c>
      <c r="Z280" s="51">
        <f t="shared" si="111"/>
        <v>11</v>
      </c>
      <c r="AA280" s="51">
        <f t="shared" si="112"/>
        <v>3</v>
      </c>
      <c r="AB280" s="51">
        <f t="shared" si="113"/>
        <v>2024</v>
      </c>
    </row>
    <row r="281" spans="1:28">
      <c r="A281" s="45" t="s">
        <v>2380</v>
      </c>
      <c r="B281" s="57">
        <v>5516744</v>
      </c>
      <c r="C281" s="142" t="s">
        <v>2381</v>
      </c>
      <c r="D281" s="8" t="s">
        <v>2382</v>
      </c>
      <c r="E281" s="37" t="s">
        <v>2383</v>
      </c>
      <c r="F281" s="37" t="s">
        <v>2384</v>
      </c>
      <c r="G281" s="37" t="s">
        <v>108</v>
      </c>
      <c r="H281" s="37" t="s">
        <v>2386</v>
      </c>
      <c r="I281" t="s">
        <v>2385</v>
      </c>
      <c r="J281" s="36" t="s">
        <v>2419</v>
      </c>
      <c r="K281" s="36">
        <v>1</v>
      </c>
      <c r="L281" s="75">
        <v>45230</v>
      </c>
      <c r="M281" s="36">
        <f t="shared" si="119"/>
        <v>31</v>
      </c>
      <c r="N281" s="36">
        <f t="shared" si="120"/>
        <v>10</v>
      </c>
      <c r="O281" s="36">
        <f t="shared" si="121"/>
        <v>2023</v>
      </c>
      <c r="Q281" s="51"/>
      <c r="R281" s="51"/>
      <c r="S281" s="51"/>
      <c r="T281" s="70">
        <v>550</v>
      </c>
      <c r="U281" s="164">
        <f>ROUNDUP(T281*1,2)</f>
        <v>550</v>
      </c>
      <c r="V281" s="61">
        <f t="shared" si="122"/>
        <v>3300</v>
      </c>
      <c r="X281" s="54" t="s">
        <v>2412</v>
      </c>
      <c r="Y281" s="82">
        <v>45384</v>
      </c>
      <c r="Z281" s="51">
        <f t="shared" si="111"/>
        <v>2</v>
      </c>
      <c r="AA281" s="51">
        <f t="shared" si="112"/>
        <v>4</v>
      </c>
      <c r="AB281" s="51">
        <f t="shared" si="113"/>
        <v>2024</v>
      </c>
    </row>
    <row r="282" spans="1:28">
      <c r="A282" s="148" t="s">
        <v>2313</v>
      </c>
      <c r="B282">
        <v>436869433</v>
      </c>
      <c r="C282" s="46" t="s">
        <v>2314</v>
      </c>
      <c r="D282" s="36">
        <v>11963579160</v>
      </c>
      <c r="E282" s="36" t="s">
        <v>2315</v>
      </c>
      <c r="F282" s="36" t="s">
        <v>2316</v>
      </c>
      <c r="G282" s="36" t="s">
        <v>1791</v>
      </c>
      <c r="H282" s="68" t="s">
        <v>1816</v>
      </c>
      <c r="I282" s="52" t="s">
        <v>2317</v>
      </c>
      <c r="J282" s="36" t="s">
        <v>281</v>
      </c>
      <c r="K282" s="36">
        <v>1</v>
      </c>
      <c r="L282" s="56">
        <v>44664</v>
      </c>
      <c r="M282" s="36">
        <f t="shared" si="119"/>
        <v>13</v>
      </c>
      <c r="N282" s="36">
        <f t="shared" si="120"/>
        <v>4</v>
      </c>
      <c r="O282" s="36">
        <f t="shared" si="121"/>
        <v>2022</v>
      </c>
      <c r="Q282" s="51"/>
      <c r="R282" s="51"/>
      <c r="S282" s="48">
        <v>620</v>
      </c>
      <c r="T282" s="48">
        <f>S282*1.09677</f>
        <v>679.99739999999997</v>
      </c>
      <c r="U282" s="48">
        <f t="shared" ref="U282:U287" si="123">ROUNDUP(T282*1.05,2)</f>
        <v>714</v>
      </c>
      <c r="V282" s="48">
        <f t="shared" si="122"/>
        <v>4284</v>
      </c>
      <c r="X282" s="54" t="s">
        <v>2412</v>
      </c>
      <c r="Y282" s="82">
        <v>45392</v>
      </c>
      <c r="Z282" s="51">
        <f t="shared" si="111"/>
        <v>10</v>
      </c>
      <c r="AA282" s="51">
        <f t="shared" si="112"/>
        <v>4</v>
      </c>
      <c r="AB282" s="51">
        <f t="shared" si="113"/>
        <v>2024</v>
      </c>
    </row>
    <row r="283" spans="1:28">
      <c r="A283" s="115" t="s">
        <v>2210</v>
      </c>
      <c r="C283" s="36" t="s">
        <v>2211</v>
      </c>
      <c r="D283" s="37" t="s">
        <v>2212</v>
      </c>
      <c r="E283" s="37" t="s">
        <v>2213</v>
      </c>
      <c r="F283" s="37" t="s">
        <v>23</v>
      </c>
      <c r="G283" s="37" t="s">
        <v>108</v>
      </c>
      <c r="H283" s="57" t="s">
        <v>2228</v>
      </c>
      <c r="I283" t="s">
        <v>2214</v>
      </c>
      <c r="J283" s="36" t="s">
        <v>2215</v>
      </c>
      <c r="K283" s="36">
        <v>1</v>
      </c>
      <c r="L283" s="75">
        <v>44867</v>
      </c>
      <c r="M283" s="36">
        <f t="shared" si="119"/>
        <v>2</v>
      </c>
      <c r="N283" s="36">
        <f t="shared" si="120"/>
        <v>11</v>
      </c>
      <c r="O283" s="36">
        <f t="shared" si="121"/>
        <v>2022</v>
      </c>
      <c r="Q283" s="51"/>
      <c r="R283" s="63"/>
      <c r="S283" s="70">
        <v>620</v>
      </c>
      <c r="T283" s="150">
        <v>680</v>
      </c>
      <c r="U283" s="150">
        <f t="shared" si="123"/>
        <v>714</v>
      </c>
      <c r="V283" s="83">
        <f t="shared" si="122"/>
        <v>4284</v>
      </c>
      <c r="X283" s="54" t="s">
        <v>2412</v>
      </c>
      <c r="Y283" s="82">
        <v>45413</v>
      </c>
      <c r="Z283" s="51">
        <f t="shared" si="111"/>
        <v>1</v>
      </c>
      <c r="AA283" s="51">
        <f t="shared" si="112"/>
        <v>5</v>
      </c>
      <c r="AB283" s="51">
        <f t="shared" si="113"/>
        <v>2024</v>
      </c>
    </row>
    <row r="284" spans="1:28">
      <c r="A284" s="45" t="s">
        <v>2050</v>
      </c>
      <c r="B284" s="46">
        <v>205220708</v>
      </c>
      <c r="C284" s="36" t="s">
        <v>2051</v>
      </c>
      <c r="D284" s="36" t="s">
        <v>2052</v>
      </c>
      <c r="E284" s="36" t="s">
        <v>2053</v>
      </c>
      <c r="F284" s="36" t="s">
        <v>2054</v>
      </c>
      <c r="G284" s="36" t="s">
        <v>108</v>
      </c>
      <c r="H284" s="36" t="s">
        <v>2055</v>
      </c>
      <c r="I284" s="52" t="s">
        <v>2056</v>
      </c>
      <c r="J284" s="36" t="s">
        <v>1302</v>
      </c>
      <c r="K284" s="36">
        <v>1</v>
      </c>
      <c r="L284" s="47">
        <v>44569</v>
      </c>
      <c r="M284" s="36">
        <f t="shared" si="119"/>
        <v>8</v>
      </c>
      <c r="N284" s="36">
        <f t="shared" si="120"/>
        <v>1</v>
      </c>
      <c r="O284" s="36">
        <f t="shared" si="121"/>
        <v>2022</v>
      </c>
      <c r="P284" s="51"/>
      <c r="Q284" s="51"/>
      <c r="R284" s="48"/>
      <c r="S284" s="48">
        <v>620</v>
      </c>
      <c r="T284" s="48">
        <f>S284*(1+9.677%)</f>
        <v>679.99739999999997</v>
      </c>
      <c r="U284" s="48">
        <f t="shared" si="123"/>
        <v>714</v>
      </c>
      <c r="V284" s="48">
        <f t="shared" si="122"/>
        <v>4284</v>
      </c>
      <c r="W284" s="51"/>
      <c r="X284" s="54" t="s">
        <v>2412</v>
      </c>
      <c r="Y284" s="82">
        <v>45424</v>
      </c>
      <c r="Z284" s="51">
        <f t="shared" si="111"/>
        <v>12</v>
      </c>
      <c r="AA284" s="51">
        <f t="shared" si="112"/>
        <v>5</v>
      </c>
      <c r="AB284" s="51">
        <f t="shared" si="113"/>
        <v>2024</v>
      </c>
    </row>
    <row r="285" spans="1:28">
      <c r="A285" s="115" t="s">
        <v>2178</v>
      </c>
      <c r="B285" s="57">
        <v>39102373</v>
      </c>
      <c r="C285" s="36" t="s">
        <v>2179</v>
      </c>
      <c r="D285" s="37" t="s">
        <v>2389</v>
      </c>
      <c r="E285" s="37" t="s">
        <v>2185</v>
      </c>
      <c r="F285" s="37" t="s">
        <v>2180</v>
      </c>
      <c r="G285" s="37" t="s">
        <v>108</v>
      </c>
      <c r="H285" s="64" t="s">
        <v>2183</v>
      </c>
      <c r="I285" s="2" t="s">
        <v>2184</v>
      </c>
      <c r="J285" s="36" t="s">
        <v>2181</v>
      </c>
      <c r="K285" s="36">
        <v>1</v>
      </c>
      <c r="L285" s="56">
        <v>44779</v>
      </c>
      <c r="M285" s="36">
        <f t="shared" si="119"/>
        <v>6</v>
      </c>
      <c r="N285" s="36">
        <f t="shared" si="120"/>
        <v>8</v>
      </c>
      <c r="O285" s="36">
        <f t="shared" si="121"/>
        <v>2022</v>
      </c>
      <c r="Q285" s="51"/>
      <c r="R285" s="51"/>
      <c r="S285" s="59">
        <v>620</v>
      </c>
      <c r="T285" s="48">
        <f>S285*(1+9.677%)</f>
        <v>679.99739999999997</v>
      </c>
      <c r="U285" s="48">
        <f t="shared" si="123"/>
        <v>714</v>
      </c>
      <c r="V285" s="53">
        <f t="shared" si="122"/>
        <v>4284</v>
      </c>
      <c r="X285" s="54" t="s">
        <v>2412</v>
      </c>
      <c r="Y285" s="82">
        <v>45430</v>
      </c>
      <c r="Z285" s="51">
        <f t="shared" si="111"/>
        <v>18</v>
      </c>
      <c r="AA285" s="51">
        <f t="shared" si="112"/>
        <v>5</v>
      </c>
      <c r="AB285" s="51">
        <f t="shared" si="113"/>
        <v>2024</v>
      </c>
    </row>
    <row r="286" spans="1:28">
      <c r="A286" s="45" t="s">
        <v>1998</v>
      </c>
      <c r="B286" s="46" t="s">
        <v>1987</v>
      </c>
      <c r="C286" s="36" t="s">
        <v>1988</v>
      </c>
      <c r="D286" s="37" t="s">
        <v>2311</v>
      </c>
      <c r="E286" s="36" t="s">
        <v>1989</v>
      </c>
      <c r="F286" s="36" t="s">
        <v>1990</v>
      </c>
      <c r="G286" s="36" t="s">
        <v>108</v>
      </c>
      <c r="H286" s="36" t="s">
        <v>1991</v>
      </c>
      <c r="I286" s="2" t="s">
        <v>1992</v>
      </c>
      <c r="J286" s="36" t="s">
        <v>1993</v>
      </c>
      <c r="K286" s="36">
        <v>1</v>
      </c>
      <c r="L286" s="56">
        <v>44491</v>
      </c>
      <c r="M286" s="36">
        <f t="shared" si="119"/>
        <v>22</v>
      </c>
      <c r="N286" s="36">
        <f t="shared" si="120"/>
        <v>10</v>
      </c>
      <c r="O286" s="36">
        <f t="shared" si="121"/>
        <v>2021</v>
      </c>
      <c r="Q286" s="51"/>
      <c r="R286" s="63">
        <v>560</v>
      </c>
      <c r="S286" s="48">
        <v>620</v>
      </c>
      <c r="T286" s="48">
        <f>S286*1.09677</f>
        <v>679.99739999999997</v>
      </c>
      <c r="U286" s="48">
        <f t="shared" si="123"/>
        <v>714</v>
      </c>
      <c r="V286" s="48">
        <f t="shared" si="122"/>
        <v>4284</v>
      </c>
      <c r="X286" s="54" t="s">
        <v>2412</v>
      </c>
      <c r="Y286" s="82">
        <v>45449</v>
      </c>
      <c r="Z286" s="51">
        <f t="shared" si="111"/>
        <v>6</v>
      </c>
      <c r="AA286" s="51">
        <f t="shared" si="112"/>
        <v>6</v>
      </c>
      <c r="AB286" s="51">
        <f t="shared" si="113"/>
        <v>2024</v>
      </c>
    </row>
    <row r="287" spans="1:28">
      <c r="A287" s="45" t="s">
        <v>2396</v>
      </c>
      <c r="B287" s="57">
        <v>500562052</v>
      </c>
      <c r="C287" s="37" t="s">
        <v>2397</v>
      </c>
      <c r="D287" s="8" t="s">
        <v>2398</v>
      </c>
      <c r="E287" s="37" t="s">
        <v>2399</v>
      </c>
      <c r="F287" s="37" t="s">
        <v>2400</v>
      </c>
      <c r="G287" s="37" t="s">
        <v>108</v>
      </c>
      <c r="H287" s="57" t="s">
        <v>2415</v>
      </c>
      <c r="I287" s="2" t="s">
        <v>2401</v>
      </c>
      <c r="J287" s="36" t="s">
        <v>2402</v>
      </c>
      <c r="K287" s="36">
        <v>1</v>
      </c>
      <c r="L287" s="75">
        <v>45267</v>
      </c>
      <c r="M287" s="36">
        <f t="shared" si="119"/>
        <v>7</v>
      </c>
      <c r="N287" s="36">
        <f t="shared" si="120"/>
        <v>12</v>
      </c>
      <c r="O287" s="36">
        <f t="shared" si="121"/>
        <v>2023</v>
      </c>
      <c r="Q287" s="51"/>
      <c r="R287" s="51"/>
      <c r="S287" s="51"/>
      <c r="T287" s="59">
        <v>597</v>
      </c>
      <c r="U287" s="164">
        <f t="shared" si="123"/>
        <v>626.85</v>
      </c>
      <c r="V287" s="48">
        <f t="shared" si="122"/>
        <v>3761.1000000000004</v>
      </c>
      <c r="X287" s="54" t="s">
        <v>2412</v>
      </c>
      <c r="Y287" s="82">
        <v>45451</v>
      </c>
      <c r="Z287" s="51">
        <f t="shared" si="111"/>
        <v>8</v>
      </c>
      <c r="AA287" s="51">
        <f t="shared" si="112"/>
        <v>6</v>
      </c>
      <c r="AB287" s="51">
        <f t="shared" si="113"/>
        <v>2024</v>
      </c>
    </row>
    <row r="288" spans="1:28" s="51" customFormat="1">
      <c r="A288" s="45" t="s">
        <v>2440</v>
      </c>
      <c r="B288" s="46">
        <v>507132166</v>
      </c>
      <c r="C288" s="36" t="s">
        <v>2441</v>
      </c>
      <c r="D288" s="36" t="s">
        <v>2442</v>
      </c>
      <c r="E288" s="36" t="s">
        <v>2443</v>
      </c>
      <c r="F288" s="36" t="s">
        <v>2444</v>
      </c>
      <c r="G288" s="36" t="s">
        <v>647</v>
      </c>
      <c r="H288" s="46" t="s">
        <v>2458</v>
      </c>
      <c r="I288" s="52" t="s">
        <v>2456</v>
      </c>
      <c r="J288" s="36" t="s">
        <v>2445</v>
      </c>
      <c r="K288" s="36">
        <v>1</v>
      </c>
      <c r="L288" s="76">
        <v>45340</v>
      </c>
      <c r="M288" s="36">
        <f t="shared" si="119"/>
        <v>18</v>
      </c>
      <c r="N288" s="36">
        <f t="shared" si="120"/>
        <v>2</v>
      </c>
      <c r="O288" s="36">
        <f t="shared" si="121"/>
        <v>2024</v>
      </c>
      <c r="U288" s="59">
        <v>680</v>
      </c>
      <c r="V288" s="66">
        <f>4*U288</f>
        <v>2720</v>
      </c>
      <c r="X288" s="54" t="s">
        <v>2457</v>
      </c>
      <c r="Y288" s="82">
        <v>45460</v>
      </c>
      <c r="Z288" s="51">
        <f t="shared" si="111"/>
        <v>17</v>
      </c>
      <c r="AA288" s="51">
        <f t="shared" si="112"/>
        <v>6</v>
      </c>
      <c r="AB288" s="51">
        <f t="shared" si="113"/>
        <v>2024</v>
      </c>
    </row>
    <row r="289" spans="1:30">
      <c r="A289" s="45" t="s">
        <v>1663</v>
      </c>
      <c r="B289" s="57">
        <v>306529014</v>
      </c>
      <c r="C289" s="45" t="s">
        <v>2325</v>
      </c>
      <c r="D289" s="37" t="s">
        <v>1664</v>
      </c>
      <c r="E289" s="37" t="s">
        <v>1666</v>
      </c>
      <c r="F289" t="s">
        <v>214</v>
      </c>
      <c r="G289" s="36" t="s">
        <v>108</v>
      </c>
      <c r="H289" s="37" t="s">
        <v>1667</v>
      </c>
      <c r="I289" s="2" t="s">
        <v>1665</v>
      </c>
      <c r="J289" s="36" t="s">
        <v>2355</v>
      </c>
      <c r="K289" s="36">
        <v>2</v>
      </c>
      <c r="L289" s="56">
        <v>44127</v>
      </c>
      <c r="M289" s="36">
        <f>DAY(L289)</f>
        <v>23</v>
      </c>
      <c r="N289" s="36">
        <f>MONTH(L289)</f>
        <v>10</v>
      </c>
      <c r="O289" s="36">
        <f>YEAR(L289)</f>
        <v>2020</v>
      </c>
      <c r="Q289" s="63">
        <v>1740</v>
      </c>
      <c r="R289" s="48">
        <f>Q289</f>
        <v>1740</v>
      </c>
      <c r="S289" s="49">
        <f>R289*(1+10.7143%)</f>
        <v>1926.4288200000001</v>
      </c>
      <c r="T289" s="50">
        <v>1408.57</v>
      </c>
      <c r="U289" s="50">
        <f>ROUNDUP(T289*1.05,2)</f>
        <v>1479</v>
      </c>
      <c r="V289" s="48">
        <f>6*U289</f>
        <v>8874</v>
      </c>
      <c r="X289" t="s">
        <v>2508</v>
      </c>
      <c r="Y289" s="82">
        <v>45498</v>
      </c>
      <c r="Z289" s="51">
        <f t="shared" si="111"/>
        <v>25</v>
      </c>
      <c r="AA289" s="51">
        <f t="shared" si="112"/>
        <v>7</v>
      </c>
      <c r="AB289" s="51">
        <f t="shared" si="113"/>
        <v>2024</v>
      </c>
    </row>
    <row r="290" spans="1:30" s="51" customFormat="1">
      <c r="A290" s="45" t="s">
        <v>2446</v>
      </c>
      <c r="B290" s="46">
        <v>4319076</v>
      </c>
      <c r="C290" s="36" t="s">
        <v>2447</v>
      </c>
      <c r="D290" s="36" t="s">
        <v>504</v>
      </c>
      <c r="E290" s="36" t="s">
        <v>2448</v>
      </c>
      <c r="F290" s="36" t="s">
        <v>63</v>
      </c>
      <c r="G290" s="36" t="s">
        <v>108</v>
      </c>
      <c r="H290" s="46" t="s">
        <v>2449</v>
      </c>
      <c r="I290" s="52" t="s">
        <v>2450</v>
      </c>
      <c r="J290" s="36" t="s">
        <v>2451</v>
      </c>
      <c r="K290" s="36">
        <v>1</v>
      </c>
      <c r="L290" s="76">
        <v>45343</v>
      </c>
      <c r="M290" s="36">
        <f>DAY(L290)</f>
        <v>21</v>
      </c>
      <c r="N290" s="36">
        <f>MONTH(L290)</f>
        <v>2</v>
      </c>
      <c r="O290" s="36">
        <f>YEAR(L290)</f>
        <v>2024</v>
      </c>
      <c r="U290" s="59">
        <v>678.3</v>
      </c>
      <c r="V290" s="66">
        <f>6*U290</f>
        <v>4069.7999999999997</v>
      </c>
      <c r="X290" t="s">
        <v>2508</v>
      </c>
      <c r="Y290" s="82">
        <v>45509</v>
      </c>
      <c r="Z290" s="51">
        <f t="shared" si="111"/>
        <v>5</v>
      </c>
      <c r="AA290" s="51">
        <f t="shared" si="112"/>
        <v>8</v>
      </c>
      <c r="AB290" s="51">
        <f t="shared" si="113"/>
        <v>2024</v>
      </c>
    </row>
    <row r="291" spans="1:30">
      <c r="A291" s="45" t="s">
        <v>1669</v>
      </c>
      <c r="B291" s="57">
        <v>172619014</v>
      </c>
      <c r="C291" s="57" t="s">
        <v>2245</v>
      </c>
      <c r="D291" s="57" t="s">
        <v>1670</v>
      </c>
      <c r="E291" s="37" t="s">
        <v>1671</v>
      </c>
      <c r="F291" s="37" t="s">
        <v>1672</v>
      </c>
      <c r="G291" s="36" t="s">
        <v>108</v>
      </c>
      <c r="H291" s="37" t="s">
        <v>1696</v>
      </c>
      <c r="I291" t="s">
        <v>1673</v>
      </c>
      <c r="J291" s="36" t="s">
        <v>2136</v>
      </c>
      <c r="K291" s="36">
        <v>1</v>
      </c>
      <c r="L291" s="56">
        <v>44914</v>
      </c>
      <c r="M291" s="36">
        <v>19</v>
      </c>
      <c r="N291" s="36">
        <v>12</v>
      </c>
      <c r="O291" s="36">
        <v>2022</v>
      </c>
      <c r="U291" s="71">
        <v>630</v>
      </c>
      <c r="V291" s="48">
        <v>7560</v>
      </c>
      <c r="X291" s="54" t="s">
        <v>2510</v>
      </c>
      <c r="Y291" s="82">
        <v>45519</v>
      </c>
      <c r="Z291" s="51">
        <f t="shared" si="111"/>
        <v>15</v>
      </c>
      <c r="AA291" s="51">
        <f t="shared" si="112"/>
        <v>8</v>
      </c>
      <c r="AB291" s="51">
        <f t="shared" si="113"/>
        <v>2024</v>
      </c>
    </row>
    <row r="292" spans="1:30">
      <c r="A292" s="45" t="s">
        <v>2501</v>
      </c>
      <c r="B292" s="57">
        <v>43615241</v>
      </c>
      <c r="C292" s="81">
        <v>43191715860</v>
      </c>
      <c r="D292" s="8" t="s">
        <v>2502</v>
      </c>
      <c r="E292" s="37" t="s">
        <v>2503</v>
      </c>
      <c r="F292" s="37" t="s">
        <v>2504</v>
      </c>
      <c r="G292" s="37" t="s">
        <v>2505</v>
      </c>
      <c r="H292" s="57" t="s">
        <v>2519</v>
      </c>
      <c r="I292" s="2" t="s">
        <v>2506</v>
      </c>
      <c r="J292" s="36" t="s">
        <v>1879</v>
      </c>
      <c r="K292" s="36">
        <v>1</v>
      </c>
      <c r="L292" s="75">
        <v>45473</v>
      </c>
      <c r="M292" s="36">
        <f t="shared" ref="M292:M300" si="124">DAY(L292)</f>
        <v>30</v>
      </c>
      <c r="N292" s="36">
        <f t="shared" ref="N292:N300" si="125">MONTH(L292)</f>
        <v>6</v>
      </c>
      <c r="O292" s="36">
        <f t="shared" ref="O292:O300" si="126">YEAR(L292)</f>
        <v>2024</v>
      </c>
      <c r="Q292" s="51"/>
      <c r="R292" s="51"/>
      <c r="S292" s="51"/>
      <c r="T292" s="59">
        <v>1360</v>
      </c>
      <c r="U292" s="61">
        <v>680</v>
      </c>
      <c r="V292" s="61">
        <f t="shared" ref="V292:V298" si="127">6*U292</f>
        <v>4080</v>
      </c>
      <c r="X292" t="s">
        <v>2509</v>
      </c>
      <c r="Y292" s="82">
        <v>45482</v>
      </c>
      <c r="Z292" s="51">
        <f t="shared" si="111"/>
        <v>9</v>
      </c>
      <c r="AA292" s="51">
        <f t="shared" si="112"/>
        <v>7</v>
      </c>
      <c r="AB292" s="51">
        <f t="shared" si="113"/>
        <v>2024</v>
      </c>
    </row>
    <row r="293" spans="1:30">
      <c r="A293" s="45" t="s">
        <v>1443</v>
      </c>
      <c r="B293" s="57">
        <v>32513727</v>
      </c>
      <c r="C293" s="45" t="s">
        <v>1444</v>
      </c>
      <c r="D293" s="37" t="s">
        <v>1445</v>
      </c>
      <c r="E293" s="37" t="s">
        <v>1446</v>
      </c>
      <c r="F293" s="36" t="s">
        <v>1437</v>
      </c>
      <c r="G293" s="36" t="s">
        <v>265</v>
      </c>
      <c r="H293" s="37" t="s">
        <v>1447</v>
      </c>
      <c r="I293" s="2" t="s">
        <v>1448</v>
      </c>
      <c r="J293" s="36" t="s">
        <v>1449</v>
      </c>
      <c r="K293" s="36">
        <v>2</v>
      </c>
      <c r="L293" s="56">
        <v>43757</v>
      </c>
      <c r="M293" s="36">
        <f t="shared" si="124"/>
        <v>19</v>
      </c>
      <c r="N293" s="36">
        <f t="shared" si="125"/>
        <v>10</v>
      </c>
      <c r="O293" s="36">
        <f t="shared" si="126"/>
        <v>2019</v>
      </c>
      <c r="P293" s="43"/>
      <c r="Q293" s="70">
        <v>1007</v>
      </c>
      <c r="R293" s="48">
        <f>Q293*1.05660377</f>
        <v>1063.99999639</v>
      </c>
      <c r="S293" s="49">
        <f>R293*(1+5%+5.7143%)</f>
        <v>1178.0001480032138</v>
      </c>
      <c r="T293" s="50">
        <f>S293*1.09677</f>
        <v>1291.9952223254847</v>
      </c>
      <c r="U293" s="50">
        <f>ROUNDUP(T293*1.05,2)</f>
        <v>1356.6</v>
      </c>
      <c r="V293" s="48">
        <f t="shared" si="127"/>
        <v>8139.5999999999995</v>
      </c>
      <c r="X293" s="54" t="s">
        <v>2510</v>
      </c>
      <c r="Y293" s="82">
        <v>45581</v>
      </c>
      <c r="Z293" s="51">
        <f t="shared" si="111"/>
        <v>16</v>
      </c>
      <c r="AA293" s="51">
        <f t="shared" si="112"/>
        <v>10</v>
      </c>
      <c r="AB293" s="51">
        <f t="shared" si="113"/>
        <v>2024</v>
      </c>
    </row>
    <row r="294" spans="1:30">
      <c r="A294" s="45" t="s">
        <v>1887</v>
      </c>
      <c r="B294" s="46">
        <v>44863210</v>
      </c>
      <c r="C294" s="36" t="s">
        <v>1888</v>
      </c>
      <c r="D294" s="36" t="s">
        <v>1889</v>
      </c>
      <c r="E294" s="36" t="s">
        <v>1890</v>
      </c>
      <c r="F294" s="54" t="s">
        <v>1891</v>
      </c>
      <c r="G294" s="36" t="s">
        <v>108</v>
      </c>
      <c r="H294" s="54" t="s">
        <v>1892</v>
      </c>
      <c r="I294" s="2" t="s">
        <v>1893</v>
      </c>
      <c r="J294" s="36" t="s">
        <v>2539</v>
      </c>
      <c r="K294" s="36">
        <v>1</v>
      </c>
      <c r="L294" s="56">
        <v>44345</v>
      </c>
      <c r="M294" s="36">
        <f t="shared" si="124"/>
        <v>29</v>
      </c>
      <c r="N294" s="36">
        <f t="shared" si="125"/>
        <v>5</v>
      </c>
      <c r="O294" s="36">
        <f t="shared" si="126"/>
        <v>2021</v>
      </c>
      <c r="Q294" s="51"/>
      <c r="R294" s="63">
        <v>1900</v>
      </c>
      <c r="S294" s="48">
        <f>R294*(1+10.7143%)</f>
        <v>2103.5717</v>
      </c>
      <c r="T294" s="50">
        <f>S294*1.09677</f>
        <v>2307.1343334090002</v>
      </c>
      <c r="U294" s="50">
        <v>605.62</v>
      </c>
      <c r="V294" s="48">
        <f t="shared" si="127"/>
        <v>3633.7200000000003</v>
      </c>
      <c r="X294" t="s">
        <v>2508</v>
      </c>
      <c r="Y294" s="82">
        <v>45593</v>
      </c>
      <c r="Z294" s="51">
        <f t="shared" si="111"/>
        <v>28</v>
      </c>
      <c r="AA294" s="51">
        <f t="shared" si="112"/>
        <v>10</v>
      </c>
      <c r="AB294" s="51">
        <f t="shared" si="113"/>
        <v>2024</v>
      </c>
    </row>
    <row r="295" spans="1:30">
      <c r="A295" s="45" t="s">
        <v>2192</v>
      </c>
      <c r="C295" s="36" t="s">
        <v>2193</v>
      </c>
      <c r="D295" s="37" t="s">
        <v>2194</v>
      </c>
      <c r="E295" s="37" t="s">
        <v>2195</v>
      </c>
      <c r="F295" s="37" t="s">
        <v>2196</v>
      </c>
      <c r="G295" s="37" t="s">
        <v>108</v>
      </c>
      <c r="H295" s="57" t="s">
        <v>2200</v>
      </c>
      <c r="I295" s="2" t="s">
        <v>2199</v>
      </c>
      <c r="J295" s="36" t="s">
        <v>1934</v>
      </c>
      <c r="K295" s="36">
        <v>1</v>
      </c>
      <c r="L295" s="75">
        <v>44804</v>
      </c>
      <c r="M295" s="36">
        <f t="shared" si="124"/>
        <v>31</v>
      </c>
      <c r="N295" s="36">
        <f t="shared" si="125"/>
        <v>8</v>
      </c>
      <c r="O295" s="36">
        <f t="shared" si="126"/>
        <v>2022</v>
      </c>
      <c r="Q295" s="51"/>
      <c r="R295" s="51"/>
      <c r="S295" s="66">
        <v>660</v>
      </c>
      <c r="T295" s="48">
        <f>S295*1.09677</f>
        <v>723.8682</v>
      </c>
      <c r="U295" s="48">
        <f>ROUNDUP(T295*1.05,2)</f>
        <v>760.06999999999994</v>
      </c>
      <c r="V295" s="48">
        <f t="shared" si="127"/>
        <v>4560.42</v>
      </c>
      <c r="X295" t="s">
        <v>2508</v>
      </c>
      <c r="Y295" s="82">
        <v>45591</v>
      </c>
      <c r="Z295" s="51">
        <f t="shared" si="111"/>
        <v>26</v>
      </c>
      <c r="AA295" s="51">
        <f t="shared" si="112"/>
        <v>10</v>
      </c>
      <c r="AB295" s="51">
        <f t="shared" si="113"/>
        <v>2024</v>
      </c>
    </row>
    <row r="296" spans="1:30">
      <c r="A296" s="45" t="s">
        <v>1322</v>
      </c>
      <c r="B296" s="57">
        <v>32256499</v>
      </c>
      <c r="C296" s="175" t="s">
        <v>1332</v>
      </c>
      <c r="D296" t="s">
        <v>1323</v>
      </c>
      <c r="E296" s="37" t="s">
        <v>1324</v>
      </c>
      <c r="F296" s="36" t="s">
        <v>238</v>
      </c>
      <c r="G296" s="36" t="s">
        <v>108</v>
      </c>
      <c r="H296" t="s">
        <v>1325</v>
      </c>
      <c r="I296" s="2" t="s">
        <v>1333</v>
      </c>
      <c r="J296" s="36" t="s">
        <v>1587</v>
      </c>
      <c r="K296" s="36">
        <v>1</v>
      </c>
      <c r="L296" s="56">
        <v>43447</v>
      </c>
      <c r="M296" s="36">
        <f t="shared" si="124"/>
        <v>13</v>
      </c>
      <c r="N296" s="36">
        <f t="shared" si="125"/>
        <v>12</v>
      </c>
      <c r="O296" s="36">
        <f t="shared" si="126"/>
        <v>2018</v>
      </c>
      <c r="P296" s="4">
        <v>912</v>
      </c>
      <c r="Q296" s="48">
        <v>530</v>
      </c>
      <c r="R296" s="48">
        <f>Q296*1.05660377</f>
        <v>559.99999809999997</v>
      </c>
      <c r="S296" s="49">
        <f>R296*(1+10.7143%)</f>
        <v>620.00007789642825</v>
      </c>
      <c r="T296" s="50">
        <f>S296*1.09677</f>
        <v>679.9974854344656</v>
      </c>
      <c r="U296" s="50">
        <f>ROUNDUP(T296*1.05,2)</f>
        <v>714</v>
      </c>
      <c r="V296" s="48">
        <f t="shared" si="127"/>
        <v>4284</v>
      </c>
      <c r="X296" s="54" t="s">
        <v>2510</v>
      </c>
      <c r="Y296" s="82">
        <v>45615</v>
      </c>
      <c r="Z296" s="51">
        <f t="shared" si="111"/>
        <v>19</v>
      </c>
      <c r="AA296" s="51">
        <f t="shared" si="112"/>
        <v>11</v>
      </c>
      <c r="AB296" s="51">
        <f t="shared" si="113"/>
        <v>2024</v>
      </c>
    </row>
    <row r="297" spans="1:30" ht="13.8">
      <c r="A297" s="45" t="s">
        <v>1860</v>
      </c>
      <c r="B297" s="18">
        <v>40857432</v>
      </c>
      <c r="C297" s="137" t="s">
        <v>1861</v>
      </c>
      <c r="D297" s="36" t="s">
        <v>1862</v>
      </c>
      <c r="E297" s="73" t="s">
        <v>1863</v>
      </c>
      <c r="F297" s="138" t="s">
        <v>1864</v>
      </c>
      <c r="G297" s="176" t="s">
        <v>1825</v>
      </c>
      <c r="H297" s="37" t="s">
        <v>1865</v>
      </c>
      <c r="I297" s="2" t="s">
        <v>1898</v>
      </c>
      <c r="J297" s="36" t="s">
        <v>1217</v>
      </c>
      <c r="K297" s="73">
        <v>1</v>
      </c>
      <c r="L297" s="47">
        <v>44306</v>
      </c>
      <c r="M297" s="36">
        <f t="shared" si="124"/>
        <v>20</v>
      </c>
      <c r="N297" s="36">
        <f t="shared" si="125"/>
        <v>4</v>
      </c>
      <c r="O297" s="36">
        <f t="shared" si="126"/>
        <v>2021</v>
      </c>
      <c r="Q297" s="51"/>
      <c r="R297" s="48">
        <v>480</v>
      </c>
      <c r="S297" s="48">
        <f>R297*(1+10.7143%)</f>
        <v>531.42863999999997</v>
      </c>
      <c r="T297" s="50">
        <f>S297*1.09677</f>
        <v>582.85498949279997</v>
      </c>
      <c r="U297" s="50">
        <f>ROUNDUP(T297*1.05,2)</f>
        <v>612</v>
      </c>
      <c r="V297" s="48">
        <f t="shared" si="127"/>
        <v>3672</v>
      </c>
      <c r="X297" s="54" t="s">
        <v>2510</v>
      </c>
      <c r="Y297" s="82">
        <v>45623</v>
      </c>
      <c r="Z297" s="51">
        <f t="shared" si="111"/>
        <v>27</v>
      </c>
      <c r="AA297" s="51">
        <f t="shared" si="112"/>
        <v>11</v>
      </c>
      <c r="AB297" s="51">
        <f t="shared" si="113"/>
        <v>2024</v>
      </c>
    </row>
    <row r="298" spans="1:30" s="51" customFormat="1">
      <c r="A298" s="45" t="s">
        <v>2435</v>
      </c>
      <c r="B298" s="46">
        <v>297847417</v>
      </c>
      <c r="C298" s="46" t="s">
        <v>2436</v>
      </c>
      <c r="D298" s="36" t="s">
        <v>2437</v>
      </c>
      <c r="E298" s="36" t="s">
        <v>2438</v>
      </c>
      <c r="F298" s="36" t="s">
        <v>2439</v>
      </c>
      <c r="G298" s="36" t="s">
        <v>108</v>
      </c>
      <c r="H298" s="46" t="s">
        <v>2454</v>
      </c>
      <c r="I298" s="52" t="s">
        <v>2455</v>
      </c>
      <c r="J298" s="36" t="s">
        <v>1141</v>
      </c>
      <c r="K298" s="36">
        <v>1</v>
      </c>
      <c r="L298" s="76">
        <v>45339</v>
      </c>
      <c r="M298" s="36">
        <f t="shared" si="124"/>
        <v>17</v>
      </c>
      <c r="N298" s="36">
        <f t="shared" si="125"/>
        <v>2</v>
      </c>
      <c r="O298" s="36">
        <f t="shared" si="126"/>
        <v>2024</v>
      </c>
      <c r="U298" s="59">
        <v>680</v>
      </c>
      <c r="V298" s="66">
        <f t="shared" si="127"/>
        <v>4080</v>
      </c>
      <c r="X298" s="54" t="s">
        <v>2510</v>
      </c>
      <c r="Y298" s="82">
        <v>45620</v>
      </c>
      <c r="Z298" s="51">
        <f t="shared" si="111"/>
        <v>24</v>
      </c>
      <c r="AA298" s="51">
        <f t="shared" si="112"/>
        <v>11</v>
      </c>
      <c r="AB298" s="51">
        <f t="shared" si="113"/>
        <v>2024</v>
      </c>
      <c r="AD298"/>
    </row>
    <row r="299" spans="1:30">
      <c r="A299" s="45" t="s">
        <v>262</v>
      </c>
      <c r="B299" s="46">
        <v>18420741</v>
      </c>
      <c r="C299" s="45" t="s">
        <v>459</v>
      </c>
      <c r="D299" s="36" t="s">
        <v>263</v>
      </c>
      <c r="E299" s="36" t="s">
        <v>264</v>
      </c>
      <c r="F299" s="36" t="s">
        <v>265</v>
      </c>
      <c r="G299" s="36" t="s">
        <v>265</v>
      </c>
      <c r="H299" s="51" t="s">
        <v>266</v>
      </c>
      <c r="I299" s="52" t="s">
        <v>2030</v>
      </c>
      <c r="J299" s="36" t="s">
        <v>2574</v>
      </c>
      <c r="K299" s="36">
        <v>1</v>
      </c>
      <c r="L299" s="47">
        <v>41731</v>
      </c>
      <c r="M299" s="36">
        <f t="shared" si="124"/>
        <v>2</v>
      </c>
      <c r="N299" s="36">
        <f t="shared" si="125"/>
        <v>4</v>
      </c>
      <c r="O299" s="36">
        <f t="shared" si="126"/>
        <v>2014</v>
      </c>
      <c r="P299" s="48">
        <v>3334.7601006719997</v>
      </c>
      <c r="Q299" s="48">
        <v>4017.44</v>
      </c>
      <c r="R299" s="49">
        <v>4447.8805739199997</v>
      </c>
      <c r="S299" s="50">
        <v>4268.51</v>
      </c>
      <c r="T299" s="50">
        <v>3841.66</v>
      </c>
      <c r="U299" s="50">
        <f>ROUNDUP(T299*1.05,2)</f>
        <v>4033.75</v>
      </c>
      <c r="V299" s="53">
        <f>6*T299</f>
        <v>23049.96</v>
      </c>
      <c r="W299" s="51" t="s">
        <v>165</v>
      </c>
      <c r="X299" s="54" t="s">
        <v>2508</v>
      </c>
      <c r="Y299" s="82">
        <v>45660</v>
      </c>
      <c r="Z299" s="51">
        <f t="shared" si="111"/>
        <v>3</v>
      </c>
      <c r="AA299" s="51">
        <f t="shared" si="112"/>
        <v>1</v>
      </c>
      <c r="AB299" s="51">
        <f t="shared" si="113"/>
        <v>2025</v>
      </c>
    </row>
    <row r="300" spans="1:30">
      <c r="A300" s="45" t="s">
        <v>2521</v>
      </c>
      <c r="B300" s="46">
        <v>634118134</v>
      </c>
      <c r="C300" s="46" t="s">
        <v>2523</v>
      </c>
      <c r="D300" s="73" t="s">
        <v>2522</v>
      </c>
      <c r="E300" s="36" t="s">
        <v>2527</v>
      </c>
      <c r="F300" s="36" t="s">
        <v>289</v>
      </c>
      <c r="G300" s="36" t="s">
        <v>108</v>
      </c>
      <c r="H300" s="46" t="s">
        <v>2526</v>
      </c>
      <c r="I300" s="52" t="s">
        <v>2525</v>
      </c>
      <c r="J300" s="36" t="s">
        <v>1913</v>
      </c>
      <c r="K300" s="36">
        <v>1</v>
      </c>
      <c r="L300" s="76">
        <v>45533</v>
      </c>
      <c r="M300" s="36">
        <f t="shared" si="124"/>
        <v>29</v>
      </c>
      <c r="N300" s="36">
        <f t="shared" si="125"/>
        <v>8</v>
      </c>
      <c r="O300" s="36">
        <f t="shared" si="126"/>
        <v>2024</v>
      </c>
      <c r="P300" s="51"/>
      <c r="Q300" s="51"/>
      <c r="R300" s="51"/>
      <c r="S300" s="51"/>
      <c r="T300" s="70">
        <v>1360</v>
      </c>
      <c r="U300" s="50">
        <f>ROUNDUP(T300*1.05,2)/2</f>
        <v>714</v>
      </c>
      <c r="V300" s="48">
        <f t="shared" ref="V300:V305" si="128">6*U300</f>
        <v>4284</v>
      </c>
      <c r="X300" s="171" t="s">
        <v>2584</v>
      </c>
      <c r="Y300" s="82">
        <v>45675</v>
      </c>
      <c r="Z300" s="51">
        <f t="shared" si="111"/>
        <v>18</v>
      </c>
      <c r="AA300" s="51">
        <f t="shared" si="112"/>
        <v>1</v>
      </c>
      <c r="AB300" s="51">
        <f t="shared" si="113"/>
        <v>2025</v>
      </c>
    </row>
    <row r="301" spans="1:30" s="51" customFormat="1" ht="13.8">
      <c r="A301" s="45" t="s">
        <v>1894</v>
      </c>
      <c r="B301" s="54" t="s">
        <v>1885</v>
      </c>
      <c r="C301" s="137" t="s">
        <v>1886</v>
      </c>
      <c r="D301" s="36" t="s">
        <v>2028</v>
      </c>
      <c r="E301" s="73" t="s">
        <v>1880</v>
      </c>
      <c r="F301" s="138" t="s">
        <v>1881</v>
      </c>
      <c r="G301" s="177" t="s">
        <v>1882</v>
      </c>
      <c r="H301" s="54" t="s">
        <v>1883</v>
      </c>
      <c r="I301" s="52" t="s">
        <v>1884</v>
      </c>
      <c r="J301" s="36" t="s">
        <v>2035</v>
      </c>
      <c r="K301" s="73">
        <v>1</v>
      </c>
      <c r="L301" s="47">
        <v>44331</v>
      </c>
      <c r="M301" s="36">
        <f t="shared" ref="M301:M307" si="129">DAY(L301)</f>
        <v>15</v>
      </c>
      <c r="N301" s="36">
        <f t="shared" ref="N301:N307" si="130">MONTH(L301)</f>
        <v>5</v>
      </c>
      <c r="O301" s="36">
        <f t="shared" ref="O301:O307" si="131">YEAR(L301)</f>
        <v>2021</v>
      </c>
      <c r="Q301" s="48">
        <v>480</v>
      </c>
      <c r="R301" s="48">
        <v>531.42863999999997</v>
      </c>
      <c r="S301" s="50">
        <f>R301*1.09677</f>
        <v>582.85498949279997</v>
      </c>
      <c r="T301" s="50">
        <f>ROUNDUP(S301*1.05,2)</f>
        <v>612</v>
      </c>
      <c r="U301" s="50">
        <f>ROUNDUP(T301*1.05,2)</f>
        <v>642.6</v>
      </c>
      <c r="V301" s="48">
        <f t="shared" si="128"/>
        <v>3855.6000000000004</v>
      </c>
      <c r="X301" s="54" t="s">
        <v>2575</v>
      </c>
      <c r="Y301" s="82">
        <v>45667</v>
      </c>
      <c r="Z301" s="51">
        <f t="shared" si="111"/>
        <v>10</v>
      </c>
      <c r="AA301" s="51">
        <f t="shared" si="112"/>
        <v>1</v>
      </c>
      <c r="AB301" s="51">
        <f t="shared" si="113"/>
        <v>2025</v>
      </c>
      <c r="AD301"/>
    </row>
    <row r="302" spans="1:30">
      <c r="A302" s="45" t="s">
        <v>2543</v>
      </c>
      <c r="B302" s="57">
        <v>2643165411</v>
      </c>
      <c r="C302" s="57">
        <v>24769975104</v>
      </c>
      <c r="D302" s="37" t="s">
        <v>2544</v>
      </c>
      <c r="E302" s="37" t="s">
        <v>2545</v>
      </c>
      <c r="F302" s="37" t="s">
        <v>2546</v>
      </c>
      <c r="G302" s="37" t="s">
        <v>108</v>
      </c>
      <c r="H302" s="57" t="s">
        <v>2577</v>
      </c>
      <c r="I302" s="2" t="s">
        <v>2576</v>
      </c>
      <c r="J302" s="36" t="s">
        <v>329</v>
      </c>
      <c r="K302" s="36">
        <v>1</v>
      </c>
      <c r="L302" s="75">
        <v>45639</v>
      </c>
      <c r="M302" s="36">
        <f t="shared" si="129"/>
        <v>13</v>
      </c>
      <c r="N302" s="36">
        <f t="shared" si="130"/>
        <v>12</v>
      </c>
      <c r="O302" s="36">
        <f t="shared" si="131"/>
        <v>2024</v>
      </c>
      <c r="P302" s="51"/>
      <c r="Q302" s="51"/>
      <c r="R302" s="51"/>
      <c r="S302" s="51"/>
      <c r="T302" s="59">
        <v>680</v>
      </c>
      <c r="U302" s="50">
        <f>ROUNDUP(T302*1.05,2)</f>
        <v>714</v>
      </c>
      <c r="V302" s="48">
        <f t="shared" si="128"/>
        <v>4284</v>
      </c>
      <c r="X302" s="54" t="s">
        <v>2575</v>
      </c>
      <c r="Y302" s="82">
        <v>45699</v>
      </c>
      <c r="Z302" s="51">
        <f t="shared" si="111"/>
        <v>11</v>
      </c>
      <c r="AA302" s="51">
        <f t="shared" si="112"/>
        <v>2</v>
      </c>
      <c r="AB302" s="51">
        <f t="shared" si="113"/>
        <v>2025</v>
      </c>
    </row>
    <row r="303" spans="1:30">
      <c r="A303" s="45" t="s">
        <v>2501</v>
      </c>
      <c r="B303" s="57">
        <v>43615241</v>
      </c>
      <c r="C303" s="81">
        <v>43191715860</v>
      </c>
      <c r="D303" s="8" t="s">
        <v>2502</v>
      </c>
      <c r="E303" s="37" t="s">
        <v>2503</v>
      </c>
      <c r="F303" s="37" t="s">
        <v>2504</v>
      </c>
      <c r="G303" s="37" t="s">
        <v>2505</v>
      </c>
      <c r="H303" s="57" t="s">
        <v>2519</v>
      </c>
      <c r="I303" s="2" t="s">
        <v>2506</v>
      </c>
      <c r="J303" s="36" t="s">
        <v>2524</v>
      </c>
      <c r="K303" s="36">
        <v>1</v>
      </c>
      <c r="L303" s="75">
        <v>45483</v>
      </c>
      <c r="M303" s="36">
        <f t="shared" si="129"/>
        <v>10</v>
      </c>
      <c r="N303" s="36">
        <f t="shared" si="130"/>
        <v>7</v>
      </c>
      <c r="O303" s="36">
        <f t="shared" si="131"/>
        <v>2024</v>
      </c>
      <c r="P303" s="51"/>
      <c r="Q303" s="51"/>
      <c r="R303" s="51"/>
      <c r="S303" s="59">
        <v>1360</v>
      </c>
      <c r="T303" s="61">
        <v>680</v>
      </c>
      <c r="U303" s="48">
        <f>ROUNDUP(T303*1.05,2)</f>
        <v>714</v>
      </c>
      <c r="V303" s="48">
        <f t="shared" si="128"/>
        <v>4284</v>
      </c>
      <c r="X303" t="s">
        <v>2575</v>
      </c>
      <c r="Y303" s="82">
        <v>45759</v>
      </c>
      <c r="Z303" s="51">
        <f t="shared" si="111"/>
        <v>12</v>
      </c>
      <c r="AA303" s="51">
        <f t="shared" si="112"/>
        <v>4</v>
      </c>
      <c r="AB303" s="51">
        <f t="shared" si="113"/>
        <v>2025</v>
      </c>
    </row>
    <row r="304" spans="1:30">
      <c r="A304" s="45" t="s">
        <v>2554</v>
      </c>
      <c r="B304" s="57">
        <v>48163731</v>
      </c>
      <c r="C304" s="37" t="s">
        <v>2555</v>
      </c>
      <c r="D304" s="37" t="s">
        <v>2556</v>
      </c>
      <c r="E304" s="37" t="s">
        <v>2557</v>
      </c>
      <c r="F304" s="37" t="s">
        <v>2558</v>
      </c>
      <c r="G304" s="37" t="s">
        <v>2559</v>
      </c>
      <c r="H304" s="57" t="s">
        <v>2580</v>
      </c>
      <c r="I304" s="2" t="s">
        <v>2579</v>
      </c>
      <c r="J304" s="36" t="s">
        <v>2560</v>
      </c>
      <c r="K304" s="36">
        <v>1</v>
      </c>
      <c r="L304" s="75">
        <v>45646</v>
      </c>
      <c r="M304" s="36">
        <f t="shared" si="129"/>
        <v>20</v>
      </c>
      <c r="N304" s="36">
        <f t="shared" si="130"/>
        <v>12</v>
      </c>
      <c r="O304" s="36">
        <f t="shared" si="131"/>
        <v>2024</v>
      </c>
      <c r="P304" s="51"/>
      <c r="Q304" s="51"/>
      <c r="R304" s="51"/>
      <c r="S304" s="51"/>
      <c r="T304" s="59">
        <v>680</v>
      </c>
      <c r="U304" s="48">
        <f>ROUNDUP(T304*1.05,2)</f>
        <v>714</v>
      </c>
      <c r="V304" s="48">
        <f t="shared" si="128"/>
        <v>4284</v>
      </c>
      <c r="X304" s="54" t="s">
        <v>2575</v>
      </c>
      <c r="Y304" s="82">
        <v>45759</v>
      </c>
      <c r="Z304" s="51">
        <f t="shared" si="111"/>
        <v>12</v>
      </c>
      <c r="AA304" s="51">
        <f t="shared" si="112"/>
        <v>4</v>
      </c>
      <c r="AB304" s="51">
        <f t="shared" si="113"/>
        <v>2025</v>
      </c>
    </row>
    <row r="305" spans="1:30">
      <c r="A305" s="45" t="s">
        <v>1669</v>
      </c>
      <c r="B305" s="57">
        <v>172619014</v>
      </c>
      <c r="C305" s="45" t="s">
        <v>2377</v>
      </c>
      <c r="D305" s="57" t="s">
        <v>1670</v>
      </c>
      <c r="E305" s="37" t="s">
        <v>1671</v>
      </c>
      <c r="F305" t="s">
        <v>1672</v>
      </c>
      <c r="G305" s="36" t="s">
        <v>108</v>
      </c>
      <c r="H305" s="37" t="s">
        <v>1696</v>
      </c>
      <c r="I305" t="s">
        <v>1673</v>
      </c>
      <c r="J305" s="36" t="s">
        <v>2629</v>
      </c>
      <c r="K305" s="36">
        <v>1</v>
      </c>
      <c r="L305" s="56">
        <v>44128</v>
      </c>
      <c r="M305" s="36">
        <f t="shared" si="129"/>
        <v>24</v>
      </c>
      <c r="N305" s="36">
        <f t="shared" si="130"/>
        <v>10</v>
      </c>
      <c r="O305" s="36">
        <f t="shared" si="131"/>
        <v>2020</v>
      </c>
      <c r="P305" s="63">
        <v>1160</v>
      </c>
      <c r="Q305" s="48">
        <v>1160</v>
      </c>
      <c r="R305" s="49">
        <v>1124.2858799999999</v>
      </c>
      <c r="S305" s="50">
        <f>R305*1.09677</f>
        <v>1233.0830246076</v>
      </c>
      <c r="T305" s="50">
        <f>ROUNDUP(S305*1.05,2)</f>
        <v>1294.74</v>
      </c>
      <c r="U305" s="50">
        <f>ROUNDUP(T305*1.05,2)/2</f>
        <v>679.74</v>
      </c>
      <c r="V305" s="48">
        <f t="shared" si="128"/>
        <v>4078.44</v>
      </c>
      <c r="X305" t="s">
        <v>2575</v>
      </c>
      <c r="Y305" s="82">
        <v>45764</v>
      </c>
      <c r="Z305" s="51">
        <f t="shared" si="111"/>
        <v>17</v>
      </c>
      <c r="AA305" s="51">
        <f t="shared" si="112"/>
        <v>4</v>
      </c>
      <c r="AB305" s="51">
        <f t="shared" si="113"/>
        <v>2025</v>
      </c>
    </row>
    <row r="306" spans="1:30">
      <c r="A306" s="45" t="s">
        <v>2276</v>
      </c>
      <c r="B306" s="57">
        <v>43651422</v>
      </c>
      <c r="C306" s="37" t="s">
        <v>2277</v>
      </c>
      <c r="D306" s="37" t="s">
        <v>2278</v>
      </c>
      <c r="E306" s="37" t="s">
        <v>2540</v>
      </c>
      <c r="F306" s="37" t="s">
        <v>2541</v>
      </c>
      <c r="G306" s="37" t="s">
        <v>1825</v>
      </c>
      <c r="H306" s="57" t="s">
        <v>2542</v>
      </c>
      <c r="I306" s="2" t="s">
        <v>2285</v>
      </c>
      <c r="J306" s="36" t="s">
        <v>2281</v>
      </c>
      <c r="K306" s="36">
        <v>1</v>
      </c>
      <c r="L306" s="75">
        <v>45584</v>
      </c>
      <c r="M306" s="36">
        <f>DAY(L306)</f>
        <v>19</v>
      </c>
      <c r="N306" s="36">
        <f>MONTH(L306)</f>
        <v>10</v>
      </c>
      <c r="O306" s="36">
        <f>YEAR(L306)</f>
        <v>2024</v>
      </c>
      <c r="P306" s="51"/>
      <c r="Q306" s="51"/>
      <c r="R306" s="70"/>
      <c r="S306" s="51"/>
      <c r="T306" s="59">
        <v>680</v>
      </c>
      <c r="U306" s="48">
        <f>ROUNDUP(T306*1.05,2)</f>
        <v>714</v>
      </c>
      <c r="V306" s="48">
        <f>6*U306</f>
        <v>4284</v>
      </c>
      <c r="X306" s="54" t="s">
        <v>2575</v>
      </c>
      <c r="Y306" s="82">
        <v>45777</v>
      </c>
      <c r="Z306" s="51">
        <f t="shared" si="111"/>
        <v>30</v>
      </c>
      <c r="AA306" s="51">
        <f t="shared" si="112"/>
        <v>4</v>
      </c>
      <c r="AB306" s="51">
        <f t="shared" si="113"/>
        <v>2025</v>
      </c>
    </row>
    <row r="307" spans="1:30">
      <c r="A307" s="45" t="s">
        <v>2427</v>
      </c>
      <c r="B307" s="57">
        <v>13739989</v>
      </c>
      <c r="C307" s="37" t="s">
        <v>2428</v>
      </c>
      <c r="D307" s="37" t="s">
        <v>2429</v>
      </c>
      <c r="E307" s="37" t="s">
        <v>2430</v>
      </c>
      <c r="F307" s="37" t="s">
        <v>2431</v>
      </c>
      <c r="G307" s="37" t="s">
        <v>108</v>
      </c>
      <c r="H307" s="37" t="s">
        <v>2432</v>
      </c>
      <c r="I307" s="2" t="s">
        <v>2433</v>
      </c>
      <c r="J307" s="36" t="s">
        <v>2434</v>
      </c>
      <c r="K307" s="36">
        <v>1</v>
      </c>
      <c r="L307" s="75">
        <v>45334</v>
      </c>
      <c r="M307" s="36">
        <f t="shared" si="129"/>
        <v>12</v>
      </c>
      <c r="N307" s="36">
        <f t="shared" si="130"/>
        <v>2</v>
      </c>
      <c r="O307" s="36">
        <f t="shared" si="131"/>
        <v>2024</v>
      </c>
      <c r="P307" s="51"/>
      <c r="Q307" s="51"/>
      <c r="R307" s="51"/>
      <c r="S307" s="51"/>
      <c r="T307" s="59">
        <v>680</v>
      </c>
      <c r="U307" s="48">
        <f>ROUNDUP(T307*1.05,2)</f>
        <v>714</v>
      </c>
      <c r="V307" s="48">
        <f>6*U307</f>
        <v>4284</v>
      </c>
      <c r="X307" s="54" t="s">
        <v>2575</v>
      </c>
      <c r="Y307" s="82">
        <v>45780</v>
      </c>
      <c r="Z307" s="51">
        <f t="shared" si="111"/>
        <v>3</v>
      </c>
      <c r="AA307" s="51">
        <f t="shared" si="112"/>
        <v>5</v>
      </c>
      <c r="AB307" s="51">
        <f t="shared" si="113"/>
        <v>2025</v>
      </c>
    </row>
    <row r="308" spans="1:30">
      <c r="A308" s="36" t="s">
        <v>2623</v>
      </c>
      <c r="B308" s="15">
        <v>17378375</v>
      </c>
      <c r="C308" s="37" t="s">
        <v>2624</v>
      </c>
      <c r="D308" s="37" t="s">
        <v>2625</v>
      </c>
      <c r="E308" s="37" t="s">
        <v>2370</v>
      </c>
      <c r="F308" s="37" t="s">
        <v>2626</v>
      </c>
      <c r="G308" s="37" t="s">
        <v>108</v>
      </c>
      <c r="H308" s="57" t="s">
        <v>2371</v>
      </c>
      <c r="I308" s="2" t="s">
        <v>2628</v>
      </c>
      <c r="J308" s="73" t="s">
        <v>2627</v>
      </c>
      <c r="K308" s="73">
        <v>1</v>
      </c>
      <c r="L308" s="75">
        <v>45765</v>
      </c>
      <c r="M308" s="73">
        <v>18</v>
      </c>
      <c r="N308" s="73">
        <v>4</v>
      </c>
      <c r="O308" s="73">
        <v>2025</v>
      </c>
      <c r="P308" s="51"/>
      <c r="Q308" s="51"/>
      <c r="R308" s="51"/>
      <c r="S308" s="51"/>
      <c r="T308" s="51"/>
      <c r="U308" s="66">
        <v>714</v>
      </c>
      <c r="V308" s="48">
        <f>2*U308</f>
        <v>1428</v>
      </c>
      <c r="Y308" s="82">
        <v>45790</v>
      </c>
      <c r="Z308" s="51">
        <f t="shared" si="111"/>
        <v>13</v>
      </c>
      <c r="AA308" s="51">
        <f t="shared" si="112"/>
        <v>5</v>
      </c>
      <c r="AB308" s="51">
        <f t="shared" si="113"/>
        <v>2025</v>
      </c>
    </row>
    <row r="309" spans="1:30">
      <c r="A309" s="45" t="s">
        <v>2595</v>
      </c>
      <c r="B309" s="15">
        <v>540285870</v>
      </c>
      <c r="C309" s="15" t="s">
        <v>2596</v>
      </c>
      <c r="D309" s="8" t="s">
        <v>2597</v>
      </c>
      <c r="E309" s="8" t="s">
        <v>2598</v>
      </c>
      <c r="F309" s="8" t="s">
        <v>2599</v>
      </c>
      <c r="G309" s="8" t="s">
        <v>2559</v>
      </c>
      <c r="H309" s="8" t="s">
        <v>2600</v>
      </c>
      <c r="I309" s="2" t="s">
        <v>2601</v>
      </c>
      <c r="J309" s="73" t="s">
        <v>495</v>
      </c>
      <c r="K309" s="73">
        <v>1</v>
      </c>
      <c r="L309" s="14">
        <v>45691</v>
      </c>
      <c r="M309" s="36">
        <f t="shared" ref="M309:M315" si="132">DAY(L309)</f>
        <v>3</v>
      </c>
      <c r="N309" s="36">
        <f t="shared" ref="N309:N315" si="133">MONTH(L309)</f>
        <v>2</v>
      </c>
      <c r="O309" s="36">
        <f t="shared" ref="O309:O315" si="134">YEAR(L309)</f>
        <v>2025</v>
      </c>
      <c r="P309" s="7"/>
      <c r="Q309" s="7"/>
      <c r="R309" s="7"/>
      <c r="S309" s="7"/>
      <c r="T309" s="51"/>
      <c r="U309" s="79">
        <v>714</v>
      </c>
      <c r="V309" s="48">
        <f>4*U309</f>
        <v>2856</v>
      </c>
      <c r="X309" s="18" t="s">
        <v>2602</v>
      </c>
      <c r="Y309" s="82">
        <v>45814</v>
      </c>
      <c r="Z309" s="51">
        <f t="shared" si="111"/>
        <v>6</v>
      </c>
      <c r="AA309" s="51">
        <f t="shared" si="112"/>
        <v>6</v>
      </c>
      <c r="AB309" s="51">
        <f t="shared" si="113"/>
        <v>2025</v>
      </c>
    </row>
    <row r="310" spans="1:30">
      <c r="A310" s="36" t="s">
        <v>2486</v>
      </c>
      <c r="B310" s="57">
        <v>34945239</v>
      </c>
      <c r="C310" s="37" t="s">
        <v>2487</v>
      </c>
      <c r="D310" s="8" t="s">
        <v>2488</v>
      </c>
      <c r="E310" s="37" t="s">
        <v>2489</v>
      </c>
      <c r="F310" s="37" t="s">
        <v>2490</v>
      </c>
      <c r="G310" s="37" t="s">
        <v>1767</v>
      </c>
      <c r="H310" s="37" t="s">
        <v>2491</v>
      </c>
      <c r="I310" s="2" t="s">
        <v>2492</v>
      </c>
      <c r="J310" s="36" t="s">
        <v>2493</v>
      </c>
      <c r="K310" s="36">
        <v>1</v>
      </c>
      <c r="L310" s="75">
        <v>45435</v>
      </c>
      <c r="M310" s="36">
        <f t="shared" si="132"/>
        <v>23</v>
      </c>
      <c r="N310" s="36">
        <f t="shared" si="133"/>
        <v>5</v>
      </c>
      <c r="O310" s="36">
        <f t="shared" si="134"/>
        <v>2024</v>
      </c>
      <c r="P310" s="51"/>
      <c r="Q310" s="51"/>
      <c r="R310" s="51"/>
      <c r="S310" s="59">
        <v>680</v>
      </c>
      <c r="T310" s="61">
        <v>680</v>
      </c>
      <c r="U310" s="48">
        <f>ROUNDUP(T310*1.05,2)</f>
        <v>714</v>
      </c>
      <c r="V310" s="48">
        <f t="shared" ref="V310:V315" si="135">6*U310</f>
        <v>4284</v>
      </c>
      <c r="Y310" s="82">
        <v>45822</v>
      </c>
      <c r="Z310" s="51">
        <f t="shared" si="111"/>
        <v>14</v>
      </c>
      <c r="AA310" s="51">
        <f t="shared" si="112"/>
        <v>6</v>
      </c>
      <c r="AB310" s="51">
        <f t="shared" si="113"/>
        <v>2025</v>
      </c>
    </row>
    <row r="311" spans="1:30">
      <c r="A311" s="45" t="s">
        <v>2528</v>
      </c>
      <c r="B311" s="57">
        <v>36959831</v>
      </c>
      <c r="C311" s="57" t="s">
        <v>2536</v>
      </c>
      <c r="D311" s="37" t="s">
        <v>2529</v>
      </c>
      <c r="E311" s="37" t="s">
        <v>2530</v>
      </c>
      <c r="F311" s="37" t="s">
        <v>11</v>
      </c>
      <c r="G311" s="37" t="s">
        <v>108</v>
      </c>
      <c r="H311" s="37" t="s">
        <v>2538</v>
      </c>
      <c r="I311" s="2" t="s">
        <v>2537</v>
      </c>
      <c r="J311" s="36" t="s">
        <v>2531</v>
      </c>
      <c r="K311" s="36">
        <v>1</v>
      </c>
      <c r="L311" s="75">
        <v>45575</v>
      </c>
      <c r="M311" s="36">
        <f t="shared" si="132"/>
        <v>10</v>
      </c>
      <c r="N311" s="36">
        <f t="shared" si="133"/>
        <v>10</v>
      </c>
      <c r="O311" s="36">
        <f t="shared" si="134"/>
        <v>2024</v>
      </c>
      <c r="P311" s="51"/>
      <c r="Q311" s="51"/>
      <c r="R311" s="51"/>
      <c r="S311" s="51"/>
      <c r="T311" s="59">
        <v>680</v>
      </c>
      <c r="U311" s="48">
        <f>ROUNDUP(T311*1.05,2)-14</f>
        <v>700</v>
      </c>
      <c r="V311" s="53">
        <f t="shared" si="135"/>
        <v>4200</v>
      </c>
      <c r="X311" s="54" t="s">
        <v>2664</v>
      </c>
      <c r="Y311" s="82">
        <v>45838</v>
      </c>
      <c r="Z311" s="51">
        <f t="shared" si="111"/>
        <v>30</v>
      </c>
      <c r="AA311" s="51">
        <f t="shared" si="112"/>
        <v>6</v>
      </c>
      <c r="AB311" s="51">
        <f t="shared" si="113"/>
        <v>2025</v>
      </c>
    </row>
    <row r="312" spans="1:30" s="51" customFormat="1">
      <c r="A312" s="45" t="s">
        <v>1801</v>
      </c>
      <c r="B312" s="46">
        <v>198472341</v>
      </c>
      <c r="C312" s="36" t="s">
        <v>1802</v>
      </c>
      <c r="D312" s="36" t="s">
        <v>2209</v>
      </c>
      <c r="E312" s="36" t="s">
        <v>1803</v>
      </c>
      <c r="F312" s="54" t="s">
        <v>1808</v>
      </c>
      <c r="G312" s="36" t="s">
        <v>108</v>
      </c>
      <c r="H312" s="51" t="s">
        <v>1807</v>
      </c>
      <c r="I312" s="52" t="s">
        <v>1809</v>
      </c>
      <c r="J312" s="36" t="s">
        <v>1804</v>
      </c>
      <c r="K312" s="36">
        <v>1</v>
      </c>
      <c r="L312" s="47">
        <v>44210</v>
      </c>
      <c r="M312" s="36">
        <f t="shared" si="132"/>
        <v>14</v>
      </c>
      <c r="N312" s="36">
        <f t="shared" si="133"/>
        <v>1</v>
      </c>
      <c r="O312" s="36">
        <f t="shared" si="134"/>
        <v>2021</v>
      </c>
      <c r="Q312" s="63">
        <v>480</v>
      </c>
      <c r="R312" s="48">
        <v>531.42863999999997</v>
      </c>
      <c r="S312" s="50">
        <f>R312*1.09677</f>
        <v>582.85498949279997</v>
      </c>
      <c r="T312" s="48">
        <f t="shared" ref="T312:U314" si="136">ROUNDUP(S312*1.05,2)</f>
        <v>612</v>
      </c>
      <c r="U312" s="50">
        <f t="shared" si="136"/>
        <v>642.6</v>
      </c>
      <c r="V312" s="48">
        <f t="shared" si="135"/>
        <v>3855.6000000000004</v>
      </c>
      <c r="X312" s="54" t="s">
        <v>2664</v>
      </c>
      <c r="Y312" s="67">
        <v>45857</v>
      </c>
      <c r="Z312" s="51">
        <f t="shared" si="111"/>
        <v>19</v>
      </c>
      <c r="AA312" s="51">
        <f t="shared" si="112"/>
        <v>7</v>
      </c>
      <c r="AB312" s="51">
        <f t="shared" si="113"/>
        <v>2025</v>
      </c>
      <c r="AD312"/>
    </row>
    <row r="313" spans="1:30">
      <c r="A313" s="45" t="s">
        <v>2002</v>
      </c>
      <c r="B313" s="46" t="s">
        <v>2003</v>
      </c>
      <c r="C313" s="36" t="s">
        <v>2100</v>
      </c>
      <c r="D313" s="37" t="s">
        <v>2004</v>
      </c>
      <c r="E313" s="36" t="s">
        <v>2005</v>
      </c>
      <c r="F313" s="36" t="s">
        <v>214</v>
      </c>
      <c r="G313" s="36" t="s">
        <v>108</v>
      </c>
      <c r="H313" s="36" t="s">
        <v>2020</v>
      </c>
      <c r="I313" s="2" t="s">
        <v>2006</v>
      </c>
      <c r="J313" s="36" t="s">
        <v>1358</v>
      </c>
      <c r="K313" s="36">
        <v>1</v>
      </c>
      <c r="L313" s="56">
        <v>44523</v>
      </c>
      <c r="M313" s="36">
        <f t="shared" si="132"/>
        <v>23</v>
      </c>
      <c r="N313" s="36">
        <f t="shared" si="133"/>
        <v>11</v>
      </c>
      <c r="O313" s="36">
        <f t="shared" si="134"/>
        <v>2021</v>
      </c>
      <c r="P313" s="51"/>
      <c r="Q313" s="63">
        <v>560</v>
      </c>
      <c r="R313" s="48">
        <v>620</v>
      </c>
      <c r="S313" s="48">
        <f>R313*1.09677</f>
        <v>679.99739999999997</v>
      </c>
      <c r="T313" s="50">
        <f t="shared" si="136"/>
        <v>714</v>
      </c>
      <c r="U313" s="50">
        <f t="shared" si="136"/>
        <v>749.7</v>
      </c>
      <c r="V313" s="48">
        <f t="shared" si="135"/>
        <v>4498.2000000000007</v>
      </c>
      <c r="X313" t="s">
        <v>2664</v>
      </c>
      <c r="Y313" s="67">
        <v>45859</v>
      </c>
      <c r="Z313" s="51">
        <f t="shared" si="111"/>
        <v>21</v>
      </c>
      <c r="AA313" s="51">
        <f t="shared" si="112"/>
        <v>7</v>
      </c>
      <c r="AB313" s="51">
        <f t="shared" si="113"/>
        <v>2025</v>
      </c>
      <c r="AD313" t="s">
        <v>2002</v>
      </c>
    </row>
    <row r="314" spans="1:30">
      <c r="A314" s="45" t="s">
        <v>1756</v>
      </c>
      <c r="B314" s="57">
        <v>44207494</v>
      </c>
      <c r="C314" s="45" t="s">
        <v>1757</v>
      </c>
      <c r="D314" s="37" t="s">
        <v>1758</v>
      </c>
      <c r="E314" s="37" t="s">
        <v>1759</v>
      </c>
      <c r="F314" s="18" t="s">
        <v>1760</v>
      </c>
      <c r="G314" s="36" t="s">
        <v>108</v>
      </c>
      <c r="H314" t="s">
        <v>1761</v>
      </c>
      <c r="I314" s="2" t="s">
        <v>1774</v>
      </c>
      <c r="J314" s="36" t="s">
        <v>1700</v>
      </c>
      <c r="K314" s="36">
        <v>1</v>
      </c>
      <c r="L314" s="56">
        <v>44177</v>
      </c>
      <c r="M314" s="36">
        <f t="shared" si="132"/>
        <v>12</v>
      </c>
      <c r="N314" s="36">
        <f t="shared" si="133"/>
        <v>12</v>
      </c>
      <c r="O314" s="36">
        <f t="shared" si="134"/>
        <v>2020</v>
      </c>
      <c r="P314" s="63"/>
      <c r="Q314" s="63">
        <v>480</v>
      </c>
      <c r="R314" s="49">
        <v>531.42863999999997</v>
      </c>
      <c r="S314" s="50">
        <f>R314*1.09677</f>
        <v>582.85498949279997</v>
      </c>
      <c r="T314" s="50">
        <f t="shared" si="136"/>
        <v>612</v>
      </c>
      <c r="U314" s="50">
        <f t="shared" si="136"/>
        <v>642.6</v>
      </c>
      <c r="V314" s="48">
        <f t="shared" si="135"/>
        <v>3855.6000000000004</v>
      </c>
      <c r="X314" s="54" t="s">
        <v>2664</v>
      </c>
      <c r="Y314" s="67">
        <v>45878</v>
      </c>
      <c r="Z314" s="51">
        <f t="shared" si="111"/>
        <v>9</v>
      </c>
      <c r="AA314" s="51">
        <f t="shared" si="112"/>
        <v>8</v>
      </c>
      <c r="AB314" s="51">
        <f t="shared" si="113"/>
        <v>2025</v>
      </c>
    </row>
    <row r="315" spans="1:30">
      <c r="A315" s="45" t="s">
        <v>2304</v>
      </c>
      <c r="B315" s="8" t="s">
        <v>2305</v>
      </c>
      <c r="C315" s="8" t="s">
        <v>2306</v>
      </c>
      <c r="D315" s="8" t="s">
        <v>2307</v>
      </c>
      <c r="E315" s="8" t="s">
        <v>2308</v>
      </c>
      <c r="F315" s="8" t="s">
        <v>2011</v>
      </c>
      <c r="G315" s="8" t="s">
        <v>108</v>
      </c>
      <c r="H315" s="8" t="s">
        <v>2309</v>
      </c>
      <c r="I315" s="2" t="s">
        <v>2310</v>
      </c>
      <c r="J315" s="73" t="s">
        <v>1265</v>
      </c>
      <c r="K315" s="73">
        <v>1</v>
      </c>
      <c r="L315" s="14">
        <v>45035</v>
      </c>
      <c r="M315" s="36">
        <f t="shared" si="132"/>
        <v>19</v>
      </c>
      <c r="N315" s="36">
        <f t="shared" si="133"/>
        <v>4</v>
      </c>
      <c r="O315" s="36">
        <f t="shared" si="134"/>
        <v>2023</v>
      </c>
      <c r="P315" s="7"/>
      <c r="Q315" s="7"/>
      <c r="R315" s="74">
        <v>1360</v>
      </c>
      <c r="S315" s="74">
        <v>1360</v>
      </c>
      <c r="T315" s="74">
        <f>ROUNDUP(S315*1.05,2)</f>
        <v>1428</v>
      </c>
      <c r="U315" s="48">
        <f>ROUNDUP(T315*1.05,2)/2</f>
        <v>749.7</v>
      </c>
      <c r="V315" s="48">
        <f t="shared" si="135"/>
        <v>4498.2000000000007</v>
      </c>
      <c r="W315" s="7"/>
      <c r="X315" t="s">
        <v>2664</v>
      </c>
      <c r="Y315" s="67">
        <v>45909</v>
      </c>
      <c r="Z315" s="51">
        <f t="shared" si="111"/>
        <v>9</v>
      </c>
      <c r="AA315" s="51">
        <f t="shared" si="112"/>
        <v>9</v>
      </c>
      <c r="AB315" s="51">
        <f t="shared" si="113"/>
        <v>2025</v>
      </c>
      <c r="AD315" t="s">
        <v>2304</v>
      </c>
    </row>
    <row r="316" spans="1:30">
      <c r="A316" s="45" t="s">
        <v>2665</v>
      </c>
      <c r="B316" s="37">
        <v>473518235</v>
      </c>
      <c r="C316" s="37" t="s">
        <v>2666</v>
      </c>
      <c r="D316" s="57">
        <v>11975120173</v>
      </c>
      <c r="E316" s="37" t="s">
        <v>2667</v>
      </c>
      <c r="F316" s="37" t="s">
        <v>2668</v>
      </c>
      <c r="G316" s="37" t="s">
        <v>108</v>
      </c>
      <c r="H316" s="57" t="s">
        <v>2670</v>
      </c>
      <c r="I316" s="2" t="s">
        <v>2671</v>
      </c>
      <c r="J316" s="73" t="s">
        <v>2669</v>
      </c>
      <c r="K316" s="73">
        <v>1</v>
      </c>
      <c r="L316" s="75">
        <v>45845</v>
      </c>
      <c r="M316" s="73">
        <v>7</v>
      </c>
      <c r="N316" s="73">
        <v>7</v>
      </c>
      <c r="O316" s="73">
        <v>2025</v>
      </c>
      <c r="P316" s="51"/>
      <c r="Q316" s="51"/>
      <c r="R316" s="51"/>
      <c r="S316" s="51"/>
      <c r="T316" s="59">
        <v>700</v>
      </c>
      <c r="U316" s="66">
        <v>700</v>
      </c>
      <c r="V316" s="48">
        <f>5*U316</f>
        <v>3500</v>
      </c>
      <c r="X316" t="s">
        <v>2672</v>
      </c>
      <c r="Y316" s="67">
        <v>45927</v>
      </c>
      <c r="Z316" s="51">
        <f t="shared" si="111"/>
        <v>27</v>
      </c>
      <c r="AA316" s="51">
        <f t="shared" si="112"/>
        <v>9</v>
      </c>
      <c r="AB316" s="51">
        <f t="shared" si="113"/>
        <v>2025</v>
      </c>
    </row>
    <row r="317" spans="1:30">
      <c r="A317" s="45" t="s">
        <v>1608</v>
      </c>
      <c r="B317" s="57">
        <v>181222590</v>
      </c>
      <c r="C317" s="8">
        <v>15196219811</v>
      </c>
      <c r="D317" s="8" t="s">
        <v>1609</v>
      </c>
      <c r="E317" s="8" t="s">
        <v>1610</v>
      </c>
      <c r="F317" s="8" t="s">
        <v>1611</v>
      </c>
      <c r="G317" s="8" t="s">
        <v>108</v>
      </c>
      <c r="H317" s="15">
        <v>5350000</v>
      </c>
      <c r="I317" s="16" t="s">
        <v>1612</v>
      </c>
      <c r="J317" s="73" t="s">
        <v>2677</v>
      </c>
      <c r="K317" s="73">
        <v>1</v>
      </c>
      <c r="L317" s="75">
        <v>43955</v>
      </c>
      <c r="M317" s="36">
        <f>DAY(L317)</f>
        <v>4</v>
      </c>
      <c r="N317" s="36">
        <f>MONTH(L317)</f>
        <v>5</v>
      </c>
      <c r="O317" s="36">
        <f>YEAR(L317)</f>
        <v>2020</v>
      </c>
      <c r="P317" s="51">
        <v>960</v>
      </c>
      <c r="Q317" s="51">
        <v>1014.3396191999999</v>
      </c>
      <c r="R317" s="70">
        <v>1123.0190090199455</v>
      </c>
      <c r="S317" s="59">
        <f>R317*(1+9.677%)</f>
        <v>1231.6935585228057</v>
      </c>
      <c r="T317" s="59">
        <f>ROUNDUP(S317*1.05,2)</f>
        <v>1293.28</v>
      </c>
      <c r="U317" s="48">
        <f>ROUNDUP(T317*1.05,2)/2</f>
        <v>678.97500000000002</v>
      </c>
      <c r="V317" s="48">
        <f>6*U317</f>
        <v>4073.8500000000004</v>
      </c>
      <c r="X317" s="54" t="s">
        <v>2664</v>
      </c>
      <c r="Y317" s="67">
        <v>45930</v>
      </c>
      <c r="Z317" s="51">
        <f t="shared" si="111"/>
        <v>30</v>
      </c>
      <c r="AA317" s="51">
        <f t="shared" si="112"/>
        <v>9</v>
      </c>
      <c r="AB317" s="51">
        <f t="shared" si="113"/>
        <v>2025</v>
      </c>
      <c r="AD317" t="s">
        <v>1608</v>
      </c>
    </row>
    <row r="318" spans="1:30">
      <c r="A318" s="45" t="s">
        <v>2329</v>
      </c>
      <c r="B318" s="15">
        <v>332991143</v>
      </c>
      <c r="C318" s="37" t="s">
        <v>2330</v>
      </c>
      <c r="D318" s="37" t="s">
        <v>2331</v>
      </c>
      <c r="E318" s="37" t="s">
        <v>2332</v>
      </c>
      <c r="F318" s="37" t="s">
        <v>2333</v>
      </c>
      <c r="G318" s="37" t="s">
        <v>108</v>
      </c>
      <c r="H318" s="8" t="s">
        <v>2351</v>
      </c>
      <c r="I318" s="2" t="s">
        <v>2334</v>
      </c>
      <c r="J318" s="73" t="s">
        <v>2335</v>
      </c>
      <c r="K318" s="73">
        <v>1</v>
      </c>
      <c r="L318" s="75">
        <v>45151</v>
      </c>
      <c r="M318" s="36">
        <f>DAY(L318)</f>
        <v>13</v>
      </c>
      <c r="N318" s="36">
        <f>MONTH(L318)</f>
        <v>8</v>
      </c>
      <c r="O318" s="36">
        <f>YEAR(L318)</f>
        <v>2023</v>
      </c>
      <c r="R318">
        <v>680</v>
      </c>
      <c r="S318">
        <v>680</v>
      </c>
      <c r="T318" s="59">
        <f>ROUNDUP(S318*1.05,2)</f>
        <v>714</v>
      </c>
      <c r="U318" s="66">
        <f>ROUNDUP(T318*1.05,2)</f>
        <v>749.7</v>
      </c>
      <c r="V318" s="53">
        <f>6*U318</f>
        <v>4498.2000000000007</v>
      </c>
      <c r="X318" s="18" t="s">
        <v>2664</v>
      </c>
      <c r="Y318" s="82">
        <v>45941</v>
      </c>
      <c r="Z318">
        <f t="shared" si="111"/>
        <v>11</v>
      </c>
      <c r="AA318">
        <f t="shared" si="112"/>
        <v>10</v>
      </c>
      <c r="AB318">
        <f t="shared" si="113"/>
        <v>2025</v>
      </c>
      <c r="AD318" t="s">
        <v>2329</v>
      </c>
    </row>
    <row r="319" spans="1:30">
      <c r="A319" s="45" t="s">
        <v>2631</v>
      </c>
      <c r="B319" s="57">
        <v>476093326</v>
      </c>
      <c r="C319" s="62" t="s">
        <v>2632</v>
      </c>
      <c r="D319" s="37" t="s">
        <v>2633</v>
      </c>
      <c r="E319" s="37" t="s">
        <v>2634</v>
      </c>
      <c r="F319" s="36" t="s">
        <v>289</v>
      </c>
      <c r="G319" s="36" t="s">
        <v>108</v>
      </c>
      <c r="H319" s="64" t="s">
        <v>2635</v>
      </c>
      <c r="I319" s="2" t="s">
        <v>2636</v>
      </c>
      <c r="J319" s="36" t="s">
        <v>2637</v>
      </c>
      <c r="K319" s="36">
        <v>1</v>
      </c>
      <c r="L319" s="56">
        <v>45785</v>
      </c>
      <c r="M319" s="36">
        <f>DAY(L319)</f>
        <v>8</v>
      </c>
      <c r="N319" s="36">
        <f>MONTH(L319)</f>
        <v>5</v>
      </c>
      <c r="O319" s="36">
        <f>YEAR(L319)</f>
        <v>2025</v>
      </c>
      <c r="P319" s="63"/>
      <c r="Q319" s="48"/>
      <c r="R319" s="49"/>
      <c r="S319" s="50"/>
      <c r="T319" s="50">
        <v>714</v>
      </c>
      <c r="U319" s="50">
        <v>714</v>
      </c>
      <c r="V319" s="53">
        <f>6*U319</f>
        <v>4284</v>
      </c>
      <c r="X319" s="54" t="s">
        <v>2664</v>
      </c>
      <c r="Y319" s="82">
        <v>45973</v>
      </c>
      <c r="Z319">
        <f t="shared" si="111"/>
        <v>12</v>
      </c>
      <c r="AA319">
        <f t="shared" si="112"/>
        <v>11</v>
      </c>
      <c r="AB319">
        <f t="shared" si="113"/>
        <v>2025</v>
      </c>
    </row>
    <row r="320" spans="1:30">
      <c r="A320" s="45" t="s">
        <v>2473</v>
      </c>
      <c r="B320" s="15" t="s">
        <v>2474</v>
      </c>
      <c r="C320" s="37" t="s">
        <v>2475</v>
      </c>
      <c r="D320" s="37" t="s">
        <v>2476</v>
      </c>
      <c r="E320" s="37" t="s">
        <v>2477</v>
      </c>
      <c r="F320" s="37" t="s">
        <v>579</v>
      </c>
      <c r="G320" s="37" t="s">
        <v>108</v>
      </c>
      <c r="H320" s="72" t="s">
        <v>723</v>
      </c>
      <c r="I320" s="72" t="s">
        <v>2478</v>
      </c>
      <c r="J320" s="36" t="s">
        <v>2472</v>
      </c>
      <c r="K320" s="36">
        <v>1</v>
      </c>
      <c r="L320" s="75">
        <v>45444</v>
      </c>
      <c r="M320" s="36">
        <f>DAY(L320)</f>
        <v>1</v>
      </c>
      <c r="N320" s="36">
        <f>MONTH(L320)</f>
        <v>6</v>
      </c>
      <c r="O320" s="36">
        <f>YEAR(L320)</f>
        <v>2024</v>
      </c>
      <c r="P320" s="51"/>
      <c r="Q320" s="51"/>
      <c r="R320" s="51"/>
      <c r="S320" s="51">
        <v>650</v>
      </c>
      <c r="T320" s="59">
        <v>650</v>
      </c>
      <c r="U320" s="66">
        <f>ROUNDUP(T320*1.05,2)</f>
        <v>682.5</v>
      </c>
      <c r="V320" s="53">
        <f>6*U320</f>
        <v>4095</v>
      </c>
      <c r="X320" t="s">
        <v>2664</v>
      </c>
      <c r="Y320" s="82">
        <v>45999</v>
      </c>
      <c r="Z320">
        <f t="shared" si="111"/>
        <v>8</v>
      </c>
      <c r="AA320">
        <f t="shared" si="112"/>
        <v>12</v>
      </c>
      <c r="AB320">
        <f t="shared" si="113"/>
        <v>2025</v>
      </c>
      <c r="AD320" t="s">
        <v>2473</v>
      </c>
    </row>
    <row r="321" spans="1:30">
      <c r="A321" s="45" t="s">
        <v>2688</v>
      </c>
      <c r="B321" s="37">
        <v>202589099</v>
      </c>
      <c r="C321" s="37" t="s">
        <v>2689</v>
      </c>
      <c r="D321" s="8" t="s">
        <v>2690</v>
      </c>
      <c r="E321" s="37" t="s">
        <v>2691</v>
      </c>
      <c r="F321" s="37" t="s">
        <v>63</v>
      </c>
      <c r="G321" s="37" t="s">
        <v>108</v>
      </c>
      <c r="H321" s="37" t="s">
        <v>2692</v>
      </c>
      <c r="I321" s="2" t="s">
        <v>2693</v>
      </c>
      <c r="J321" s="36" t="s">
        <v>369</v>
      </c>
      <c r="K321" s="36">
        <v>1</v>
      </c>
      <c r="L321" s="75">
        <v>45995</v>
      </c>
      <c r="M321" s="36">
        <v>4</v>
      </c>
      <c r="N321" s="36">
        <v>12</v>
      </c>
      <c r="O321" s="36">
        <v>2025</v>
      </c>
      <c r="P321" s="51"/>
      <c r="Q321" s="51"/>
      <c r="R321" s="51"/>
      <c r="S321" s="59"/>
      <c r="T321" s="61">
        <v>714</v>
      </c>
      <c r="U321" s="48">
        <v>714</v>
      </c>
      <c r="V321" s="53">
        <v>4284</v>
      </c>
      <c r="X321" s="54"/>
      <c r="Y321" s="82">
        <v>45999</v>
      </c>
      <c r="Z321">
        <f t="shared" si="111"/>
        <v>8</v>
      </c>
      <c r="AA321">
        <f t="shared" si="112"/>
        <v>12</v>
      </c>
      <c r="AB321">
        <f t="shared" si="113"/>
        <v>2025</v>
      </c>
    </row>
    <row r="322" spans="1:30">
      <c r="A322" s="45" t="s">
        <v>942</v>
      </c>
      <c r="B322" s="81">
        <v>162230187</v>
      </c>
      <c r="C322" s="45" t="s">
        <v>966</v>
      </c>
      <c r="D322" s="37" t="s">
        <v>967</v>
      </c>
      <c r="E322" s="37" t="s">
        <v>968</v>
      </c>
      <c r="F322" s="36" t="s">
        <v>673</v>
      </c>
      <c r="G322" s="36" t="s">
        <v>108</v>
      </c>
      <c r="H322" t="s">
        <v>969</v>
      </c>
      <c r="I322" s="2" t="s">
        <v>2034</v>
      </c>
      <c r="J322" s="36" t="s">
        <v>970</v>
      </c>
      <c r="K322" s="36">
        <v>1</v>
      </c>
      <c r="L322" s="56">
        <v>43557</v>
      </c>
      <c r="M322" s="36">
        <f t="shared" ref="M322:M327" si="137">DAY(L322)</f>
        <v>2</v>
      </c>
      <c r="N322" s="36">
        <f t="shared" ref="N322:N327" si="138">MONTH(L322)</f>
        <v>4</v>
      </c>
      <c r="O322" s="36">
        <f t="shared" ref="O322:O327" si="139">YEAR(L322)</f>
        <v>2019</v>
      </c>
      <c r="P322" s="70">
        <v>530</v>
      </c>
      <c r="Q322" s="48">
        <v>559.99999809999997</v>
      </c>
      <c r="R322" s="49">
        <v>620.00007789642825</v>
      </c>
      <c r="S322" s="50">
        <f>R322*(1+9.677%)</f>
        <v>679.9974854344656</v>
      </c>
      <c r="T322" s="50">
        <f>ROUNDUP(S322*1.05,2)</f>
        <v>714</v>
      </c>
      <c r="U322" s="50">
        <f>ROUNDUP(T322*1.05,2)</f>
        <v>749.7</v>
      </c>
      <c r="V322" s="53">
        <f t="shared" ref="V322:V329" si="140">6*U322</f>
        <v>4498.2000000000007</v>
      </c>
      <c r="W322" s="178"/>
      <c r="X322" s="54" t="s">
        <v>2664</v>
      </c>
      <c r="Y322" s="82">
        <v>46002</v>
      </c>
      <c r="Z322">
        <f t="shared" si="111"/>
        <v>11</v>
      </c>
      <c r="AA322">
        <f t="shared" si="112"/>
        <v>12</v>
      </c>
      <c r="AB322">
        <f t="shared" si="113"/>
        <v>2025</v>
      </c>
      <c r="AD322" t="s">
        <v>942</v>
      </c>
    </row>
    <row r="323" spans="1:30">
      <c r="A323" s="45" t="s">
        <v>2304</v>
      </c>
      <c r="B323" s="8" t="s">
        <v>2305</v>
      </c>
      <c r="C323" s="8" t="s">
        <v>2306</v>
      </c>
      <c r="D323" s="8" t="s">
        <v>2307</v>
      </c>
      <c r="E323" s="8" t="s">
        <v>2308</v>
      </c>
      <c r="F323" s="8" t="s">
        <v>2011</v>
      </c>
      <c r="G323" s="8" t="s">
        <v>108</v>
      </c>
      <c r="H323" s="8" t="s">
        <v>2309</v>
      </c>
      <c r="I323" s="2" t="s">
        <v>2310</v>
      </c>
      <c r="J323" s="73" t="s">
        <v>2674</v>
      </c>
      <c r="K323" s="73">
        <v>1</v>
      </c>
      <c r="L323" s="14">
        <v>45035</v>
      </c>
      <c r="M323" s="36">
        <f t="shared" si="137"/>
        <v>19</v>
      </c>
      <c r="N323" s="36">
        <f t="shared" si="138"/>
        <v>4</v>
      </c>
      <c r="O323" s="36">
        <f t="shared" si="139"/>
        <v>2023</v>
      </c>
      <c r="P323" s="7"/>
      <c r="Q323" s="74">
        <v>1360</v>
      </c>
      <c r="R323" s="74">
        <v>1360</v>
      </c>
      <c r="S323" s="74">
        <f>ROUNDUP(R323*1.05,2)</f>
        <v>1428</v>
      </c>
      <c r="T323" s="48">
        <f>ROUNDUP(S323*1.05,2)/2</f>
        <v>749.7</v>
      </c>
      <c r="U323" s="50">
        <f>T323*1.075</f>
        <v>805.92750000000001</v>
      </c>
      <c r="V323" s="53">
        <f t="shared" si="140"/>
        <v>4835.5650000000005</v>
      </c>
      <c r="W323" s="7"/>
      <c r="Y323" s="82">
        <v>46046</v>
      </c>
      <c r="Z323">
        <f t="shared" si="111"/>
        <v>24</v>
      </c>
      <c r="AA323">
        <f t="shared" si="112"/>
        <v>1</v>
      </c>
      <c r="AB323">
        <f t="shared" si="113"/>
        <v>2026</v>
      </c>
      <c r="AD323" t="s">
        <v>2304</v>
      </c>
    </row>
    <row r="324" spans="1:30">
      <c r="A324" s="45" t="s">
        <v>2638</v>
      </c>
      <c r="B324" s="15">
        <v>73661478</v>
      </c>
      <c r="C324" s="37" t="s">
        <v>2639</v>
      </c>
      <c r="D324" s="37" t="s">
        <v>2640</v>
      </c>
      <c r="E324" s="37" t="s">
        <v>2641</v>
      </c>
      <c r="F324" s="37" t="s">
        <v>1430</v>
      </c>
      <c r="G324" s="37" t="s">
        <v>108</v>
      </c>
      <c r="H324" s="15">
        <v>4278040</v>
      </c>
      <c r="I324" s="2" t="s">
        <v>2642</v>
      </c>
      <c r="J324" s="73" t="s">
        <v>2643</v>
      </c>
      <c r="K324" s="73">
        <v>1</v>
      </c>
      <c r="L324" s="75">
        <v>45792</v>
      </c>
      <c r="M324" s="36">
        <f t="shared" si="137"/>
        <v>15</v>
      </c>
      <c r="N324" s="36">
        <f t="shared" si="138"/>
        <v>5</v>
      </c>
      <c r="O324" s="36">
        <f t="shared" si="139"/>
        <v>2025</v>
      </c>
      <c r="S324" s="59">
        <v>700</v>
      </c>
      <c r="T324" s="66">
        <v>700</v>
      </c>
      <c r="U324" s="48">
        <f>T324*1.075</f>
        <v>752.5</v>
      </c>
      <c r="V324" s="53">
        <f t="shared" si="140"/>
        <v>4515</v>
      </c>
      <c r="X324" s="18" t="s">
        <v>2714</v>
      </c>
      <c r="Y324" s="82">
        <v>46067</v>
      </c>
      <c r="Z324">
        <f>IF($Y324=0,"",DAY($Y324))</f>
        <v>14</v>
      </c>
      <c r="AA324">
        <f>IF($Y324=0,"",MONTH($Y324))</f>
        <v>2</v>
      </c>
      <c r="AB324">
        <f>IF($Y324=0,"",YEAR($Y324))</f>
        <v>2026</v>
      </c>
    </row>
    <row r="325" spans="1:30">
      <c r="A325" s="45" t="s">
        <v>2320</v>
      </c>
      <c r="B325" s="57">
        <v>24599134</v>
      </c>
      <c r="C325" s="8" t="s">
        <v>2321</v>
      </c>
      <c r="D325" s="8">
        <v>11972491213</v>
      </c>
      <c r="E325" s="8" t="s">
        <v>2322</v>
      </c>
      <c r="F325" s="8" t="s">
        <v>2323</v>
      </c>
      <c r="G325" s="8" t="s">
        <v>108</v>
      </c>
      <c r="H325" s="64" t="s">
        <v>2327</v>
      </c>
      <c r="I325" s="72" t="s">
        <v>2324</v>
      </c>
      <c r="J325" s="73" t="s">
        <v>471</v>
      </c>
      <c r="K325" s="73">
        <v>1</v>
      </c>
      <c r="L325" s="75">
        <v>45109</v>
      </c>
      <c r="M325" s="36">
        <f t="shared" si="137"/>
        <v>2</v>
      </c>
      <c r="N325" s="36">
        <f t="shared" si="138"/>
        <v>7</v>
      </c>
      <c r="O325" s="36">
        <f t="shared" si="139"/>
        <v>2023</v>
      </c>
      <c r="P325" s="51"/>
      <c r="Q325" s="70">
        <v>680</v>
      </c>
      <c r="R325" s="59">
        <v>680</v>
      </c>
      <c r="S325" s="59">
        <f>ROUNDUP(R325*1.05,2)</f>
        <v>714</v>
      </c>
      <c r="T325" s="48">
        <f>ROUNDUP(S325*1.05,2)</f>
        <v>749.7</v>
      </c>
      <c r="U325" s="50">
        <f>T325*1.075</f>
        <v>805.92750000000001</v>
      </c>
      <c r="V325" s="53">
        <f t="shared" si="140"/>
        <v>4835.5650000000005</v>
      </c>
      <c r="X325" s="54" t="s">
        <v>2712</v>
      </c>
      <c r="Y325" s="82">
        <v>46071</v>
      </c>
      <c r="Z325">
        <f>IF($Y325=0,"",DAY($Y325))</f>
        <v>18</v>
      </c>
      <c r="AA325">
        <f>IF($Y325=0,"",MONTH($Y325))</f>
        <v>2</v>
      </c>
      <c r="AB325">
        <f>IF($Y325=0,"",YEAR($Y325))</f>
        <v>2026</v>
      </c>
      <c r="AD325" t="s">
        <v>2320</v>
      </c>
    </row>
    <row r="326" spans="1:30">
      <c r="A326" s="45" t="s">
        <v>2695</v>
      </c>
      <c r="B326" s="15">
        <v>43554029</v>
      </c>
      <c r="C326" s="37" t="s">
        <v>2696</v>
      </c>
      <c r="D326" s="37" t="s">
        <v>2697</v>
      </c>
      <c r="E326" s="37" t="s">
        <v>2698</v>
      </c>
      <c r="F326" s="37" t="s">
        <v>2699</v>
      </c>
      <c r="G326" s="37" t="s">
        <v>108</v>
      </c>
      <c r="H326" s="72" t="s">
        <v>2700</v>
      </c>
      <c r="I326" s="72" t="s">
        <v>2701</v>
      </c>
      <c r="J326" s="36" t="s">
        <v>753</v>
      </c>
      <c r="K326" s="36">
        <v>1</v>
      </c>
      <c r="L326" s="75">
        <v>46001</v>
      </c>
      <c r="M326" s="36">
        <f t="shared" si="137"/>
        <v>10</v>
      </c>
      <c r="N326" s="36">
        <f t="shared" si="138"/>
        <v>12</v>
      </c>
      <c r="O326" s="36">
        <f t="shared" si="139"/>
        <v>2025</v>
      </c>
      <c r="P326" s="51"/>
      <c r="Q326" s="51"/>
      <c r="R326" s="51"/>
      <c r="S326" s="59">
        <v>714</v>
      </c>
      <c r="T326" s="213">
        <v>714</v>
      </c>
      <c r="U326" s="48">
        <f>T326*1.075</f>
        <v>767.55</v>
      </c>
      <c r="V326" s="53">
        <f t="shared" si="140"/>
        <v>4605.2999999999993</v>
      </c>
      <c r="X326" s="18" t="s">
        <v>2714</v>
      </c>
      <c r="Y326" s="82">
        <v>46087</v>
      </c>
      <c r="Z326">
        <f t="shared" si="111"/>
        <v>6</v>
      </c>
      <c r="AA326">
        <f t="shared" si="112"/>
        <v>3</v>
      </c>
      <c r="AB326">
        <f t="shared" si="113"/>
        <v>2026</v>
      </c>
    </row>
    <row r="327" spans="1:30">
      <c r="A327" s="45" t="s">
        <v>262</v>
      </c>
      <c r="B327" s="46">
        <v>18420741</v>
      </c>
      <c r="C327" s="45" t="s">
        <v>459</v>
      </c>
      <c r="D327" s="36" t="s">
        <v>263</v>
      </c>
      <c r="E327" s="36" t="s">
        <v>264</v>
      </c>
      <c r="F327" s="36" t="s">
        <v>265</v>
      </c>
      <c r="G327" s="36" t="s">
        <v>265</v>
      </c>
      <c r="H327" s="51" t="s">
        <v>266</v>
      </c>
      <c r="I327" s="52" t="s">
        <v>2030</v>
      </c>
      <c r="J327" s="36" t="s">
        <v>2751</v>
      </c>
      <c r="K327" s="36">
        <v>1</v>
      </c>
      <c r="L327" s="47">
        <v>41731</v>
      </c>
      <c r="M327" s="36">
        <f t="shared" si="137"/>
        <v>2</v>
      </c>
      <c r="N327" s="36">
        <f t="shared" si="138"/>
        <v>4</v>
      </c>
      <c r="O327" s="36">
        <f t="shared" si="139"/>
        <v>2014</v>
      </c>
      <c r="P327" s="48">
        <v>4017.44</v>
      </c>
      <c r="Q327" s="49">
        <v>4447.8805739199997</v>
      </c>
      <c r="R327" s="50">
        <v>4268.51</v>
      </c>
      <c r="S327" s="48">
        <v>3841.66</v>
      </c>
      <c r="T327" s="48">
        <f>((S327/6)*K327)*1.05</f>
        <v>672.29049999999995</v>
      </c>
      <c r="U327" s="50">
        <f>T327*1.075</f>
        <v>722.71228749999989</v>
      </c>
      <c r="V327" s="53">
        <f t="shared" si="140"/>
        <v>4336.2737249999991</v>
      </c>
      <c r="W327" s="51" t="s">
        <v>165</v>
      </c>
      <c r="X327" s="54" t="s">
        <v>2712</v>
      </c>
      <c r="Y327" s="82">
        <v>46093</v>
      </c>
      <c r="Z327" s="51">
        <f t="shared" si="111"/>
        <v>12</v>
      </c>
      <c r="AA327" s="51">
        <f t="shared" si="112"/>
        <v>3</v>
      </c>
      <c r="AB327" s="51">
        <f t="shared" si="113"/>
        <v>2026</v>
      </c>
      <c r="AD327" t="s">
        <v>262</v>
      </c>
    </row>
    <row r="328" spans="1:30">
      <c r="A328" s="45" t="s">
        <v>2746</v>
      </c>
      <c r="B328" s="46">
        <v>46697224</v>
      </c>
      <c r="C328" s="36" t="s">
        <v>2747</v>
      </c>
      <c r="D328" s="36" t="s">
        <v>2748</v>
      </c>
      <c r="E328" s="36" t="s">
        <v>2750</v>
      </c>
      <c r="F328" s="54" t="s">
        <v>1891</v>
      </c>
      <c r="G328" s="36" t="s">
        <v>108</v>
      </c>
      <c r="H328" s="54" t="s">
        <v>1892</v>
      </c>
      <c r="I328" s="2" t="s">
        <v>2749</v>
      </c>
      <c r="J328" s="36" t="s">
        <v>2778</v>
      </c>
      <c r="K328" s="36">
        <v>1</v>
      </c>
      <c r="L328" s="56">
        <v>44345</v>
      </c>
      <c r="M328" s="36">
        <v>29</v>
      </c>
      <c r="N328" s="36">
        <v>5</v>
      </c>
      <c r="O328" s="36">
        <v>2021</v>
      </c>
      <c r="P328" s="36"/>
      <c r="Q328" s="36"/>
      <c r="R328" s="36"/>
      <c r="S328" s="48">
        <v>1816.875</v>
      </c>
      <c r="T328" s="48">
        <v>1907.72</v>
      </c>
      <c r="U328" s="50">
        <f>2050.799/3</f>
        <v>683.59966666666662</v>
      </c>
      <c r="V328" s="53">
        <f t="shared" si="140"/>
        <v>4101.598</v>
      </c>
      <c r="X328" s="18" t="s">
        <v>2715</v>
      </c>
      <c r="Y328" s="82">
        <v>46111</v>
      </c>
      <c r="Z328" s="51">
        <f t="shared" si="111"/>
        <v>30</v>
      </c>
      <c r="AA328" s="51">
        <f t="shared" si="112"/>
        <v>3</v>
      </c>
      <c r="AB328" s="51">
        <f t="shared" si="113"/>
        <v>2026</v>
      </c>
      <c r="AD328" t="s">
        <v>1887</v>
      </c>
    </row>
    <row r="329" spans="1:30">
      <c r="A329" s="45" t="s">
        <v>2521</v>
      </c>
      <c r="B329" s="46">
        <v>634118134</v>
      </c>
      <c r="C329" s="46" t="s">
        <v>2523</v>
      </c>
      <c r="D329" s="73" t="s">
        <v>2522</v>
      </c>
      <c r="E329" s="36" t="s">
        <v>2527</v>
      </c>
      <c r="F329" s="36" t="s">
        <v>289</v>
      </c>
      <c r="G329" s="36" t="s">
        <v>108</v>
      </c>
      <c r="H329" s="46" t="s">
        <v>2526</v>
      </c>
      <c r="I329" s="52" t="s">
        <v>2525</v>
      </c>
      <c r="J329" s="36" t="s">
        <v>2591</v>
      </c>
      <c r="K329" s="36">
        <v>1</v>
      </c>
      <c r="L329" s="76">
        <v>45533</v>
      </c>
      <c r="M329" s="36">
        <f>DAY(L329)</f>
        <v>29</v>
      </c>
      <c r="N329" s="36">
        <f>MONTH(L329)</f>
        <v>8</v>
      </c>
      <c r="O329" s="36">
        <f>YEAR(L329)</f>
        <v>2024</v>
      </c>
      <c r="P329" s="51"/>
      <c r="Q329" s="51"/>
      <c r="R329" s="51"/>
      <c r="S329" s="70">
        <v>1360</v>
      </c>
      <c r="T329" s="48">
        <f>ROUNDUP(S329*1.05,2)/2</f>
        <v>714</v>
      </c>
      <c r="U329" s="48">
        <f>T329*1.075</f>
        <v>767.55</v>
      </c>
      <c r="V329" s="53">
        <f t="shared" si="140"/>
        <v>4605.2999999999993</v>
      </c>
      <c r="X329" s="18" t="s">
        <v>2715</v>
      </c>
      <c r="Y329" s="82">
        <v>46109</v>
      </c>
      <c r="Z329">
        <f t="shared" si="111"/>
        <v>28</v>
      </c>
      <c r="AA329">
        <f t="shared" si="112"/>
        <v>3</v>
      </c>
      <c r="AB329">
        <f t="shared" si="113"/>
        <v>2026</v>
      </c>
      <c r="AD329" t="s">
        <v>2521</v>
      </c>
    </row>
    <row r="330" spans="1:30">
      <c r="A330" s="45" t="s">
        <v>2106</v>
      </c>
      <c r="C330" s="46" t="s">
        <v>2107</v>
      </c>
      <c r="D330" s="36" t="s">
        <v>2108</v>
      </c>
      <c r="E330" s="36" t="s">
        <v>2109</v>
      </c>
      <c r="F330" s="36" t="s">
        <v>2110</v>
      </c>
      <c r="G330" s="36" t="s">
        <v>108</v>
      </c>
      <c r="H330" s="68" t="s">
        <v>2111</v>
      </c>
      <c r="I330" s="52" t="s">
        <v>2112</v>
      </c>
      <c r="J330" s="36" t="s">
        <v>2113</v>
      </c>
      <c r="K330" s="36">
        <v>1</v>
      </c>
      <c r="L330" s="56">
        <v>44653</v>
      </c>
      <c r="M330" s="36">
        <f>DAY(L330)</f>
        <v>2</v>
      </c>
      <c r="N330" s="36">
        <f>MONTH(L330)</f>
        <v>4</v>
      </c>
      <c r="O330" s="36">
        <f>YEAR(L330)</f>
        <v>2022</v>
      </c>
      <c r="P330" s="51"/>
      <c r="Q330" s="48">
        <v>620</v>
      </c>
      <c r="R330" s="48">
        <f>Q330*(1+9.677%)</f>
        <v>679.99739999999997</v>
      </c>
      <c r="S330" s="48">
        <f>ROUNDUP(R330*1.05,2)</f>
        <v>714</v>
      </c>
      <c r="T330" s="48">
        <f>ROUNDUP(S330*1.05,2)</f>
        <v>749.7</v>
      </c>
      <c r="U330" s="50">
        <f>T330*1.075</f>
        <v>805.92750000000001</v>
      </c>
      <c r="V330" s="53">
        <f>6*U330</f>
        <v>4835.5650000000005</v>
      </c>
      <c r="X330" s="54" t="s">
        <v>2712</v>
      </c>
      <c r="Y330" s="82">
        <v>46135</v>
      </c>
      <c r="Z330">
        <f t="shared" si="111"/>
        <v>23</v>
      </c>
      <c r="AA330">
        <f t="shared" si="112"/>
        <v>4</v>
      </c>
      <c r="AB330">
        <f t="shared" si="113"/>
        <v>2026</v>
      </c>
      <c r="AD330" t="s">
        <v>2106</v>
      </c>
    </row>
  </sheetData>
  <autoFilter ref="A1:IV316" xr:uid="{303DB124-968E-4EB9-9249-9CF46D74F4A9}"/>
  <hyperlinks>
    <hyperlink ref="I5" r:id="rId1" xr:uid="{8509A447-46D5-4FE2-8338-B0345339DB0E}"/>
    <hyperlink ref="I8" r:id="rId2" tooltip="edubarcellos@uol.com.br" display="mailto:edubarcellos@uol.com.br" xr:uid="{7AD4763E-32A2-40AB-9538-5654672F5C28}"/>
    <hyperlink ref="I10" r:id="rId3" xr:uid="{B6BCDBAB-48A7-43EA-8B73-A1F2D3028B00}"/>
    <hyperlink ref="I15" r:id="rId4" xr:uid="{82319F7F-DC9D-4B7E-93C9-289A3ECC1E70}"/>
    <hyperlink ref="I18" r:id="rId5" xr:uid="{5561E1A3-51E4-4DA5-AFE8-A5815CC86AFA}"/>
    <hyperlink ref="I27" r:id="rId6" xr:uid="{A44EB381-0C6E-4B0A-A6A3-4671C3130F7C}"/>
    <hyperlink ref="I33" r:id="rId7" xr:uid="{63C5C310-8EDE-4C6C-94D3-28C466496E67}"/>
    <hyperlink ref="I35" r:id="rId8" xr:uid="{AA0CEE67-B0DC-4D16-BBE3-E704B81E9A62}"/>
    <hyperlink ref="I41" r:id="rId9" xr:uid="{5ABC2DF6-9F6E-410C-AC41-C260EA47FF94}"/>
    <hyperlink ref="I42" r:id="rId10" xr:uid="{29E0E24F-4837-4D4D-8D8A-901533CBE5CC}"/>
    <hyperlink ref="I50" r:id="rId11" xr:uid="{4600F13B-3C91-4BDB-8524-465CCB6F39FC}"/>
    <hyperlink ref="I51" r:id="rId12" tooltip="rafael@grupofuncional.com.br" display="mailto:rafael@grupofuncional.com.br" xr:uid="{59C0BC15-310D-4B57-B06F-167A86605E8B}"/>
    <hyperlink ref="I53" r:id="rId13" xr:uid="{85576B28-A16F-4774-98A1-5DDA5852B6DB}"/>
    <hyperlink ref="I55" r:id="rId14" xr:uid="{5DC2C50D-19E0-4134-8CDB-80755982B93D}"/>
    <hyperlink ref="I57" r:id="rId15" xr:uid="{2EDC585F-9834-4602-A6B2-7EF70A7961EB}"/>
    <hyperlink ref="I58" r:id="rId16" xr:uid="{CE188844-2995-4CD6-B2F2-CAA1DFAB00B8}"/>
    <hyperlink ref="I61" r:id="rId17" xr:uid="{9B423661-A84C-42B6-BE4A-7869652FA7B4}"/>
    <hyperlink ref="I63" r:id="rId18" xr:uid="{4C762834-FB32-427C-BB03-8C8642B2FA5E}"/>
    <hyperlink ref="I67" r:id="rId19" xr:uid="{76CFFEDC-6C6D-4184-A9ED-A3EF17B5ACED}"/>
    <hyperlink ref="I71" r:id="rId20" xr:uid="{261686D9-F38C-4AB7-A788-1934D7071763}"/>
    <hyperlink ref="I84" r:id="rId21" xr:uid="{14DB50B0-A185-46A1-852B-21955A383837}"/>
    <hyperlink ref="I92" r:id="rId22" xr:uid="{B98222C6-D13D-4420-A7AC-B3AABD5644DA}"/>
    <hyperlink ref="I93" r:id="rId23" xr:uid="{A5EE2047-29DA-4350-B7D0-3A41024A6BF4}"/>
    <hyperlink ref="I94" r:id="rId24" xr:uid="{EBB31AC3-2C1F-4F41-BB1D-0904E13EBB49}"/>
    <hyperlink ref="I95" r:id="rId25" xr:uid="{35B3BC38-5E97-4182-ABBD-914E0A3A0268}"/>
    <hyperlink ref="I96" r:id="rId26" xr:uid="{FCF883BA-BAEE-4CDE-8698-1966C0C558EC}"/>
    <hyperlink ref="I97" r:id="rId27" xr:uid="{F7F818A6-5B4B-44B5-8739-F5918AFAB693}"/>
    <hyperlink ref="I98" r:id="rId28" xr:uid="{6071C157-4A70-49DE-8116-66BE596A43D8}"/>
    <hyperlink ref="I102" r:id="rId29" xr:uid="{C7F7A60F-57D6-4A4E-8CE3-11A48AE2B8F2}"/>
    <hyperlink ref="I103" r:id="rId30" xr:uid="{7C8C833B-11F8-4759-AF4E-926D11CDEB19}"/>
    <hyperlink ref="I106" r:id="rId31" xr:uid="{2FAEEAAC-EA64-4BA2-AEDB-ABF416E17E9A}"/>
    <hyperlink ref="I108" r:id="rId32" xr:uid="{3A791FA8-0914-4A0C-BC64-B1947B9DFB12}"/>
    <hyperlink ref="I110" r:id="rId33" xr:uid="{5FA9831E-CF2E-4DA2-AED6-8BA0D07BC06C}"/>
    <hyperlink ref="I111" r:id="rId34" xr:uid="{082178D9-28A7-48F9-B728-5C07DADCD62F}"/>
    <hyperlink ref="I112" r:id="rId35" xr:uid="{C43C2226-6DF1-4192-9EF2-9F0AEF4805F5}"/>
    <hyperlink ref="I121" r:id="rId36" xr:uid="{662AF1A5-0841-4FC6-A243-D4EAFB20C62C}"/>
    <hyperlink ref="I122" r:id="rId37" xr:uid="{C94CBA35-8324-4BF0-AF84-36EEDD854107}"/>
    <hyperlink ref="I126" r:id="rId38" xr:uid="{BAE209D8-D22C-4C84-A0E6-67658D1604F3}"/>
    <hyperlink ref="I127" r:id="rId39" xr:uid="{B08F7F95-DB00-4929-8EED-CE91479C43C9}"/>
    <hyperlink ref="I128" r:id="rId40" xr:uid="{DBE734A0-F0C1-4273-B582-87E868991911}"/>
    <hyperlink ref="I134" r:id="rId41" xr:uid="{DAAF4EC2-A8DA-477F-A731-D3C4BA8222F0}"/>
    <hyperlink ref="I135" r:id="rId42" xr:uid="{39618BE6-8C8C-4B11-9E48-648ED6F19989}"/>
    <hyperlink ref="I136" r:id="rId43" xr:uid="{FB7109AB-0BD9-4898-945F-3878E2D2F487}"/>
    <hyperlink ref="I137" r:id="rId44" xr:uid="{71F37D2F-AD2E-4955-975D-FA236368F224}"/>
    <hyperlink ref="I138" r:id="rId45" xr:uid="{E238F130-41DB-4573-B386-4C748BDA8E3F}"/>
    <hyperlink ref="I139" r:id="rId46" xr:uid="{3D1FBB9A-218B-4CFC-B677-1B3D826EBA91}"/>
    <hyperlink ref="I140" r:id="rId47" xr:uid="{A3652338-72D9-43E8-B870-62BADF96ED10}"/>
    <hyperlink ref="I141" r:id="rId48" xr:uid="{4E96DA9F-2503-4ECF-A782-05FA226970BE}"/>
    <hyperlink ref="I142" r:id="rId49" xr:uid="{7C9993C1-A91B-4F42-928F-827B4CE393B8}"/>
    <hyperlink ref="I143" r:id="rId50" xr:uid="{98A4AF75-15D4-4797-BB27-A21CF321A606}"/>
    <hyperlink ref="I146" r:id="rId51" xr:uid="{8B9C3E33-6794-41EC-B379-05594DC18F80}"/>
    <hyperlink ref="I148" r:id="rId52" xr:uid="{8E248678-0C37-4E1E-9349-97A2BFB1DE71}"/>
    <hyperlink ref="I149" r:id="rId53" xr:uid="{B08AB734-4601-47CA-B19E-1913E50C15B1}"/>
    <hyperlink ref="I151" r:id="rId54" xr:uid="{D3B28C00-939E-4DC6-B889-7B147C98E2D9}"/>
    <hyperlink ref="I153" r:id="rId55" xr:uid="{AB3E8B0F-55B1-4E2C-B081-B3B9258B6482}"/>
    <hyperlink ref="I154" r:id="rId56" xr:uid="{6122232E-02E2-44B2-8CC7-839E9D212CA3}"/>
    <hyperlink ref="I155" r:id="rId57" xr:uid="{E8C49EBF-3DA2-4B52-B6C0-725FB0A8A72B}"/>
    <hyperlink ref="I156" r:id="rId58" xr:uid="{17E0559C-8CD9-42DA-8844-662A37909E87}"/>
    <hyperlink ref="I157" r:id="rId59" xr:uid="{1B926F13-14DD-4F3D-A876-8E79C0C28BF5}"/>
    <hyperlink ref="I158" r:id="rId60" xr:uid="{C0731E4D-665D-4306-B175-4E608786DB93}"/>
    <hyperlink ref="I159" r:id="rId61" xr:uid="{AC43BE91-BF24-4116-9E5D-3C3FEE7F4A1B}"/>
    <hyperlink ref="I161" r:id="rId62" xr:uid="{9E2662C4-29FC-4DEB-91D2-BFAC9943F10C}"/>
    <hyperlink ref="I164" r:id="rId63" xr:uid="{C628DB52-072E-4E37-89EE-BDAB91F6BE46}"/>
    <hyperlink ref="I166" r:id="rId64" xr:uid="{5913325C-3D73-47A2-A9DD-BE11C4917411}"/>
    <hyperlink ref="I167" r:id="rId65" xr:uid="{AF52453D-E8F5-4BDB-8488-406B00148320}"/>
    <hyperlink ref="I168" r:id="rId66" xr:uid="{E6EF310E-463E-42D5-9208-05918EF884DA}"/>
    <hyperlink ref="I162" r:id="rId67" xr:uid="{09C50E59-75CC-4E48-9698-0CFA4A01B064}"/>
    <hyperlink ref="I171" r:id="rId68" xr:uid="{3193E3E3-831B-4320-9E3E-8B0AB46C37EB}"/>
    <hyperlink ref="I172" r:id="rId69" xr:uid="{B371C8F9-9A6D-4A85-8C93-D76500B4BE39}"/>
    <hyperlink ref="I173" r:id="rId70" xr:uid="{44C633A0-D867-41E9-943B-972AC8D6C409}"/>
    <hyperlink ref="I179" r:id="rId71" xr:uid="{3AD9787A-300D-4EA5-A1EF-348C24D28B2D}"/>
    <hyperlink ref="I180" r:id="rId72" xr:uid="{6ED66E93-568D-4BDB-B564-707873A474AC}"/>
    <hyperlink ref="I181" r:id="rId73" xr:uid="{57E2A5B8-3230-483A-99EE-9C56DCFDA179}"/>
    <hyperlink ref="I184" r:id="rId74" xr:uid="{82A83F84-4B6A-4AFB-84A3-77C5C7C61E25}"/>
    <hyperlink ref="I185" r:id="rId75" xr:uid="{B65B2DE2-1E7C-4A91-AA97-B6B3CAB1B133}"/>
    <hyperlink ref="I186" r:id="rId76" xr:uid="{1E7D76AC-143C-4F83-AB5D-0A795DC2B2E2}"/>
    <hyperlink ref="I187" r:id="rId77" xr:uid="{C25CB1A4-5718-4254-83BB-7CA4517180FE}"/>
    <hyperlink ref="I189" r:id="rId78" xr:uid="{FEDE98A4-4B8D-4DBE-A464-825522767751}"/>
    <hyperlink ref="I190" r:id="rId79" xr:uid="{BDA8D135-89A7-4E33-BBF1-38C1BBB4C723}"/>
    <hyperlink ref="I191" r:id="rId80" xr:uid="{0921FFEF-84E2-424F-A100-3FDD96C16D4E}"/>
    <hyperlink ref="I192" r:id="rId81" xr:uid="{C3D621EB-19EB-44E1-9215-A5EE74C4FB0E}"/>
    <hyperlink ref="I193" r:id="rId82" xr:uid="{68EC9DDD-7511-4078-9ADE-369FFEC18C7C}"/>
    <hyperlink ref="I194" r:id="rId83" xr:uid="{4CDB1B9F-0FF7-4F9B-BC76-69D9AE07747B}"/>
    <hyperlink ref="I195" r:id="rId84" xr:uid="{F7156DC3-0739-46BB-B70B-EF77879AFE66}"/>
    <hyperlink ref="I200" r:id="rId85" xr:uid="{A806D6E5-908B-4852-9BFD-C32439EA6DEF}"/>
    <hyperlink ref="I201" r:id="rId86" xr:uid="{AD462012-C95C-4C3F-96E8-7E25A5CB682A}"/>
    <hyperlink ref="I203" r:id="rId87" xr:uid="{810892C1-FD89-49CB-9323-0F1AC1652729}"/>
    <hyperlink ref="I205" r:id="rId88" xr:uid="{FC40FDBD-F4EA-4887-B981-488631793941}"/>
    <hyperlink ref="I206" r:id="rId89" xr:uid="{76C10F92-FF5C-416B-9AE1-9ABDBCA019B3}"/>
    <hyperlink ref="I207" r:id="rId90" xr:uid="{FCF22FB2-5E8E-435A-88C8-F804DA51DF6D}"/>
    <hyperlink ref="I208" r:id="rId91" xr:uid="{DB78B63F-507F-482D-A64B-3F15072E529B}"/>
    <hyperlink ref="I209" r:id="rId92" xr:uid="{9A2798A1-46F5-4955-A9BD-C60D1B78F407}"/>
    <hyperlink ref="I210" r:id="rId93" xr:uid="{24E0F8F0-E7AF-4457-9DBB-370EB15E9BE9}"/>
    <hyperlink ref="I212" r:id="rId94" xr:uid="{C993DBF0-67C4-421C-8E81-489702CB25FB}"/>
    <hyperlink ref="I213" r:id="rId95" xr:uid="{DF5CE2AA-E665-4057-ADE8-CCC84BDB625F}"/>
    <hyperlink ref="I215" r:id="rId96" xr:uid="{92494014-1EB3-4A62-BA06-A97648A6D396}"/>
    <hyperlink ref="I214" r:id="rId97" xr:uid="{9C9A677A-4869-405C-BE3E-4F0F8147C71C}"/>
    <hyperlink ref="I216" r:id="rId98" xr:uid="{A0B46CE2-0E33-4303-8A0E-3B4012107C0D}"/>
    <hyperlink ref="I217" r:id="rId99" xr:uid="{B2123D7B-2761-4F8C-866D-1B28B9E60661}"/>
    <hyperlink ref="I218" r:id="rId100" xr:uid="{465B5BC7-A248-4DF0-BF47-3EBFB5FB3D38}"/>
    <hyperlink ref="I219" r:id="rId101" xr:uid="{26DB6C85-7D7F-4A2C-AE77-C08288347EF0}"/>
    <hyperlink ref="I220" r:id="rId102" xr:uid="{39EAB15B-D79C-4702-AA8B-EFC5094E62EB}"/>
    <hyperlink ref="I221" r:id="rId103" xr:uid="{B27E59A6-CF68-4A4C-8DE6-3F79DB7D10F1}"/>
    <hyperlink ref="I222" r:id="rId104" xr:uid="{4BB0B3CC-5764-4A8A-BE1F-574FA4C28D81}"/>
    <hyperlink ref="I223" r:id="rId105" xr:uid="{06F6B19F-8CCF-4031-91C7-9A07760FFBF9}"/>
    <hyperlink ref="I224" r:id="rId106" xr:uid="{6FD0C272-75CD-428E-AB0E-ECC4744ECF2B}"/>
    <hyperlink ref="I225" r:id="rId107" xr:uid="{AD0E8128-FE1F-4A5C-AD0F-89F7482AC792}"/>
    <hyperlink ref="I227" r:id="rId108" xr:uid="{970080C2-7995-4415-816D-3C57D7B77BE7}"/>
    <hyperlink ref="I228" r:id="rId109" xr:uid="{05F9E158-1029-40BC-8D47-278A4A753D4C}"/>
    <hyperlink ref="I229" r:id="rId110" xr:uid="{E5F6F591-9B79-4898-9787-0B9C1DC677CC}"/>
    <hyperlink ref="I230" r:id="rId111" xr:uid="{1119A793-48C6-4F04-84FA-5489DE82C566}"/>
    <hyperlink ref="I233" r:id="rId112" xr:uid="{A7991CA0-8048-4C07-9147-2F8A9FF17200}"/>
    <hyperlink ref="I234" r:id="rId113" xr:uid="{16177B6C-09D2-4C91-947B-4A713C78E736}"/>
    <hyperlink ref="I236" r:id="rId114" xr:uid="{C9EBD063-0E8E-4FAB-AC29-9180D4D6C525}"/>
    <hyperlink ref="I238" r:id="rId115" xr:uid="{EEFBC7E4-0969-4604-BBFA-3C7A194F5DD5}"/>
    <hyperlink ref="I240" r:id="rId116" xr:uid="{C539BAB6-70E8-4E82-997A-94E74669B4A5}"/>
    <hyperlink ref="I242" r:id="rId117" xr:uid="{3F5A7E0F-4C01-4739-9871-C40379932E48}"/>
    <hyperlink ref="I243" r:id="rId118" xr:uid="{226795B7-D729-425B-A332-89CBED4B3AF3}"/>
    <hyperlink ref="I244" r:id="rId119" xr:uid="{00308AF4-C3E3-4440-B4B6-7B566EF667AA}"/>
    <hyperlink ref="I245" r:id="rId120" xr:uid="{F2F58275-0B3A-433C-B63F-9296C22D844D}"/>
    <hyperlink ref="I246" r:id="rId121" xr:uid="{76904102-2FD7-46DF-820C-5E3A62732C02}"/>
    <hyperlink ref="I250" r:id="rId122" xr:uid="{28B229A1-43DD-4427-9E88-782F020D0381}"/>
    <hyperlink ref="I251" r:id="rId123" xr:uid="{116A5EA3-DCAB-46D1-8D84-B1F1020FADB3}"/>
    <hyperlink ref="I252" r:id="rId124" xr:uid="{C53049D4-7B00-4E5B-A061-A10B45EACB28}"/>
    <hyperlink ref="I253" r:id="rId125" xr:uid="{35A30920-2A43-42D0-B9D6-0275BD233910}"/>
    <hyperlink ref="I254" r:id="rId126" xr:uid="{7A100435-A3BA-4056-A556-1B9DB8D1A62C}"/>
    <hyperlink ref="I255" r:id="rId127" xr:uid="{4B49B0AB-C122-45A6-91F0-C2DE6BC27C4A}"/>
    <hyperlink ref="I258" r:id="rId128" xr:uid="{3D9FB00D-D338-4CD3-9425-60F6B4247B72}"/>
    <hyperlink ref="I259" r:id="rId129" xr:uid="{4345A9B3-29DE-4542-829E-10A48C5BD86D}"/>
    <hyperlink ref="I260" r:id="rId130" xr:uid="{7623A57C-942F-418A-9916-44F1BB302101}"/>
    <hyperlink ref="I262" r:id="rId131" xr:uid="{2975DEA7-73FA-4879-8107-37DBB5A1F8C7}"/>
    <hyperlink ref="I263" r:id="rId132" xr:uid="{2F7F3359-63F6-4264-8992-DD46042E3111}"/>
    <hyperlink ref="I264" r:id="rId133" xr:uid="{7098C120-5DFE-4E52-B518-654D908AB909}"/>
    <hyperlink ref="I265" r:id="rId134" xr:uid="{7B9B50AC-F2EF-48AE-A576-2B3669AAA1C0}"/>
    <hyperlink ref="I266" r:id="rId135" xr:uid="{9FD1445E-192B-4007-8001-9F93E4BD429C}"/>
    <hyperlink ref="I267" r:id="rId136" xr:uid="{20681941-642D-4DC3-93F8-95969145B17A}"/>
    <hyperlink ref="I268" r:id="rId137" xr:uid="{CE601899-47D0-47F5-9ED8-4BF605650A97}"/>
    <hyperlink ref="I269" r:id="rId138" xr:uid="{4D55F726-D476-4E3F-8528-F937D51E7095}"/>
    <hyperlink ref="I270" r:id="rId139" xr:uid="{09ED3834-4710-4542-8DDD-9994E165174A}"/>
    <hyperlink ref="I271" r:id="rId140" xr:uid="{85D6F5A5-ACC7-42BF-AEEB-600778C034FE}"/>
    <hyperlink ref="I276" r:id="rId141" xr:uid="{370803F7-2151-4305-A61E-EE957A818553}"/>
    <hyperlink ref="I277" r:id="rId142" xr:uid="{2917DC7C-6914-459C-B570-7FECB5159D1B}"/>
    <hyperlink ref="I278" r:id="rId143" xr:uid="{E8357584-9C9F-4E56-B5F3-CCE59290BD36}"/>
    <hyperlink ref="I279" r:id="rId144" xr:uid="{4CE16502-AF79-48DE-8A09-C248AA57EFD3}"/>
    <hyperlink ref="I282" r:id="rId145" display="vidal.brunavidal@gmail.com" xr:uid="{E20271D8-D421-4F2A-8562-E7BB9DB0EFDF}"/>
    <hyperlink ref="I284" r:id="rId146" xr:uid="{BAC4E940-BC43-4D70-BBB7-62EDA4665254}"/>
    <hyperlink ref="I285" r:id="rId147" xr:uid="{78624DE3-0E9D-4491-90D9-070E49C56F41}"/>
    <hyperlink ref="I286" r:id="rId148" xr:uid="{23F466CD-71DA-47B6-9DDB-B917D751B7D5}"/>
    <hyperlink ref="I287" r:id="rId149" xr:uid="{5E40498F-950F-429B-844E-64C302B44F02}"/>
    <hyperlink ref="I288" r:id="rId150" xr:uid="{982BF7E4-B95C-4696-8F25-B3FA310F3B6A}"/>
    <hyperlink ref="I280" r:id="rId151" xr:uid="{2E3E0F62-CED7-40B5-B430-1178DE866C5B}"/>
    <hyperlink ref="I289" r:id="rId152" xr:uid="{ECF673A7-00C5-455A-877E-7B778B06E5EB}"/>
    <hyperlink ref="I290" r:id="rId153" xr:uid="{F3123B3B-92F5-4371-8278-2C51FDDB0E37}"/>
    <hyperlink ref="I292" r:id="rId154" xr:uid="{B1BA4A35-0960-416A-9802-BD06B5A406C9}"/>
    <hyperlink ref="I293" r:id="rId155" xr:uid="{DBEBA43F-37FC-4B0C-9823-368A5A98C813}"/>
    <hyperlink ref="I294" r:id="rId156" xr:uid="{9DDC2EF0-ED9B-4041-AB07-255295A1E839}"/>
    <hyperlink ref="I295" r:id="rId157" xr:uid="{85FB39A1-1C49-4349-BBDD-E800FBCE4589}"/>
    <hyperlink ref="I296" r:id="rId158" xr:uid="{1EAD4B44-9581-4643-BA7E-76C680EAA52C}"/>
    <hyperlink ref="I297" r:id="rId159" xr:uid="{AF54BA24-6DC5-43C9-B58A-100BBFFA2C91}"/>
    <hyperlink ref="I298" r:id="rId160" xr:uid="{66B17B45-78A0-4206-8C98-B01584211BAD}"/>
    <hyperlink ref="I299" r:id="rId161" xr:uid="{169F0050-1DC7-43BA-ABC3-27D954E41CCF}"/>
    <hyperlink ref="I300" r:id="rId162" xr:uid="{85FF2A80-2FD9-49B2-A74A-B34BC816E4C8}"/>
    <hyperlink ref="I301" r:id="rId163" xr:uid="{D433303D-F845-4670-B357-46012ADF522D}"/>
    <hyperlink ref="I302" r:id="rId164" xr:uid="{40273732-D080-4383-94E7-AB10F01E7E51}"/>
    <hyperlink ref="I303" r:id="rId165" xr:uid="{801C02AD-AAC6-4093-90C9-99F63B636669}"/>
    <hyperlink ref="I304" r:id="rId166" xr:uid="{5700107D-95E1-4545-BCAD-0FB09EB941CA}"/>
    <hyperlink ref="I307" r:id="rId167" xr:uid="{FBE2E0FC-21AD-4919-99B9-F4BB2F84074B}"/>
    <hyperlink ref="I308" r:id="rId168" xr:uid="{0B4A677A-04EF-4DC6-9858-7ABA905102FE}"/>
    <hyperlink ref="I306" r:id="rId169" xr:uid="{EC42E9E8-BABD-4776-B17C-E5C1DBDD785F}"/>
    <hyperlink ref="I309" r:id="rId170" xr:uid="{3EF966C9-3E8A-4C48-B193-E3115824D42C}"/>
    <hyperlink ref="I310" r:id="rId171" xr:uid="{2D3CA65E-20B2-4B90-8DB6-4326CD600C03}"/>
    <hyperlink ref="I312" r:id="rId172" xr:uid="{4FFF6E89-30FD-490B-954D-7FFC611A3EA1}"/>
    <hyperlink ref="I314" r:id="rId173" xr:uid="{70834D47-2CE1-4DD2-9C8A-3765E5CFC272}"/>
    <hyperlink ref="I315" r:id="rId174" xr:uid="{4336E3CC-E5F9-4172-B005-80FAD2B0E988}"/>
    <hyperlink ref="I316" r:id="rId175" xr:uid="{5F036E26-E31A-4E69-A3DD-BAE556F853B8}"/>
    <hyperlink ref="I311" r:id="rId176" xr:uid="{5AE6F84E-FEBB-43BC-BECD-B226BB83313C}"/>
    <hyperlink ref="I313" r:id="rId177" xr:uid="{923E9727-DAA3-4D51-BB2E-EF96F3856C5D}"/>
    <hyperlink ref="I317" r:id="rId178" xr:uid="{09A41B0B-F293-4E04-A11F-4D83803B8F1F}"/>
    <hyperlink ref="I319" r:id="rId179" xr:uid="{2B69CE9B-2C68-4C2A-9F25-B8FC00696489}"/>
    <hyperlink ref="I320" r:id="rId180" xr:uid="{1FBADDD8-4810-4B98-A784-7F9B57DDB84A}"/>
    <hyperlink ref="I323" r:id="rId181" xr:uid="{3FC31817-D78A-4AE3-BA51-2D11A718A8B2}"/>
    <hyperlink ref="I327" r:id="rId182" xr:uid="{6315A8ED-595B-4BCC-95C0-E45B2E383501}"/>
    <hyperlink ref="I328" r:id="rId183" display="suelen.targino@hotmail.com" xr:uid="{F62C20A5-2B20-48DB-B0CA-40AE2314C95E}"/>
    <hyperlink ref="I329" r:id="rId184" xr:uid="{1AB61C94-642B-4B07-A0D9-4AFE699167F7}"/>
    <hyperlink ref="I324" r:id="rId185" xr:uid="{9ABA9AAE-A678-461E-9CE6-CF72EC6860EA}"/>
    <hyperlink ref="I330" r:id="rId186" xr:uid="{8274D5F3-5E96-4802-9476-339487CADB7E}"/>
  </hyperlinks>
  <pageMargins left="0.511811024" right="0.511811024" top="0.78740157499999996" bottom="0.78740157499999996" header="0.31496062000000002" footer="0.31496062000000002"/>
  <pageSetup paperSize="9" orientation="portrait" r:id="rId187"/>
  <legacyDrawing r:id="rId18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EC27-312D-4542-985F-A3419DA01926}">
  <dimension ref="A2:Q47"/>
  <sheetViews>
    <sheetView showZeros="0" zoomScale="115" zoomScaleNormal="115" workbookViewId="0">
      <pane xSplit="2" ySplit="4" topLeftCell="C29" activePane="bottomRight" state="frozen"/>
      <selection pane="topRight" activeCell="C1" sqref="C1"/>
      <selection pane="bottomLeft" activeCell="A5" sqref="A5"/>
      <selection pane="bottomRight" activeCell="G47" sqref="G47"/>
    </sheetView>
  </sheetViews>
  <sheetFormatPr defaultRowHeight="13.2"/>
  <cols>
    <col min="1" max="1" width="9.88671875" customWidth="1"/>
    <col min="2" max="2" width="13.33203125" bestFit="1" customWidth="1"/>
    <col min="3" max="14" width="10.33203125" bestFit="1" customWidth="1"/>
  </cols>
  <sheetData>
    <row r="2" spans="1:16" ht="13.8" thickBot="1"/>
    <row r="3" spans="1:16" ht="15.6">
      <c r="A3" s="179" t="s">
        <v>168</v>
      </c>
      <c r="B3" s="180"/>
      <c r="C3" s="181" t="s">
        <v>1720</v>
      </c>
      <c r="D3" s="181" t="s">
        <v>1721</v>
      </c>
      <c r="E3" s="181" t="s">
        <v>1722</v>
      </c>
      <c r="F3" s="181" t="s">
        <v>1723</v>
      </c>
      <c r="G3" s="181" t="s">
        <v>1724</v>
      </c>
      <c r="H3" s="181" t="s">
        <v>1725</v>
      </c>
      <c r="I3" s="181" t="s">
        <v>1726</v>
      </c>
      <c r="J3" s="181" t="s">
        <v>1727</v>
      </c>
      <c r="K3" s="181" t="s">
        <v>1728</v>
      </c>
      <c r="L3" s="181" t="s">
        <v>1729</v>
      </c>
      <c r="M3" s="181" t="s">
        <v>1730</v>
      </c>
      <c r="N3" s="182" t="s">
        <v>1731</v>
      </c>
      <c r="O3" s="183" t="s">
        <v>1732</v>
      </c>
    </row>
    <row r="4" spans="1:16" ht="15" hidden="1" customHeight="1">
      <c r="A4" s="184"/>
      <c r="B4" s="185"/>
      <c r="C4" s="186">
        <v>1</v>
      </c>
      <c r="D4" s="186">
        <v>2</v>
      </c>
      <c r="E4" s="186">
        <v>3</v>
      </c>
      <c r="F4" s="186">
        <v>4</v>
      </c>
      <c r="G4" s="186">
        <v>5</v>
      </c>
      <c r="H4" s="186">
        <v>6</v>
      </c>
      <c r="I4" s="186">
        <v>7</v>
      </c>
      <c r="J4" s="186">
        <v>8</v>
      </c>
      <c r="K4" s="186">
        <v>9</v>
      </c>
      <c r="L4" s="186">
        <v>10</v>
      </c>
      <c r="M4" s="186">
        <v>11</v>
      </c>
      <c r="N4" s="187">
        <v>12</v>
      </c>
      <c r="O4" s="188"/>
    </row>
    <row r="5" spans="1:16">
      <c r="A5" s="184">
        <v>2010</v>
      </c>
      <c r="B5" s="185"/>
      <c r="C5" s="189">
        <f>SUMIFS(Lista!$K:$K,Lista!$O:$O,$A5,Lista!$N:$N,C$4)+SUMIFS('Ex residentes'!$K:$K,'Ex residentes'!$O:$O,$A5,'Ex residentes'!$N:$N,C$4)</f>
        <v>0</v>
      </c>
      <c r="D5" s="189">
        <f>SUMIFS(Lista!$K:$K,Lista!$O:$O,$A5,Lista!$N:$N,D$4)+SUMIFS('Ex residentes'!$K:$K,'Ex residentes'!$O:$O,$A5,'Ex residentes'!$N:$N,D$4)</f>
        <v>0</v>
      </c>
      <c r="E5" s="189">
        <f>SUMIFS(Lista!$K:$K,Lista!$O:$O,$A5,Lista!$N:$N,E$4)+SUMIFS('Ex residentes'!$K:$K,'Ex residentes'!$O:$O,$A5,'Ex residentes'!$N:$N,E$4)</f>
        <v>0</v>
      </c>
      <c r="F5" s="189">
        <f>SUMIFS(Lista!$K:$K,Lista!$O:$O,$A5,Lista!$N:$N,F$4)+SUMIFS('Ex residentes'!$K:$K,'Ex residentes'!$O:$O,$A5,'Ex residentes'!$N:$N,F$4)</f>
        <v>0</v>
      </c>
      <c r="G5" s="189">
        <f>SUMIFS(Lista!$K:$K,Lista!$O:$O,$A5,Lista!$N:$N,G$4)+SUMIFS('Ex residentes'!$K:$K,'Ex residentes'!$O:$O,$A5,'Ex residentes'!$N:$N,G$4)</f>
        <v>0</v>
      </c>
      <c r="H5" s="189">
        <f>SUMIFS(Lista!$K:$K,Lista!$O:$O,$A5,Lista!$N:$N,H$4)+SUMIFS('Ex residentes'!$K:$K,'Ex residentes'!$O:$O,$A5,'Ex residentes'!$N:$N,H$4)</f>
        <v>0</v>
      </c>
      <c r="I5" s="189">
        <f>SUMIFS(Lista!$K:$K,Lista!$O:$O,$A5,Lista!$N:$N,I$4)+SUMIFS('Ex residentes'!$K:$K,'Ex residentes'!$O:$O,$A5,'Ex residentes'!$N:$N,I$4)</f>
        <v>0</v>
      </c>
      <c r="J5" s="189">
        <f>SUMIFS(Lista!$K:$K,Lista!$O:$O,$A5,Lista!$N:$N,J$4)+SUMIFS('Ex residentes'!$K:$K,'Ex residentes'!$O:$O,$A5,'Ex residentes'!$N:$N,J$4)</f>
        <v>0</v>
      </c>
      <c r="K5" s="189">
        <f>SUMIFS(Lista!$K:$K,Lista!$O:$O,$A5,Lista!$N:$N,K$4)+SUMIFS('Ex residentes'!$K:$K,'Ex residentes'!$O:$O,$A5,'Ex residentes'!$N:$N,K$4)</f>
        <v>0</v>
      </c>
      <c r="L5" s="189">
        <f>SUMIFS(Lista!$K:$K,Lista!$O:$O,$A5,Lista!$N:$N,L$4)+SUMIFS('Ex residentes'!$K:$K,'Ex residentes'!$O:$O,$A5,'Ex residentes'!$N:$N,L$4)</f>
        <v>2</v>
      </c>
      <c r="M5" s="189">
        <f>SUMIFS(Lista!$K:$K,Lista!$O:$O,$A5,Lista!$N:$N,M$4)+SUMIFS('Ex residentes'!$K:$K,'Ex residentes'!$O:$O,$A5,'Ex residentes'!$N:$N,M$4)</f>
        <v>5</v>
      </c>
      <c r="N5" s="189">
        <f>SUMIFS(Lista!$K:$K,Lista!$O:$O,$A5,Lista!$N:$N,N$4)+SUMIFS('Ex residentes'!$K:$K,'Ex residentes'!$O:$O,$A5,'Ex residentes'!$N:$N,N$4)</f>
        <v>0</v>
      </c>
      <c r="O5" s="190">
        <f t="shared" ref="O5:O13" si="0">SUM(C5:N5)</f>
        <v>7</v>
      </c>
    </row>
    <row r="6" spans="1:16">
      <c r="A6" s="184">
        <v>2011</v>
      </c>
      <c r="B6" s="185"/>
      <c r="C6" s="189">
        <f>SUMIFS(Lista!$K:$K,Lista!$O:$O,$A6,Lista!$N:$N,C$4)+SUMIFS('Ex residentes'!$K:$K,'Ex residentes'!$O:$O,$A6,'Ex residentes'!$N:$N,C$4)</f>
        <v>1</v>
      </c>
      <c r="D6" s="189">
        <f>SUMIFS(Lista!$K:$K,Lista!$O:$O,$A6,Lista!$N:$N,D$4)+SUMIFS('Ex residentes'!$K:$K,'Ex residentes'!$O:$O,$A6,'Ex residentes'!$N:$N,D$4)</f>
        <v>0</v>
      </c>
      <c r="E6" s="189">
        <f>SUMIFS(Lista!$K:$K,Lista!$O:$O,$A6,Lista!$N:$N,E$4)+SUMIFS('Ex residentes'!$K:$K,'Ex residentes'!$O:$O,$A6,'Ex residentes'!$N:$N,E$4)</f>
        <v>0</v>
      </c>
      <c r="F6" s="189">
        <f>SUMIFS(Lista!$K:$K,Lista!$O:$O,$A6,Lista!$N:$N,F$4)+SUMIFS('Ex residentes'!$K:$K,'Ex residentes'!$O:$O,$A6,'Ex residentes'!$N:$N,F$4)</f>
        <v>0</v>
      </c>
      <c r="G6" s="189">
        <f>SUMIFS(Lista!$K:$K,Lista!$O:$O,$A6,Lista!$N:$N,G$4)+SUMIFS('Ex residentes'!$K:$K,'Ex residentes'!$O:$O,$A6,'Ex residentes'!$N:$N,G$4)</f>
        <v>1</v>
      </c>
      <c r="H6" s="189">
        <f>SUMIFS(Lista!$K:$K,Lista!$O:$O,$A6,Lista!$N:$N,H$4)+SUMIFS('Ex residentes'!$K:$K,'Ex residentes'!$O:$O,$A6,'Ex residentes'!$N:$N,H$4)</f>
        <v>2</v>
      </c>
      <c r="I6" s="189">
        <f>SUMIFS(Lista!$K:$K,Lista!$O:$O,$A6,Lista!$N:$N,I$4)+SUMIFS('Ex residentes'!$K:$K,'Ex residentes'!$O:$O,$A6,'Ex residentes'!$N:$N,I$4)</f>
        <v>0</v>
      </c>
      <c r="J6" s="189">
        <f>SUMIFS(Lista!$K:$K,Lista!$O:$O,$A6,Lista!$N:$N,J$4)+SUMIFS('Ex residentes'!$K:$K,'Ex residentes'!$O:$O,$A6,'Ex residentes'!$N:$N,J$4)</f>
        <v>0</v>
      </c>
      <c r="K6" s="189">
        <f>SUMIFS(Lista!$K:$K,Lista!$O:$O,$A6,Lista!$N:$N,K$4)+SUMIFS('Ex residentes'!$K:$K,'Ex residentes'!$O:$O,$A6,'Ex residentes'!$N:$N,K$4)</f>
        <v>1</v>
      </c>
      <c r="L6" s="189">
        <f>SUMIFS(Lista!$K:$K,Lista!$O:$O,$A6,Lista!$N:$N,L$4)+SUMIFS('Ex residentes'!$K:$K,'Ex residentes'!$O:$O,$A6,'Ex residentes'!$N:$N,L$4)</f>
        <v>0</v>
      </c>
      <c r="M6" s="189">
        <f>SUMIFS(Lista!$K:$K,Lista!$O:$O,$A6,Lista!$N:$N,M$4)+SUMIFS('Ex residentes'!$K:$K,'Ex residentes'!$O:$O,$A6,'Ex residentes'!$N:$N,M$4)</f>
        <v>0</v>
      </c>
      <c r="N6" s="189">
        <f>SUMIFS(Lista!$K:$K,Lista!$O:$O,$A6,Lista!$N:$N,N$4)+SUMIFS('Ex residentes'!$K:$K,'Ex residentes'!$O:$O,$A6,'Ex residentes'!$N:$N,N$4)</f>
        <v>0</v>
      </c>
      <c r="O6" s="190">
        <f t="shared" si="0"/>
        <v>5</v>
      </c>
    </row>
    <row r="7" spans="1:16">
      <c r="A7" s="184">
        <v>2012</v>
      </c>
      <c r="B7" s="185"/>
      <c r="C7" s="189">
        <f>SUMIFS(Lista!$K:$K,Lista!$O:$O,$A7,Lista!$N:$N,C$4)+SUMIFS('Ex residentes'!$K:$K,'Ex residentes'!$O:$O,$A7,'Ex residentes'!$N:$N,C$4)</f>
        <v>1</v>
      </c>
      <c r="D7" s="189">
        <f>SUMIFS(Lista!$K:$K,Lista!$O:$O,$A7,Lista!$N:$N,D$4)+SUMIFS('Ex residentes'!$K:$K,'Ex residentes'!$O:$O,$A7,'Ex residentes'!$N:$N,D$4)</f>
        <v>1</v>
      </c>
      <c r="E7" s="189">
        <f>SUMIFS(Lista!$K:$K,Lista!$O:$O,$A7,Lista!$N:$N,E$4)+SUMIFS('Ex residentes'!$K:$K,'Ex residentes'!$O:$O,$A7,'Ex residentes'!$N:$N,E$4)</f>
        <v>1</v>
      </c>
      <c r="F7" s="189">
        <f>SUMIFS(Lista!$K:$K,Lista!$O:$O,$A7,Lista!$N:$N,F$4)+SUMIFS('Ex residentes'!$K:$K,'Ex residentes'!$O:$O,$A7,'Ex residentes'!$N:$N,F$4)</f>
        <v>2</v>
      </c>
      <c r="G7" s="189">
        <f>SUMIFS(Lista!$K:$K,Lista!$O:$O,$A7,Lista!$N:$N,G$4)+SUMIFS('Ex residentes'!$K:$K,'Ex residentes'!$O:$O,$A7,'Ex residentes'!$N:$N,G$4)</f>
        <v>0</v>
      </c>
      <c r="H7" s="189">
        <f>SUMIFS(Lista!$K:$K,Lista!$O:$O,$A7,Lista!$N:$N,H$4)+SUMIFS('Ex residentes'!$K:$K,'Ex residentes'!$O:$O,$A7,'Ex residentes'!$N:$N,H$4)</f>
        <v>2</v>
      </c>
      <c r="I7" s="189">
        <f>SUMIFS(Lista!$K:$K,Lista!$O:$O,$A7,Lista!$N:$N,I$4)+SUMIFS('Ex residentes'!$K:$K,'Ex residentes'!$O:$O,$A7,'Ex residentes'!$N:$N,I$4)</f>
        <v>0</v>
      </c>
      <c r="J7" s="189">
        <f>SUMIFS(Lista!$K:$K,Lista!$O:$O,$A7,Lista!$N:$N,J$4)+SUMIFS('Ex residentes'!$K:$K,'Ex residentes'!$O:$O,$A7,'Ex residentes'!$N:$N,J$4)</f>
        <v>0</v>
      </c>
      <c r="K7" s="189">
        <f>SUMIFS(Lista!$K:$K,Lista!$O:$O,$A7,Lista!$N:$N,K$4)+SUMIFS('Ex residentes'!$K:$K,'Ex residentes'!$O:$O,$A7,'Ex residentes'!$N:$N,K$4)</f>
        <v>1</v>
      </c>
      <c r="L7" s="189">
        <f>SUMIFS(Lista!$K:$K,Lista!$O:$O,$A7,Lista!$N:$N,L$4)+SUMIFS('Ex residentes'!$K:$K,'Ex residentes'!$O:$O,$A7,'Ex residentes'!$N:$N,L$4)</f>
        <v>0</v>
      </c>
      <c r="M7" s="189">
        <f>SUMIFS(Lista!$K:$K,Lista!$O:$O,$A7,Lista!$N:$N,M$4)+SUMIFS('Ex residentes'!$K:$K,'Ex residentes'!$O:$O,$A7,'Ex residentes'!$N:$N,M$4)</f>
        <v>1</v>
      </c>
      <c r="N7" s="189">
        <f>SUMIFS(Lista!$K:$K,Lista!$O:$O,$A7,Lista!$N:$N,N$4)+SUMIFS('Ex residentes'!$K:$K,'Ex residentes'!$O:$O,$A7,'Ex residentes'!$N:$N,N$4)</f>
        <v>3</v>
      </c>
      <c r="O7" s="190">
        <f t="shared" si="0"/>
        <v>12</v>
      </c>
    </row>
    <row r="8" spans="1:16">
      <c r="A8" s="184">
        <v>2013</v>
      </c>
      <c r="B8" s="185"/>
      <c r="C8" s="189">
        <f>SUMIFS(Lista!$K:$K,Lista!$O:$O,$A8,Lista!$N:$N,C$4)+SUMIFS('Ex residentes'!$K:$K,'Ex residentes'!$O:$O,$A8,'Ex residentes'!$N:$N,C$4)</f>
        <v>1</v>
      </c>
      <c r="D8" s="189">
        <f>SUMIFS(Lista!$K:$K,Lista!$O:$O,$A8,Lista!$N:$N,D$4)+SUMIFS('Ex residentes'!$K:$K,'Ex residentes'!$O:$O,$A8,'Ex residentes'!$N:$N,D$4)</f>
        <v>1</v>
      </c>
      <c r="E8" s="189">
        <f>SUMIFS(Lista!$K:$K,Lista!$O:$O,$A8,Lista!$N:$N,E$4)+SUMIFS('Ex residentes'!$K:$K,'Ex residentes'!$O:$O,$A8,'Ex residentes'!$N:$N,E$4)</f>
        <v>0</v>
      </c>
      <c r="F8" s="189">
        <f>SUMIFS(Lista!$K:$K,Lista!$O:$O,$A8,Lista!$N:$N,F$4)+SUMIFS('Ex residentes'!$K:$K,'Ex residentes'!$O:$O,$A8,'Ex residentes'!$N:$N,F$4)</f>
        <v>0</v>
      </c>
      <c r="G8" s="189">
        <f>SUMIFS(Lista!$K:$K,Lista!$O:$O,$A8,Lista!$N:$N,G$4)+SUMIFS('Ex residentes'!$K:$K,'Ex residentes'!$O:$O,$A8,'Ex residentes'!$N:$N,G$4)</f>
        <v>0</v>
      </c>
      <c r="H8" s="189">
        <f>SUMIFS(Lista!$K:$K,Lista!$O:$O,$A8,Lista!$N:$N,H$4)+SUMIFS('Ex residentes'!$K:$K,'Ex residentes'!$O:$O,$A8,'Ex residentes'!$N:$N,H$4)</f>
        <v>0</v>
      </c>
      <c r="I8" s="189">
        <f>SUMIFS(Lista!$K:$K,Lista!$O:$O,$A8,Lista!$N:$N,I$4)+SUMIFS('Ex residentes'!$K:$K,'Ex residentes'!$O:$O,$A8,'Ex residentes'!$N:$N,I$4)</f>
        <v>1</v>
      </c>
      <c r="J8" s="189">
        <f>SUMIFS(Lista!$K:$K,Lista!$O:$O,$A8,Lista!$N:$N,J$4)+SUMIFS('Ex residentes'!$K:$K,'Ex residentes'!$O:$O,$A8,'Ex residentes'!$N:$N,J$4)</f>
        <v>1</v>
      </c>
      <c r="K8" s="189">
        <f>SUMIFS(Lista!$K:$K,Lista!$O:$O,$A8,Lista!$N:$N,K$4)+SUMIFS('Ex residentes'!$K:$K,'Ex residentes'!$O:$O,$A8,'Ex residentes'!$N:$N,K$4)</f>
        <v>1</v>
      </c>
      <c r="L8" s="189">
        <f>SUMIFS(Lista!$K:$K,Lista!$O:$O,$A8,Lista!$N:$N,L$4)+SUMIFS('Ex residentes'!$K:$K,'Ex residentes'!$O:$O,$A8,'Ex residentes'!$N:$N,L$4)</f>
        <v>0</v>
      </c>
      <c r="M8" s="189">
        <f>SUMIFS(Lista!$K:$K,Lista!$O:$O,$A8,Lista!$N:$N,M$4)+SUMIFS('Ex residentes'!$K:$K,'Ex residentes'!$O:$O,$A8,'Ex residentes'!$N:$N,M$4)</f>
        <v>1</v>
      </c>
      <c r="N8" s="189">
        <f>SUMIFS(Lista!$K:$K,Lista!$O:$O,$A8,Lista!$N:$N,N$4)+SUMIFS('Ex residentes'!$K:$K,'Ex residentes'!$O:$O,$A8,'Ex residentes'!$N:$N,N$4)</f>
        <v>0</v>
      </c>
      <c r="O8" s="190">
        <f t="shared" si="0"/>
        <v>6</v>
      </c>
    </row>
    <row r="9" spans="1:16">
      <c r="A9" s="184">
        <v>2014</v>
      </c>
      <c r="B9" s="185"/>
      <c r="C9" s="189">
        <f>SUMIFS(Lista!$K:$K,Lista!$O:$O,$A9,Lista!$N:$N,C$4)+SUMIFS('Ex residentes'!$K:$K,'Ex residentes'!$O:$O,$A9,'Ex residentes'!$N:$N,C$4)</f>
        <v>0</v>
      </c>
      <c r="D9" s="189">
        <f>SUMIFS(Lista!$K:$K,Lista!$O:$O,$A9,Lista!$N:$N,D$4)+SUMIFS('Ex residentes'!$K:$K,'Ex residentes'!$O:$O,$A9,'Ex residentes'!$N:$N,D$4)</f>
        <v>1</v>
      </c>
      <c r="E9" s="189">
        <f>SUMIFS(Lista!$K:$K,Lista!$O:$O,$A9,Lista!$N:$N,E$4)+SUMIFS('Ex residentes'!$K:$K,'Ex residentes'!$O:$O,$A9,'Ex residentes'!$N:$N,E$4)</f>
        <v>1</v>
      </c>
      <c r="F9" s="189">
        <f>SUMIFS(Lista!$K:$K,Lista!$O:$O,$A9,Lista!$N:$N,F$4)+SUMIFS('Ex residentes'!$K:$K,'Ex residentes'!$O:$O,$A9,'Ex residentes'!$N:$N,F$4)</f>
        <v>8</v>
      </c>
      <c r="G9" s="189">
        <f>SUMIFS(Lista!$K:$K,Lista!$O:$O,$A9,Lista!$N:$N,G$4)+SUMIFS('Ex residentes'!$K:$K,'Ex residentes'!$O:$O,$A9,'Ex residentes'!$N:$N,G$4)</f>
        <v>2</v>
      </c>
      <c r="H9" s="189">
        <f>SUMIFS(Lista!$K:$K,Lista!$O:$O,$A9,Lista!$N:$N,H$4)+SUMIFS('Ex residentes'!$K:$K,'Ex residentes'!$O:$O,$A9,'Ex residentes'!$N:$N,H$4)</f>
        <v>0</v>
      </c>
      <c r="I9" s="189">
        <f>SUMIFS(Lista!$K:$K,Lista!$O:$O,$A9,Lista!$N:$N,I$4)+SUMIFS('Ex residentes'!$K:$K,'Ex residentes'!$O:$O,$A9,'Ex residentes'!$N:$N,I$4)</f>
        <v>3</v>
      </c>
      <c r="J9" s="189">
        <f>SUMIFS(Lista!$K:$K,Lista!$O:$O,$A9,Lista!$N:$N,J$4)+SUMIFS('Ex residentes'!$K:$K,'Ex residentes'!$O:$O,$A9,'Ex residentes'!$N:$N,J$4)</f>
        <v>6</v>
      </c>
      <c r="K9" s="189">
        <f>SUMIFS(Lista!$K:$K,Lista!$O:$O,$A9,Lista!$N:$N,K$4)+SUMIFS('Ex residentes'!$K:$K,'Ex residentes'!$O:$O,$A9,'Ex residentes'!$N:$N,K$4)</f>
        <v>4</v>
      </c>
      <c r="L9" s="189">
        <f>SUMIFS(Lista!$K:$K,Lista!$O:$O,$A9,Lista!$N:$N,L$4)+SUMIFS('Ex residentes'!$K:$K,'Ex residentes'!$O:$O,$A9,'Ex residentes'!$N:$N,L$4)</f>
        <v>2</v>
      </c>
      <c r="M9" s="189">
        <f>SUMIFS(Lista!$K:$K,Lista!$O:$O,$A9,Lista!$N:$N,M$4)+SUMIFS('Ex residentes'!$K:$K,'Ex residentes'!$O:$O,$A9,'Ex residentes'!$N:$N,M$4)</f>
        <v>0</v>
      </c>
      <c r="N9" s="189">
        <f>SUMIFS(Lista!$K:$K,Lista!$O:$O,$A9,Lista!$N:$N,N$4)+SUMIFS('Ex residentes'!$K:$K,'Ex residentes'!$O:$O,$A9,'Ex residentes'!$N:$N,N$4)</f>
        <v>0</v>
      </c>
      <c r="O9" s="190">
        <f t="shared" si="0"/>
        <v>27</v>
      </c>
    </row>
    <row r="10" spans="1:16">
      <c r="A10" s="184">
        <v>2015</v>
      </c>
      <c r="B10" s="185"/>
      <c r="C10" s="189">
        <f>SUMIFS(Lista!$K:$K,Lista!$O:$O,$A10,Lista!$N:$N,C$4)+SUMIFS('Ex residentes'!$K:$K,'Ex residentes'!$O:$O,$A10,'Ex residentes'!$N:$N,C$4)</f>
        <v>2</v>
      </c>
      <c r="D10" s="189">
        <f>SUMIFS(Lista!$K:$K,Lista!$O:$O,$A10,Lista!$N:$N,D$4)+SUMIFS('Ex residentes'!$K:$K,'Ex residentes'!$O:$O,$A10,'Ex residentes'!$N:$N,D$4)</f>
        <v>2</v>
      </c>
      <c r="E10" s="189">
        <f>SUMIFS(Lista!$K:$K,Lista!$O:$O,$A10,Lista!$N:$N,E$4)+SUMIFS('Ex residentes'!$K:$K,'Ex residentes'!$O:$O,$A10,'Ex residentes'!$N:$N,E$4)</f>
        <v>2</v>
      </c>
      <c r="F10" s="189">
        <f>SUMIFS(Lista!$K:$K,Lista!$O:$O,$A10,Lista!$N:$N,F$4)+SUMIFS('Ex residentes'!$K:$K,'Ex residentes'!$O:$O,$A10,'Ex residentes'!$N:$N,F$4)</f>
        <v>4</v>
      </c>
      <c r="G10" s="189">
        <f>SUMIFS(Lista!$K:$K,Lista!$O:$O,$A10,Lista!$N:$N,G$4)+SUMIFS('Ex residentes'!$K:$K,'Ex residentes'!$O:$O,$A10,'Ex residentes'!$N:$N,G$4)</f>
        <v>2</v>
      </c>
      <c r="H10" s="189">
        <f>SUMIFS(Lista!$K:$K,Lista!$O:$O,$A10,Lista!$N:$N,H$4)+SUMIFS('Ex residentes'!$K:$K,'Ex residentes'!$O:$O,$A10,'Ex residentes'!$N:$N,H$4)</f>
        <v>2</v>
      </c>
      <c r="I10" s="189">
        <f>SUMIFS(Lista!$K:$K,Lista!$O:$O,$A10,Lista!$N:$N,I$4)+SUMIFS('Ex residentes'!$K:$K,'Ex residentes'!$O:$O,$A10,'Ex residentes'!$N:$N,I$4)</f>
        <v>1</v>
      </c>
      <c r="J10" s="189">
        <f>SUMIFS(Lista!$K:$K,Lista!$O:$O,$A10,Lista!$N:$N,J$4)+SUMIFS('Ex residentes'!$K:$K,'Ex residentes'!$O:$O,$A10,'Ex residentes'!$N:$N,J$4)</f>
        <v>2</v>
      </c>
      <c r="K10" s="189">
        <f>SUMIFS(Lista!$K:$K,Lista!$O:$O,$A10,Lista!$N:$N,K$4)+SUMIFS('Ex residentes'!$K:$K,'Ex residentes'!$O:$O,$A10,'Ex residentes'!$N:$N,K$4)</f>
        <v>7</v>
      </c>
      <c r="L10" s="189">
        <f>SUMIFS(Lista!$K:$K,Lista!$O:$O,$A10,Lista!$N:$N,L$4)+SUMIFS('Ex residentes'!$K:$K,'Ex residentes'!$O:$O,$A10,'Ex residentes'!$N:$N,L$4)</f>
        <v>0</v>
      </c>
      <c r="M10" s="189">
        <f>SUMIFS(Lista!$K:$K,Lista!$O:$O,$A10,Lista!$N:$N,M$4)+SUMIFS('Ex residentes'!$K:$K,'Ex residentes'!$O:$O,$A10,'Ex residentes'!$N:$N,M$4)</f>
        <v>2</v>
      </c>
      <c r="N10" s="189">
        <f>SUMIFS(Lista!$K:$K,Lista!$O:$O,$A10,Lista!$N:$N,N$4)+SUMIFS('Ex residentes'!$K:$K,'Ex residentes'!$O:$O,$A10,'Ex residentes'!$N:$N,N$4)</f>
        <v>0</v>
      </c>
      <c r="O10" s="190">
        <f t="shared" si="0"/>
        <v>26</v>
      </c>
    </row>
    <row r="11" spans="1:16" ht="13.8" thickBot="1">
      <c r="A11" s="191">
        <v>2016</v>
      </c>
      <c r="B11" s="192"/>
      <c r="C11" s="193">
        <f>SUMIFS(Lista!$K:$K,Lista!$O:$O,$A11,Lista!$N:$N,C$4)+SUMIFS('Ex residentes'!$K:$K,'Ex residentes'!$O:$O,$A11,'Ex residentes'!$N:$N,C$4)</f>
        <v>11</v>
      </c>
      <c r="D11" s="193">
        <f>SUMIFS(Lista!$K:$K,Lista!$O:$O,$A11,Lista!$N:$N,D$4)+SUMIFS('Ex residentes'!$K:$K,'Ex residentes'!$O:$O,$A11,'Ex residentes'!$N:$N,D$4)</f>
        <v>6</v>
      </c>
      <c r="E11" s="193">
        <f>SUMIFS(Lista!$K:$K,Lista!$O:$O,$A11,Lista!$N:$N,E$4)+SUMIFS('Ex residentes'!$K:$K,'Ex residentes'!$O:$O,$A11,'Ex residentes'!$N:$N,E$4)</f>
        <v>4</v>
      </c>
      <c r="F11" s="193">
        <f>SUMIFS(Lista!$K:$K,Lista!$O:$O,$A11,Lista!$N:$N,F$4)+SUMIFS('Ex residentes'!$K:$K,'Ex residentes'!$O:$O,$A11,'Ex residentes'!$N:$N,F$4)</f>
        <v>1</v>
      </c>
      <c r="G11" s="193">
        <f>SUMIFS(Lista!$K:$K,Lista!$O:$O,$A11,Lista!$N:$N,G$4)+SUMIFS('Ex residentes'!$K:$K,'Ex residentes'!$O:$O,$A11,'Ex residentes'!$N:$N,G$4)</f>
        <v>1</v>
      </c>
      <c r="H11" s="193">
        <f>SUMIFS(Lista!$K:$K,Lista!$O:$O,$A11,Lista!$N:$N,H$4)+SUMIFS('Ex residentes'!$K:$K,'Ex residentes'!$O:$O,$A11,'Ex residentes'!$N:$N,H$4)</f>
        <v>1</v>
      </c>
      <c r="I11" s="193">
        <f>SUMIFS(Lista!$K:$K,Lista!$O:$O,$A11,Lista!$N:$N,I$4)+SUMIFS('Ex residentes'!$K:$K,'Ex residentes'!$O:$O,$A11,'Ex residentes'!$N:$N,I$4)</f>
        <v>8</v>
      </c>
      <c r="J11" s="193">
        <f>SUMIFS(Lista!$K:$K,Lista!$O:$O,$A11,Lista!$N:$N,J$4)+SUMIFS('Ex residentes'!$K:$K,'Ex residentes'!$O:$O,$A11,'Ex residentes'!$N:$N,J$4)</f>
        <v>7</v>
      </c>
      <c r="K11" s="193">
        <f>SUMIFS(Lista!$K:$K,Lista!$O:$O,$A11,Lista!$N:$N,K$4)+SUMIFS('Ex residentes'!$K:$K,'Ex residentes'!$O:$O,$A11,'Ex residentes'!$N:$N,K$4)</f>
        <v>4</v>
      </c>
      <c r="L11" s="193">
        <f>SUMIFS(Lista!$K:$K,Lista!$O:$O,$A11,Lista!$N:$N,L$4)+SUMIFS('Ex residentes'!$K:$K,'Ex residentes'!$O:$O,$A11,'Ex residentes'!$N:$N,L$4)</f>
        <v>5</v>
      </c>
      <c r="M11" s="193">
        <f>SUMIFS(Lista!$K:$K,Lista!$O:$O,$A11,Lista!$N:$N,M$4)+SUMIFS('Ex residentes'!$K:$K,'Ex residentes'!$O:$O,$A11,'Ex residentes'!$N:$N,M$4)</f>
        <v>0</v>
      </c>
      <c r="N11" s="193">
        <f>SUMIFS(Lista!$K:$K,Lista!$O:$O,$A11,Lista!$N:$N,N$4)+SUMIFS('Ex residentes'!$K:$K,'Ex residentes'!$O:$O,$A11,'Ex residentes'!$N:$N,N$4)</f>
        <v>2</v>
      </c>
      <c r="O11" s="194">
        <f>SUM(C11:N11)+1</f>
        <v>51</v>
      </c>
      <c r="P11" s="195" t="s">
        <v>1746</v>
      </c>
    </row>
    <row r="12" spans="1:16">
      <c r="A12" s="215">
        <v>2017</v>
      </c>
      <c r="B12" s="196" t="s">
        <v>1743</v>
      </c>
      <c r="C12" s="197">
        <f>SUMIFS(Lista!$K:$K,Lista!$O:$O,$A12,Lista!$N:$N,C$4)+SUMIFS('Ex residentes'!$K:$K,'Ex residentes'!$O:$O,$A12,'Ex residentes'!$N:$N,C$4)</f>
        <v>2</v>
      </c>
      <c r="D12" s="197">
        <f>SUMIFS(Lista!$K:$K,Lista!$O:$O,$A12,Lista!$N:$N,D$4)+SUMIFS('Ex residentes'!$K:$K,'Ex residentes'!$O:$O,$A12,'Ex residentes'!$N:$N,D$4)</f>
        <v>3</v>
      </c>
      <c r="E12" s="197">
        <f>SUMIFS(Lista!$K:$K,Lista!$O:$O,$A12,Lista!$N:$N,E$4)+SUMIFS('Ex residentes'!$K:$K,'Ex residentes'!$O:$O,$A12,'Ex residentes'!$N:$N,E$4)</f>
        <v>5</v>
      </c>
      <c r="F12" s="197">
        <f>SUMIFS(Lista!$K:$K,Lista!$O:$O,$A12,Lista!$N:$N,F$4)+SUMIFS('Ex residentes'!$K:$K,'Ex residentes'!$O:$O,$A12,'Ex residentes'!$N:$N,F$4)</f>
        <v>1</v>
      </c>
      <c r="G12" s="197">
        <f>SUMIFS(Lista!$K:$K,Lista!$O:$O,$A12,Lista!$N:$N,G$4)+SUMIFS('Ex residentes'!$K:$K,'Ex residentes'!$O:$O,$A12,'Ex residentes'!$N:$N,G$4)</f>
        <v>5</v>
      </c>
      <c r="H12" s="197">
        <f>SUMIFS(Lista!$K:$K,Lista!$O:$O,$A12,Lista!$N:$N,H$4)+SUMIFS('Ex residentes'!$K:$K,'Ex residentes'!$O:$O,$A12,'Ex residentes'!$N:$N,H$4)</f>
        <v>2</v>
      </c>
      <c r="I12" s="197">
        <f>SUMIFS(Lista!$K:$K,Lista!$O:$O,$A12,Lista!$N:$N,I$4)+SUMIFS('Ex residentes'!$K:$K,'Ex residentes'!$O:$O,$A12,'Ex residentes'!$N:$N,I$4)</f>
        <v>2</v>
      </c>
      <c r="J12" s="197">
        <f>SUMIFS(Lista!$K:$K,Lista!$O:$O,$A12,Lista!$N:$N,J$4)+SUMIFS('Ex residentes'!$K:$K,'Ex residentes'!$O:$O,$A12,'Ex residentes'!$N:$N,J$4)</f>
        <v>6</v>
      </c>
      <c r="K12" s="197">
        <f>SUMIFS(Lista!$K:$K,Lista!$O:$O,$A12,Lista!$N:$N,K$4)+SUMIFS('Ex residentes'!$K:$K,'Ex residentes'!$O:$O,$A12,'Ex residentes'!$N:$N,K$4)</f>
        <v>3</v>
      </c>
      <c r="L12" s="197">
        <f>SUMIFS(Lista!$K:$K,Lista!$O:$O,$A12,Lista!$N:$N,L$4)+SUMIFS('Ex residentes'!$K:$K,'Ex residentes'!$O:$O,$A12,'Ex residentes'!$N:$N,L$4)</f>
        <v>3</v>
      </c>
      <c r="M12" s="197">
        <f>SUMIFS(Lista!$K:$K,Lista!$O:$O,$A12,Lista!$N:$N,M$4)+SUMIFS('Ex residentes'!$K:$K,'Ex residentes'!$O:$O,$A12,'Ex residentes'!$N:$N,M$4)</f>
        <v>5</v>
      </c>
      <c r="N12" s="197">
        <f>SUMIFS(Lista!$K:$K,Lista!$O:$O,$A12,Lista!$N:$N,N$4)+SUMIFS('Ex residentes'!$K:$K,'Ex residentes'!$O:$O,$A12,'Ex residentes'!$N:$N,N$4)</f>
        <v>0</v>
      </c>
      <c r="O12" s="198">
        <f t="shared" si="0"/>
        <v>37</v>
      </c>
      <c r="P12" s="199">
        <f t="shared" ref="P12:P26" si="1">AVERAGE(C12:N12)</f>
        <v>3.0833333333333335</v>
      </c>
    </row>
    <row r="13" spans="1:16">
      <c r="A13" s="216"/>
      <c r="B13" s="200" t="s">
        <v>1744</v>
      </c>
      <c r="C13" s="189">
        <f>SUMIFS('Ex residentes'!$K:$K,'Ex residentes'!$AB:$AB,$A12,'Ex residentes'!$AA:$AA,C$4)</f>
        <v>7</v>
      </c>
      <c r="D13" s="189">
        <f>SUMIFS('Ex residentes'!$K:$K,'Ex residentes'!$AB:$AB,$A12,'Ex residentes'!$AA:$AA,D$4)</f>
        <v>1</v>
      </c>
      <c r="E13" s="189">
        <f>SUMIFS('Ex residentes'!$K:$K,'Ex residentes'!$AB:$AB,$A12,'Ex residentes'!$AA:$AA,E$4)</f>
        <v>1</v>
      </c>
      <c r="F13" s="189">
        <f>SUMIFS('Ex residentes'!$K:$K,'Ex residentes'!$AB:$AB,$A12,'Ex residentes'!$AA:$AA,F$4)</f>
        <v>6</v>
      </c>
      <c r="G13" s="189">
        <f>SUMIFS('Ex residentes'!$K:$K,'Ex residentes'!$AB:$AB,$A12,'Ex residentes'!$AA:$AA,G$4)</f>
        <v>1</v>
      </c>
      <c r="H13" s="189">
        <f>SUMIFS('Ex residentes'!$K:$K,'Ex residentes'!$AB:$AB,$A12,'Ex residentes'!$AA:$AA,H$4)</f>
        <v>4</v>
      </c>
      <c r="I13" s="189">
        <f>SUMIFS('Ex residentes'!$K:$K,'Ex residentes'!$AB:$AB,$A12,'Ex residentes'!$AA:$AA,I$4)</f>
        <v>4</v>
      </c>
      <c r="J13" s="189">
        <f>SUMIFS('Ex residentes'!$K:$K,'Ex residentes'!$AB:$AB,$A12,'Ex residentes'!$AA:$AA,J$4)</f>
        <v>2</v>
      </c>
      <c r="K13" s="189">
        <f>SUMIFS('Ex residentes'!$K:$K,'Ex residentes'!$AB:$AB,$A12,'Ex residentes'!$AA:$AA,K$4)</f>
        <v>2</v>
      </c>
      <c r="L13" s="189">
        <f>SUMIFS('Ex residentes'!$K:$K,'Ex residentes'!$AB:$AB,$A12,'Ex residentes'!$AA:$AA,L$4)</f>
        <v>1</v>
      </c>
      <c r="M13" s="189">
        <f>SUMIFS('Ex residentes'!$K:$K,'Ex residentes'!$AB:$AB,$A12,'Ex residentes'!$AA:$AA,M$4)</f>
        <v>0</v>
      </c>
      <c r="N13" s="201">
        <f>SUMIFS('Ex residentes'!$K:$K,'Ex residentes'!$AB:$AB,$A12,'Ex residentes'!$AA:$AA,N$4)</f>
        <v>8</v>
      </c>
      <c r="O13" s="202">
        <f t="shared" si="0"/>
        <v>37</v>
      </c>
      <c r="P13" s="203">
        <f t="shared" si="1"/>
        <v>3.0833333333333335</v>
      </c>
    </row>
    <row r="14" spans="1:16" ht="13.8" thickBot="1">
      <c r="A14" s="217"/>
      <c r="B14" s="204" t="s">
        <v>1745</v>
      </c>
      <c r="C14" s="205">
        <f>O11</f>
        <v>51</v>
      </c>
      <c r="D14" s="205">
        <f>C14+D12-D13</f>
        <v>53</v>
      </c>
      <c r="E14" s="205">
        <f t="shared" ref="E14:M14" si="2">D14+E12-E13</f>
        <v>57</v>
      </c>
      <c r="F14" s="205">
        <f t="shared" si="2"/>
        <v>52</v>
      </c>
      <c r="G14" s="205">
        <f t="shared" si="2"/>
        <v>56</v>
      </c>
      <c r="H14" s="205">
        <f t="shared" si="2"/>
        <v>54</v>
      </c>
      <c r="I14" s="205">
        <f t="shared" si="2"/>
        <v>52</v>
      </c>
      <c r="J14" s="205">
        <f t="shared" si="2"/>
        <v>56</v>
      </c>
      <c r="K14" s="205">
        <f t="shared" si="2"/>
        <v>57</v>
      </c>
      <c r="L14" s="205">
        <f t="shared" si="2"/>
        <v>59</v>
      </c>
      <c r="M14" s="205">
        <f t="shared" si="2"/>
        <v>64</v>
      </c>
      <c r="N14" s="205">
        <f>M14+N12-N13</f>
        <v>56</v>
      </c>
      <c r="O14" s="206">
        <f>O12-O13</f>
        <v>0</v>
      </c>
      <c r="P14" s="207">
        <f>AVERAGE(C14:N14)</f>
        <v>55.583333333333336</v>
      </c>
    </row>
    <row r="15" spans="1:16">
      <c r="A15" s="215">
        <v>2018</v>
      </c>
      <c r="B15" s="196" t="s">
        <v>1743</v>
      </c>
      <c r="C15" s="197">
        <f>SUMIFS(Lista!$K:$K,Lista!$O:$O,$A15,Lista!$N:$N,C$4)+SUMIFS('Ex residentes'!$K:$K,'Ex residentes'!$O:$O,$A15,'Ex residentes'!$N:$N,C$4)</f>
        <v>6</v>
      </c>
      <c r="D15" s="197">
        <f>SUMIFS(Lista!$K:$K,Lista!$O:$O,$A15,Lista!$N:$N,D$4)+SUMIFS('Ex residentes'!$K:$K,'Ex residentes'!$O:$O,$A15,'Ex residentes'!$N:$N,D$4)</f>
        <v>3</v>
      </c>
      <c r="E15" s="197">
        <f>SUMIFS(Lista!$K:$K,Lista!$O:$O,$A15,Lista!$N:$N,E$4)+SUMIFS('Ex residentes'!$K:$K,'Ex residentes'!$O:$O,$A15,'Ex residentes'!$N:$N,E$4)</f>
        <v>2</v>
      </c>
      <c r="F15" s="197">
        <f>SUMIFS(Lista!$K:$K,Lista!$O:$O,$A15,Lista!$N:$N,F$4)+SUMIFS('Ex residentes'!$K:$K,'Ex residentes'!$O:$O,$A15,'Ex residentes'!$N:$N,F$4)</f>
        <v>2</v>
      </c>
      <c r="G15" s="197">
        <f>SUMIFS(Lista!$K:$K,Lista!$O:$O,$A15,Lista!$N:$N,G$4)+SUMIFS('Ex residentes'!$K:$K,'Ex residentes'!$O:$O,$A15,'Ex residentes'!$N:$N,G$4)</f>
        <v>2</v>
      </c>
      <c r="H15" s="197">
        <f>SUMIFS(Lista!$K:$K,Lista!$O:$O,$A15,Lista!$N:$N,H$4)+SUMIFS('Ex residentes'!$K:$K,'Ex residentes'!$O:$O,$A15,'Ex residentes'!$N:$N,H$4)</f>
        <v>2</v>
      </c>
      <c r="I15" s="197">
        <f>SUMIFS(Lista!$K:$K,Lista!$O:$O,$A15,Lista!$N:$N,I$4)+SUMIFS('Ex residentes'!$K:$K,'Ex residentes'!$O:$O,$A15,'Ex residentes'!$N:$N,I$4)</f>
        <v>2</v>
      </c>
      <c r="J15" s="197">
        <f>SUMIFS(Lista!$K:$K,Lista!$O:$O,$A15,Lista!$N:$N,J$4)+SUMIFS('Ex residentes'!$K:$K,'Ex residentes'!$O:$O,$A15,'Ex residentes'!$N:$N,J$4)</f>
        <v>3</v>
      </c>
      <c r="K15" s="197">
        <f>SUMIFS(Lista!$K:$K,Lista!$O:$O,$A15,Lista!$N:$N,K$4)+SUMIFS('Ex residentes'!$K:$K,'Ex residentes'!$O:$O,$A15,'Ex residentes'!$N:$N,K$4)</f>
        <v>2</v>
      </c>
      <c r="L15" s="197">
        <f>SUMIFS(Lista!$K:$K,Lista!$O:$O,$A15,Lista!$N:$N,L$4)+SUMIFS('Ex residentes'!$K:$K,'Ex residentes'!$O:$O,$A15,'Ex residentes'!$N:$N,L$4)</f>
        <v>4</v>
      </c>
      <c r="M15" s="197">
        <f>SUMIFS(Lista!$K:$K,Lista!$O:$O,$A15,Lista!$N:$N,M$4)+SUMIFS('Ex residentes'!$K:$K,'Ex residentes'!$O:$O,$A15,'Ex residentes'!$N:$N,M$4)</f>
        <v>5</v>
      </c>
      <c r="N15" s="197">
        <f>SUMIFS(Lista!$K:$K,Lista!$O:$O,$A15,Lista!$N:$N,N$4)+SUMIFS('Ex residentes'!$K:$K,'Ex residentes'!$O:$O,$A15,'Ex residentes'!$N:$N,N$4)</f>
        <v>1</v>
      </c>
      <c r="O15" s="198">
        <f>SUM(C15:N15)</f>
        <v>34</v>
      </c>
      <c r="P15" s="199">
        <f t="shared" si="1"/>
        <v>2.8333333333333335</v>
      </c>
    </row>
    <row r="16" spans="1:16">
      <c r="A16" s="216"/>
      <c r="B16" s="200" t="s">
        <v>1744</v>
      </c>
      <c r="C16" s="189">
        <f>SUMIFS('Ex residentes'!$K:$K,'Ex residentes'!$AB:$AB,$A15,'Ex residentes'!$AA:$AA,C$4)</f>
        <v>2</v>
      </c>
      <c r="D16" s="189">
        <f>SUMIFS('Ex residentes'!$K:$K,'Ex residentes'!$AB:$AB,$A15,'Ex residentes'!$AA:$AA,D$4)</f>
        <v>4</v>
      </c>
      <c r="E16" s="189">
        <f>SUMIFS('Ex residentes'!$K:$K,'Ex residentes'!$AB:$AB,$A15,'Ex residentes'!$AA:$AA,E$4)</f>
        <v>1</v>
      </c>
      <c r="F16" s="189">
        <f>SUMIFS('Ex residentes'!$K:$K,'Ex residentes'!$AB:$AB,$A15,'Ex residentes'!$AA:$AA,F$4)</f>
        <v>3</v>
      </c>
      <c r="G16" s="189">
        <f>SUMIFS('Ex residentes'!$K:$K,'Ex residentes'!$AB:$AB,$A15,'Ex residentes'!$AA:$AA,G$4)</f>
        <v>1</v>
      </c>
      <c r="H16" s="189">
        <f>SUMIFS('Ex residentes'!$K:$K,'Ex residentes'!$AB:$AB,$A15,'Ex residentes'!$AA:$AA,H$4)</f>
        <v>6</v>
      </c>
      <c r="I16" s="189">
        <f>SUMIFS('Ex residentes'!$K:$K,'Ex residentes'!$AB:$AB,$A15,'Ex residentes'!$AA:$AA,I$4)</f>
        <v>2</v>
      </c>
      <c r="J16" s="189">
        <f>SUMIFS('Ex residentes'!$K:$K,'Ex residentes'!$AB:$AB,$A15,'Ex residentes'!$AA:$AA,J$4)</f>
        <v>1</v>
      </c>
      <c r="K16" s="189">
        <f>SUMIFS('Ex residentes'!$K:$K,'Ex residentes'!$AB:$AB,$A15,'Ex residentes'!$AA:$AA,K$4)</f>
        <v>2</v>
      </c>
      <c r="L16" s="189">
        <f>SUMIFS('Ex residentes'!$K:$K,'Ex residentes'!$AB:$AB,$A15,'Ex residentes'!$AA:$AA,L$4)</f>
        <v>4</v>
      </c>
      <c r="M16" s="189">
        <f>SUMIFS('Ex residentes'!$K:$K,'Ex residentes'!$AB:$AB,$A15,'Ex residentes'!$AA:$AA,M$4)</f>
        <v>2</v>
      </c>
      <c r="N16" s="201">
        <f>SUMIFS('Ex residentes'!$K:$K,'Ex residentes'!$AB:$AB,$A15,'Ex residentes'!$AA:$AA,N$4)</f>
        <v>2</v>
      </c>
      <c r="O16" s="202">
        <f>SUM(C16:N16)</f>
        <v>30</v>
      </c>
      <c r="P16" s="203">
        <f t="shared" si="1"/>
        <v>2.5</v>
      </c>
    </row>
    <row r="17" spans="1:17" ht="13.8" thickBot="1">
      <c r="A17" s="217"/>
      <c r="B17" s="204" t="s">
        <v>1745</v>
      </c>
      <c r="C17" s="205">
        <f>N14+C15-C16</f>
        <v>60</v>
      </c>
      <c r="D17" s="205">
        <f>C17+D15-D16</f>
        <v>59</v>
      </c>
      <c r="E17" s="205">
        <f t="shared" ref="E17:N17" si="3">D17+E15-E16</f>
        <v>60</v>
      </c>
      <c r="F17" s="205">
        <f t="shared" si="3"/>
        <v>59</v>
      </c>
      <c r="G17" s="205">
        <f t="shared" si="3"/>
        <v>60</v>
      </c>
      <c r="H17" s="205">
        <f t="shared" si="3"/>
        <v>56</v>
      </c>
      <c r="I17" s="205">
        <f t="shared" si="3"/>
        <v>56</v>
      </c>
      <c r="J17" s="205">
        <f t="shared" si="3"/>
        <v>58</v>
      </c>
      <c r="K17" s="205">
        <f t="shared" si="3"/>
        <v>58</v>
      </c>
      <c r="L17" s="205">
        <f t="shared" si="3"/>
        <v>58</v>
      </c>
      <c r="M17" s="205">
        <f t="shared" si="3"/>
        <v>61</v>
      </c>
      <c r="N17" s="205">
        <f t="shared" si="3"/>
        <v>60</v>
      </c>
      <c r="O17" s="206">
        <f>O15-O16</f>
        <v>4</v>
      </c>
      <c r="P17" s="207">
        <f>AVERAGE(C17:N17)</f>
        <v>58.75</v>
      </c>
      <c r="Q17" s="208">
        <f>P17/P14 -1</f>
        <v>5.6971514242878607E-2</v>
      </c>
    </row>
    <row r="18" spans="1:17">
      <c r="A18" s="215">
        <v>2019</v>
      </c>
      <c r="B18" s="196" t="s">
        <v>1743</v>
      </c>
      <c r="C18" s="197">
        <f>SUMIFS(Lista!$K:$K,Lista!$O:$O,$A18,Lista!$N:$N,C$4)+SUMIFS('Ex residentes'!$K:$K,'Ex residentes'!$O:$O,$A18,'Ex residentes'!$N:$N,C$4)</f>
        <v>0</v>
      </c>
      <c r="D18" s="197">
        <f>SUMIFS(Lista!$K:$K,Lista!$O:$O,$A18,Lista!$N:$N,D$4)+SUMIFS('Ex residentes'!$K:$K,'Ex residentes'!$O:$O,$A18,'Ex residentes'!$N:$N,D$4)</f>
        <v>2</v>
      </c>
      <c r="E18" s="197">
        <f>SUMIFS(Lista!$K:$K,Lista!$O:$O,$A18,Lista!$N:$N,E$4)+SUMIFS('Ex residentes'!$K:$K,'Ex residentes'!$O:$O,$A18,'Ex residentes'!$N:$N,E$4)</f>
        <v>6</v>
      </c>
      <c r="F18" s="197">
        <f>SUMIFS(Lista!$K:$K,Lista!$O:$O,$A18,Lista!$N:$N,F$4)+SUMIFS('Ex residentes'!$K:$K,'Ex residentes'!$O:$O,$A18,'Ex residentes'!$N:$N,F$4)</f>
        <v>2</v>
      </c>
      <c r="G18" s="197">
        <f>SUMIFS(Lista!$K:$K,Lista!$O:$O,$A18,Lista!$N:$N,G$4)+SUMIFS('Ex residentes'!$K:$K,'Ex residentes'!$O:$O,$A18,'Ex residentes'!$N:$N,G$4)</f>
        <v>0</v>
      </c>
      <c r="H18" s="197">
        <f>SUMIFS(Lista!$K:$K,Lista!$O:$O,$A18,Lista!$N:$N,H$4)+SUMIFS('Ex residentes'!$K:$K,'Ex residentes'!$O:$O,$A18,'Ex residentes'!$N:$N,H$4)</f>
        <v>0</v>
      </c>
      <c r="I18" s="197">
        <f>SUMIFS(Lista!$K:$K,Lista!$O:$O,$A18,Lista!$N:$N,I$4)+SUMIFS('Ex residentes'!$K:$K,'Ex residentes'!$O:$O,$A18,'Ex residentes'!$N:$N,I$4)</f>
        <v>2</v>
      </c>
      <c r="J18" s="197">
        <f>SUMIFS(Lista!$K:$K,Lista!$O:$O,$A18,Lista!$N:$N,J$4)+SUMIFS('Ex residentes'!$K:$K,'Ex residentes'!$O:$O,$A18,'Ex residentes'!$N:$N,J$4)</f>
        <v>1</v>
      </c>
      <c r="K18" s="197">
        <f>SUMIFS(Lista!$K:$K,Lista!$O:$O,$A18,Lista!$N:$N,K$4)+SUMIFS('Ex residentes'!$K:$K,'Ex residentes'!$O:$O,$A18,'Ex residentes'!$N:$N,K$4)</f>
        <v>3</v>
      </c>
      <c r="L18" s="197">
        <f>SUMIFS(Lista!$K:$K,Lista!$O:$O,$A18,Lista!$N:$N,L$4)+SUMIFS('Ex residentes'!$K:$K,'Ex residentes'!$O:$O,$A18,'Ex residentes'!$N:$N,L$4)</f>
        <v>2</v>
      </c>
      <c r="M18" s="197">
        <f>SUMIFS(Lista!$K:$K,Lista!$O:$O,$A18,Lista!$N:$N,M$4)+SUMIFS('Ex residentes'!$K:$K,'Ex residentes'!$O:$O,$A18,'Ex residentes'!$N:$N,M$4)</f>
        <v>5</v>
      </c>
      <c r="N18" s="197">
        <f>SUMIFS(Lista!$K:$K,Lista!$O:$O,$A18,Lista!$N:$N,N$4)+SUMIFS('Ex residentes'!$K:$K,'Ex residentes'!$O:$O,$A18,'Ex residentes'!$N:$N,N$4)</f>
        <v>9</v>
      </c>
      <c r="O18" s="198">
        <f>SUM(C18:N18)</f>
        <v>32</v>
      </c>
      <c r="P18" s="199">
        <f t="shared" si="1"/>
        <v>2.6666666666666665</v>
      </c>
    </row>
    <row r="19" spans="1:17">
      <c r="A19" s="216"/>
      <c r="B19" s="200" t="s">
        <v>1744</v>
      </c>
      <c r="C19" s="189">
        <f>SUMIFS('Ex residentes'!$K:$K,'Ex residentes'!$AB:$AB,$A18,'Ex residentes'!$AA:$AA,C$4)</f>
        <v>3</v>
      </c>
      <c r="D19" s="189">
        <f>SUMIFS('Ex residentes'!$K:$K,'Ex residentes'!$AB:$AB,$A18,'Ex residentes'!$AA:$AA,D$4)</f>
        <v>2</v>
      </c>
      <c r="E19" s="189">
        <f>SUMIFS('Ex residentes'!$K:$K,'Ex residentes'!$AB:$AB,$A18,'Ex residentes'!$AA:$AA,E$4)</f>
        <v>3</v>
      </c>
      <c r="F19" s="189">
        <f>SUMIFS('Ex residentes'!$K:$K,'Ex residentes'!$AB:$AB,$A18,'Ex residentes'!$AA:$AA,F$4)</f>
        <v>2</v>
      </c>
      <c r="G19" s="189">
        <f>SUMIFS('Ex residentes'!$K:$K,'Ex residentes'!$AB:$AB,$A18,'Ex residentes'!$AA:$AA,G$4)</f>
        <v>2</v>
      </c>
      <c r="H19" s="189">
        <f>SUMIFS('Ex residentes'!$K:$K,'Ex residentes'!$AB:$AB,$A18,'Ex residentes'!$AA:$AA,H$4)</f>
        <v>2</v>
      </c>
      <c r="I19" s="189">
        <f>SUMIFS('Ex residentes'!$K:$K,'Ex residentes'!$AB:$AB,$A18,'Ex residentes'!$AA:$AA,I$4)</f>
        <v>8</v>
      </c>
      <c r="J19" s="189">
        <f>SUMIFS('Ex residentes'!$K:$K,'Ex residentes'!$AB:$AB,$A18,'Ex residentes'!$AA:$AA,J$4)</f>
        <v>3</v>
      </c>
      <c r="K19" s="189">
        <f>SUMIFS('Ex residentes'!$K:$K,'Ex residentes'!$AB:$AB,$A18,'Ex residentes'!$AA:$AA,K$4)</f>
        <v>0</v>
      </c>
      <c r="L19" s="189">
        <f>SUMIFS('Ex residentes'!$K:$K,'Ex residentes'!$AB:$AB,$A18,'Ex residentes'!$AA:$AA,L$4)</f>
        <v>4</v>
      </c>
      <c r="M19" s="189">
        <f>SUMIFS('Ex residentes'!$K:$K,'Ex residentes'!$AB:$AB,$A18,'Ex residentes'!$AA:$AA,M$4)</f>
        <v>0</v>
      </c>
      <c r="N19" s="201">
        <f>SUMIFS('Ex residentes'!$K:$K,'Ex residentes'!$AB:$AB,$A18,'Ex residentes'!$AA:$AA,N$4)</f>
        <v>0</v>
      </c>
      <c r="O19" s="202">
        <f>SUM(C19:N19)</f>
        <v>29</v>
      </c>
      <c r="P19" s="203">
        <f t="shared" si="1"/>
        <v>2.4166666666666665</v>
      </c>
    </row>
    <row r="20" spans="1:17" ht="13.8" thickBot="1">
      <c r="A20" s="217"/>
      <c r="B20" s="204" t="s">
        <v>1745</v>
      </c>
      <c r="C20" s="205">
        <f>N17+C18-C19</f>
        <v>57</v>
      </c>
      <c r="D20" s="205">
        <f>C20+D18-D19</f>
        <v>57</v>
      </c>
      <c r="E20" s="205">
        <f t="shared" ref="E20:N20" si="4">D20+E18-E19</f>
        <v>60</v>
      </c>
      <c r="F20" s="205">
        <f t="shared" si="4"/>
        <v>60</v>
      </c>
      <c r="G20" s="205">
        <f t="shared" si="4"/>
        <v>58</v>
      </c>
      <c r="H20" s="205">
        <f t="shared" si="4"/>
        <v>56</v>
      </c>
      <c r="I20" s="205">
        <f t="shared" si="4"/>
        <v>50</v>
      </c>
      <c r="J20" s="205">
        <f t="shared" si="4"/>
        <v>48</v>
      </c>
      <c r="K20" s="205">
        <f t="shared" si="4"/>
        <v>51</v>
      </c>
      <c r="L20" s="205">
        <f t="shared" si="4"/>
        <v>49</v>
      </c>
      <c r="M20" s="205">
        <f t="shared" si="4"/>
        <v>54</v>
      </c>
      <c r="N20" s="205">
        <f t="shared" si="4"/>
        <v>63</v>
      </c>
      <c r="O20" s="206">
        <f>O18-O19</f>
        <v>3</v>
      </c>
      <c r="P20" s="207">
        <f t="shared" si="1"/>
        <v>55.25</v>
      </c>
      <c r="Q20" s="208">
        <f>P20/P17 -1</f>
        <v>-5.9574468085106358E-2</v>
      </c>
    </row>
    <row r="21" spans="1:17">
      <c r="A21" s="215">
        <v>2020</v>
      </c>
      <c r="B21" s="196" t="s">
        <v>1743</v>
      </c>
      <c r="C21" s="197">
        <f>SUMIFS(Lista!$K:$K,Lista!$O:$O,$A21,Lista!$N:$N,C$4)+SUMIFS('Ex residentes'!$K:$K,'Ex residentes'!$O:$O,$A21,'Ex residentes'!$N:$N,C$4)</f>
        <v>4</v>
      </c>
      <c r="D21" s="197">
        <f>SUMIFS(Lista!$K:$K,Lista!$O:$O,$A21,Lista!$N:$N,D$4)+SUMIFS('Ex residentes'!$K:$K,'Ex residentes'!$O:$O,$A21,'Ex residentes'!$N:$N,D$4)</f>
        <v>1</v>
      </c>
      <c r="E21" s="197">
        <f>SUMIFS(Lista!$K:$K,Lista!$O:$O,$A21,Lista!$N:$N,E$4)+SUMIFS('Ex residentes'!$K:$K,'Ex residentes'!$O:$O,$A21,'Ex residentes'!$N:$N,E$4)</f>
        <v>1</v>
      </c>
      <c r="F21" s="197">
        <f>SUMIFS(Lista!$K:$K,Lista!$O:$O,$A21,Lista!$N:$N,F$4)+SUMIFS('Ex residentes'!$K:$K,'Ex residentes'!$O:$O,$A21,'Ex residentes'!$N:$N,F$4)</f>
        <v>2</v>
      </c>
      <c r="G21" s="197">
        <f>SUMIFS(Lista!$K:$K,Lista!$O:$O,$A21,Lista!$N:$N,G$4)+SUMIFS('Ex residentes'!$K:$K,'Ex residentes'!$O:$O,$A21,'Ex residentes'!$N:$N,G$4)</f>
        <v>7</v>
      </c>
      <c r="H21" s="197">
        <f>SUMIFS(Lista!$K:$K,Lista!$O:$O,$A21,Lista!$N:$N,H$4)+SUMIFS('Ex residentes'!$K:$K,'Ex residentes'!$O:$O,$A21,'Ex residentes'!$N:$N,H$4)</f>
        <v>1</v>
      </c>
      <c r="I21" s="197">
        <f>SUMIFS(Lista!$K:$K,Lista!$O:$O,$A21,Lista!$N:$N,I$4)+SUMIFS('Ex residentes'!$K:$K,'Ex residentes'!$O:$O,$A21,'Ex residentes'!$N:$N,I$4)</f>
        <v>1</v>
      </c>
      <c r="J21" s="197">
        <f>SUMIFS(Lista!$K:$K,Lista!$O:$O,$A21,Lista!$N:$N,J$4)+SUMIFS('Ex residentes'!$K:$K,'Ex residentes'!$O:$O,$A21,'Ex residentes'!$N:$N,J$4)</f>
        <v>0</v>
      </c>
      <c r="K21" s="197">
        <f>SUMIFS(Lista!$K:$K,Lista!$O:$O,$A21,Lista!$N:$N,K$4)+SUMIFS('Ex residentes'!$K:$K,'Ex residentes'!$O:$O,$A21,'Ex residentes'!$N:$N,K$4)</f>
        <v>1</v>
      </c>
      <c r="L21" s="197">
        <f>SUMIFS(Lista!$K:$K,Lista!$O:$O,$A21,Lista!$N:$N,L$4)+SUMIFS('Ex residentes'!$K:$K,'Ex residentes'!$O:$O,$A21,'Ex residentes'!$N:$N,L$4)</f>
        <v>7</v>
      </c>
      <c r="M21" s="197">
        <f>SUMIFS(Lista!$K:$K,Lista!$O:$O,$A21,Lista!$N:$N,M$4)+SUMIFS('Ex residentes'!$K:$K,'Ex residentes'!$O:$O,$A21,'Ex residentes'!$N:$N,M$4)</f>
        <v>5</v>
      </c>
      <c r="N21" s="197">
        <f>SUMIFS(Lista!$K:$K,Lista!$O:$O,$A21,Lista!$N:$N,N$4)+SUMIFS('Ex residentes'!$K:$K,'Ex residentes'!$O:$O,$A21,'Ex residentes'!$N:$N,N$4)</f>
        <v>9</v>
      </c>
      <c r="O21" s="198">
        <f>SUM(C21:N21)</f>
        <v>39</v>
      </c>
      <c r="P21" s="199">
        <f t="shared" si="1"/>
        <v>3.25</v>
      </c>
    </row>
    <row r="22" spans="1:17">
      <c r="A22" s="216"/>
      <c r="B22" s="200" t="s">
        <v>1744</v>
      </c>
      <c r="C22" s="189">
        <f>SUMIFS('Ex residentes'!$K:$K,'Ex residentes'!$AB:$AB,$A21,'Ex residentes'!$AA:$AA,C$4)</f>
        <v>3</v>
      </c>
      <c r="D22" s="189">
        <f>SUMIFS('Ex residentes'!$K:$K,'Ex residentes'!$AB:$AB,$A21,'Ex residentes'!$AA:$AA,D$4)</f>
        <v>4</v>
      </c>
      <c r="E22" s="189">
        <f>SUMIFS('Ex residentes'!$K:$K,'Ex residentes'!$AB:$AB,$A21,'Ex residentes'!$AA:$AA,E$4)</f>
        <v>5</v>
      </c>
      <c r="F22" s="189">
        <f>SUMIFS('Ex residentes'!$K:$K,'Ex residentes'!$AB:$AB,$A21,'Ex residentes'!$AA:$AA,F$4)</f>
        <v>0</v>
      </c>
      <c r="G22" s="189">
        <f>SUMIFS('Ex residentes'!$K:$K,'Ex residentes'!$AB:$AB,$A21,'Ex residentes'!$AA:$AA,G$4)</f>
        <v>3</v>
      </c>
      <c r="H22" s="189">
        <f>SUMIFS('Ex residentes'!$K:$K,'Ex residentes'!$AB:$AB,$A21,'Ex residentes'!$AA:$AA,H$4)</f>
        <v>4</v>
      </c>
      <c r="I22" s="189">
        <f>SUMIFS('Ex residentes'!$K:$K,'Ex residentes'!$AB:$AB,$A21,'Ex residentes'!$AA:$AA,I$4)</f>
        <v>0</v>
      </c>
      <c r="J22" s="189">
        <f>SUMIFS('Ex residentes'!$K:$K,'Ex residentes'!$AB:$AB,$A21,'Ex residentes'!$AA:$AA,J$4)</f>
        <v>3</v>
      </c>
      <c r="K22" s="189">
        <f>SUMIFS('Ex residentes'!$K:$K,'Ex residentes'!$AB:$AB,$A21,'Ex residentes'!$AA:$AA,K$4)</f>
        <v>1</v>
      </c>
      <c r="L22" s="189">
        <f>SUMIFS('Ex residentes'!$K:$K,'Ex residentes'!$AB:$AB,$A21,'Ex residentes'!$AA:$AA,L$4)</f>
        <v>4</v>
      </c>
      <c r="M22" s="189">
        <f>SUMIFS('Ex residentes'!$K:$K,'Ex residentes'!$AB:$AB,$A21,'Ex residentes'!$AA:$AA,M$4)</f>
        <v>1</v>
      </c>
      <c r="N22" s="201">
        <f>SUMIFS('Ex residentes'!$K:$K,'Ex residentes'!$AB:$AB,$A21,'Ex residentes'!$AA:$AA,N$4)</f>
        <v>6</v>
      </c>
      <c r="O22" s="202">
        <f>SUM(C22:N22)</f>
        <v>34</v>
      </c>
      <c r="P22" s="203">
        <f t="shared" si="1"/>
        <v>2.8333333333333335</v>
      </c>
    </row>
    <row r="23" spans="1:17" ht="13.8" thickBot="1">
      <c r="A23" s="217"/>
      <c r="B23" s="204" t="s">
        <v>1745</v>
      </c>
      <c r="C23" s="205">
        <f>N20+C21-C22</f>
        <v>64</v>
      </c>
      <c r="D23" s="205">
        <f t="shared" ref="D23:N23" si="5">C23+D21-D22</f>
        <v>61</v>
      </c>
      <c r="E23" s="205">
        <f t="shared" si="5"/>
        <v>57</v>
      </c>
      <c r="F23" s="205">
        <f t="shared" si="5"/>
        <v>59</v>
      </c>
      <c r="G23" s="205">
        <f t="shared" si="5"/>
        <v>63</v>
      </c>
      <c r="H23" s="205">
        <f t="shared" si="5"/>
        <v>60</v>
      </c>
      <c r="I23" s="205">
        <f t="shared" si="5"/>
        <v>61</v>
      </c>
      <c r="J23" s="205">
        <f t="shared" si="5"/>
        <v>58</v>
      </c>
      <c r="K23" s="205">
        <f t="shared" si="5"/>
        <v>58</v>
      </c>
      <c r="L23" s="205">
        <f t="shared" si="5"/>
        <v>61</v>
      </c>
      <c r="M23" s="205">
        <f t="shared" si="5"/>
        <v>65</v>
      </c>
      <c r="N23" s="205">
        <f t="shared" si="5"/>
        <v>68</v>
      </c>
      <c r="O23" s="206">
        <f>O21-O22</f>
        <v>5</v>
      </c>
      <c r="P23" s="207">
        <f t="shared" si="1"/>
        <v>61.25</v>
      </c>
      <c r="Q23" s="208">
        <f>P23/P20 -1</f>
        <v>0.10859728506787336</v>
      </c>
    </row>
    <row r="24" spans="1:17">
      <c r="A24" s="215">
        <v>2021</v>
      </c>
      <c r="B24" s="196" t="s">
        <v>1743</v>
      </c>
      <c r="C24" s="197">
        <f>SUMIFS(Lista!$K:$K,Lista!$O:$O,$A24,Lista!$N:$N,C$4)+SUMIFS('Ex residentes'!$K:$K,'Ex residentes'!$O:$O,$A24,'Ex residentes'!$N:$N,C$4)</f>
        <v>5</v>
      </c>
      <c r="D24" s="197">
        <f>SUMIFS(Lista!$K:$K,Lista!$O:$O,$A24,Lista!$N:$N,D$4)+SUMIFS('Ex residentes'!$K:$K,'Ex residentes'!$O:$O,$A24,'Ex residentes'!$N:$N,D$4)</f>
        <v>1</v>
      </c>
      <c r="E24" s="197">
        <f>SUMIFS(Lista!$K:$K,Lista!$O:$O,$A24,Lista!$N:$N,E$4)+SUMIFS('Ex residentes'!$K:$K,'Ex residentes'!$O:$O,$A24,'Ex residentes'!$N:$N,E$4)</f>
        <v>3</v>
      </c>
      <c r="F24" s="197">
        <f>SUMIFS(Lista!$K:$K,Lista!$O:$O,$A24,Lista!$N:$N,F$4)+SUMIFS('Ex residentes'!$K:$K,'Ex residentes'!$O:$O,$A24,'Ex residentes'!$N:$N,F$4)</f>
        <v>5</v>
      </c>
      <c r="G24" s="197">
        <f>SUMIFS(Lista!$K:$K,Lista!$O:$O,$A24,Lista!$N:$N,G$4)+SUMIFS('Ex residentes'!$K:$K,'Ex residentes'!$O:$O,$A24,'Ex residentes'!$N:$N,G$4)</f>
        <v>5</v>
      </c>
      <c r="H24" s="197">
        <f>SUMIFS(Lista!$K:$K,Lista!$O:$O,$A24,Lista!$N:$N,H$4)+SUMIFS('Ex residentes'!$K:$K,'Ex residentes'!$O:$O,$A24,'Ex residentes'!$N:$N,H$4)</f>
        <v>2</v>
      </c>
      <c r="I24" s="197">
        <f>SUMIFS(Lista!$K:$K,Lista!$O:$O,$A24,Lista!$N:$N,I$4)+SUMIFS('Ex residentes'!$K:$K,'Ex residentes'!$O:$O,$A24,'Ex residentes'!$N:$N,I$4)</f>
        <v>2</v>
      </c>
      <c r="J24" s="197">
        <f>SUMIFS(Lista!$K:$K,Lista!$O:$O,$A24,Lista!$N:$N,J$4)+SUMIFS('Ex residentes'!$K:$K,'Ex residentes'!$O:$O,$A24,'Ex residentes'!$N:$N,J$4)</f>
        <v>6</v>
      </c>
      <c r="K24" s="197">
        <f>SUMIFS(Lista!$K:$K,Lista!$O:$O,$A24,Lista!$N:$N,K$4)+SUMIFS('Ex residentes'!$K:$K,'Ex residentes'!$O:$O,$A24,'Ex residentes'!$N:$N,K$4)</f>
        <v>3</v>
      </c>
      <c r="L24" s="197">
        <f>SUMIFS(Lista!$K:$K,Lista!$O:$O,$A24,Lista!$N:$N,L$4)+SUMIFS('Ex residentes'!$K:$K,'Ex residentes'!$O:$O,$A24,'Ex residentes'!$N:$N,L$4)</f>
        <v>5</v>
      </c>
      <c r="M24" s="197">
        <f>SUMIFS(Lista!$K:$K,Lista!$O:$O,$A24,Lista!$N:$N,M$4)+SUMIFS('Ex residentes'!$K:$K,'Ex residentes'!$O:$O,$A24,'Ex residentes'!$N:$N,M$4)</f>
        <v>2</v>
      </c>
      <c r="N24" s="197">
        <f>SUMIFS(Lista!$K:$K,Lista!$O:$O,$A24,Lista!$N:$N,N$4)+SUMIFS('Ex residentes'!$K:$K,'Ex residentes'!$O:$O,$A24,'Ex residentes'!$N:$N,N$4)</f>
        <v>5</v>
      </c>
      <c r="O24" s="198">
        <f>SUM(C24:N24)</f>
        <v>44</v>
      </c>
      <c r="P24" s="199">
        <f t="shared" si="1"/>
        <v>3.6666666666666665</v>
      </c>
    </row>
    <row r="25" spans="1:17">
      <c r="A25" s="216"/>
      <c r="B25" s="200" t="s">
        <v>1744</v>
      </c>
      <c r="C25" s="189">
        <f>SUMIFS('Ex residentes'!$K:$K,'Ex residentes'!$AB:$AB,$A24,'Ex residentes'!$AA:$AA,C$4)</f>
        <v>0</v>
      </c>
      <c r="D25" s="189">
        <f>SUMIFS('Ex residentes'!$K:$K,'Ex residentes'!$AB:$AB,$A24,'Ex residentes'!$AA:$AA,D$4)</f>
        <v>3</v>
      </c>
      <c r="E25" s="189">
        <f>SUMIFS('Ex residentes'!$K:$K,'Ex residentes'!$AB:$AB,$A24,'Ex residentes'!$AA:$AA,E$4)</f>
        <v>3</v>
      </c>
      <c r="F25" s="189">
        <f>SUMIFS('Ex residentes'!$K:$K,'Ex residentes'!$AB:$AB,$A24,'Ex residentes'!$AA:$AA,F$4)</f>
        <v>1</v>
      </c>
      <c r="G25" s="189">
        <f>SUMIFS('Ex residentes'!$K:$K,'Ex residentes'!$AB:$AB,$A24,'Ex residentes'!$AA:$AA,G$4)</f>
        <v>5</v>
      </c>
      <c r="H25" s="189">
        <f>SUMIFS('Ex residentes'!$K:$K,'Ex residentes'!$AB:$AB,$A24,'Ex residentes'!$AA:$AA,H$4)</f>
        <v>3</v>
      </c>
      <c r="I25" s="189">
        <f>SUMIFS('Ex residentes'!$K:$K,'Ex residentes'!$AB:$AB,$A24,'Ex residentes'!$AA:$AA,I$4)</f>
        <v>3</v>
      </c>
      <c r="J25" s="189">
        <f>SUMIFS('Ex residentes'!$K:$K,'Ex residentes'!$AB:$AB,$A24,'Ex residentes'!$AA:$AA,J$4)</f>
        <v>1</v>
      </c>
      <c r="K25" s="189">
        <f>SUMIFS('Ex residentes'!$K:$K,'Ex residentes'!$AB:$AB,$A24,'Ex residentes'!$AA:$AA,K$4)</f>
        <v>4</v>
      </c>
      <c r="L25" s="189">
        <f>SUMIFS('Ex residentes'!$K:$K,'Ex residentes'!$AB:$AB,$A24,'Ex residentes'!$AA:$AA,L$4)</f>
        <v>2</v>
      </c>
      <c r="M25" s="189">
        <f>SUMIFS('Ex residentes'!$K:$K,'Ex residentes'!$AB:$AB,$A24,'Ex residentes'!$AA:$AA,M$4)</f>
        <v>3</v>
      </c>
      <c r="N25" s="201">
        <f>SUMIFS('Ex residentes'!$K:$K,'Ex residentes'!$AB:$AB,$A24,'Ex residentes'!$AA:$AA,N$4)</f>
        <v>4</v>
      </c>
      <c r="O25" s="202">
        <f>SUM(C25:N25)</f>
        <v>32</v>
      </c>
      <c r="P25" s="203">
        <f t="shared" si="1"/>
        <v>2.6666666666666665</v>
      </c>
    </row>
    <row r="26" spans="1:17" ht="13.8" thickBot="1">
      <c r="A26" s="217"/>
      <c r="B26" s="204" t="s">
        <v>1745</v>
      </c>
      <c r="C26" s="205">
        <f>N23+C24-C25</f>
        <v>73</v>
      </c>
      <c r="D26" s="205">
        <f t="shared" ref="D26:N26" si="6">C26+D24-D25</f>
        <v>71</v>
      </c>
      <c r="E26" s="205">
        <f t="shared" si="6"/>
        <v>71</v>
      </c>
      <c r="F26" s="205">
        <f t="shared" si="6"/>
        <v>75</v>
      </c>
      <c r="G26" s="205">
        <f t="shared" si="6"/>
        <v>75</v>
      </c>
      <c r="H26" s="205">
        <f t="shared" si="6"/>
        <v>74</v>
      </c>
      <c r="I26" s="205">
        <f t="shared" si="6"/>
        <v>73</v>
      </c>
      <c r="J26" s="205">
        <f t="shared" si="6"/>
        <v>78</v>
      </c>
      <c r="K26" s="205">
        <f t="shared" si="6"/>
        <v>77</v>
      </c>
      <c r="L26" s="205">
        <f t="shared" si="6"/>
        <v>80</v>
      </c>
      <c r="M26" s="205">
        <f t="shared" si="6"/>
        <v>79</v>
      </c>
      <c r="N26" s="205">
        <f t="shared" si="6"/>
        <v>80</v>
      </c>
      <c r="O26" s="206">
        <f>O24-O25</f>
        <v>12</v>
      </c>
      <c r="P26" s="207">
        <f t="shared" si="1"/>
        <v>75.5</v>
      </c>
      <c r="Q26" s="208">
        <f>P26/P23 -1</f>
        <v>0.2326530612244897</v>
      </c>
    </row>
    <row r="27" spans="1:17">
      <c r="A27" s="215">
        <v>2022</v>
      </c>
      <c r="B27" s="196" t="s">
        <v>1743</v>
      </c>
      <c r="C27" s="197">
        <f>SUMIFS(Lista!$K:$K,Lista!$O:$O,$A27,Lista!$N:$N,C$4)+SUMIFS('Ex residentes'!$K:$K,'Ex residentes'!$O:$O,$A27,'Ex residentes'!$N:$N,C$4)</f>
        <v>2</v>
      </c>
      <c r="D27" s="197">
        <f>SUMIFS(Lista!$K:$K,Lista!$O:$O,$A27,Lista!$N:$N,D$4)+SUMIFS('Ex residentes'!$K:$K,'Ex residentes'!$O:$O,$A27,'Ex residentes'!$N:$N,D$4)</f>
        <v>2</v>
      </c>
      <c r="E27" s="197">
        <f>SUMIFS(Lista!$K:$K,Lista!$O:$O,$A27,Lista!$N:$N,E$4)+SUMIFS('Ex residentes'!$K:$K,'Ex residentes'!$O:$O,$A27,'Ex residentes'!$N:$N,E$4)</f>
        <v>6</v>
      </c>
      <c r="F27" s="197">
        <f>SUMIFS(Lista!$K:$K,Lista!$O:$O,$A27,Lista!$N:$N,F$4)+SUMIFS('Ex residentes'!$K:$K,'Ex residentes'!$O:$O,$A27,'Ex residentes'!$N:$N,F$4)</f>
        <v>4</v>
      </c>
      <c r="G27" s="197">
        <f>SUMIFS(Lista!$K:$K,Lista!$O:$O,$A27,Lista!$N:$N,G$4)+SUMIFS('Ex residentes'!$K:$K,'Ex residentes'!$O:$O,$A27,'Ex residentes'!$N:$N,G$4)</f>
        <v>3</v>
      </c>
      <c r="H27" s="197">
        <f>SUMIFS(Lista!$K:$K,Lista!$O:$O,$A27,Lista!$N:$N,H$4)+SUMIFS('Ex residentes'!$K:$K,'Ex residentes'!$O:$O,$A27,'Ex residentes'!$N:$N,H$4)</f>
        <v>4</v>
      </c>
      <c r="I27" s="197">
        <f>SUMIFS(Lista!$K:$K,Lista!$O:$O,$A27,Lista!$N:$N,I$4)+SUMIFS('Ex residentes'!$K:$K,'Ex residentes'!$O:$O,$A27,'Ex residentes'!$N:$N,I$4)</f>
        <v>3</v>
      </c>
      <c r="J27" s="197">
        <f>SUMIFS(Lista!$K:$K,Lista!$O:$O,$A27,Lista!$N:$N,J$4)+SUMIFS('Ex residentes'!$K:$K,'Ex residentes'!$O:$O,$A27,'Ex residentes'!$N:$N,J$4)</f>
        <v>3</v>
      </c>
      <c r="K27" s="197">
        <f>SUMIFS(Lista!$K:$K,Lista!$O:$O,$A27,Lista!$N:$N,K$4)+SUMIFS('Ex residentes'!$K:$K,'Ex residentes'!$O:$O,$A27,'Ex residentes'!$N:$N,K$4)</f>
        <v>10</v>
      </c>
      <c r="L27" s="197">
        <f>SUMIFS(Lista!$K:$K,Lista!$O:$O,$A27,Lista!$N:$N,L$4)+SUMIFS('Ex residentes'!$K:$K,'Ex residentes'!$O:$O,$A27,'Ex residentes'!$N:$N,L$4)</f>
        <v>0</v>
      </c>
      <c r="M27" s="197">
        <f>SUMIFS(Lista!$K:$K,Lista!$O:$O,$A27,Lista!$N:$N,M$4)+SUMIFS('Ex residentes'!$K:$K,'Ex residentes'!$O:$O,$A27,'Ex residentes'!$N:$N,M$4)</f>
        <v>5</v>
      </c>
      <c r="N27" s="197">
        <f>SUMIFS(Lista!$K:$K,Lista!$O:$O,$A27,Lista!$N:$N,N$4)+SUMIFS('Ex residentes'!$K:$K,'Ex residentes'!$O:$O,$A27,'Ex residentes'!$N:$N,N$4)</f>
        <v>4</v>
      </c>
      <c r="O27" s="198">
        <f>SUM(C27:N27)</f>
        <v>46</v>
      </c>
      <c r="P27" s="199">
        <f t="shared" ref="P27:P35" si="7">AVERAGE(C27:N27)</f>
        <v>3.8333333333333335</v>
      </c>
    </row>
    <row r="28" spans="1:17">
      <c r="A28" s="216"/>
      <c r="B28" s="200" t="s">
        <v>1744</v>
      </c>
      <c r="C28" s="189">
        <f>SUMIFS('Ex residentes'!$K:$K,'Ex residentes'!$AB:$AB,$A27,'Ex residentes'!$AA:$AA,C$4)</f>
        <v>3</v>
      </c>
      <c r="D28" s="189">
        <f>SUMIFS('Ex residentes'!$K:$K,'Ex residentes'!$AB:$AB,$A27,'Ex residentes'!$AA:$AA,D$4)</f>
        <v>2</v>
      </c>
      <c r="E28" s="189">
        <f>SUMIFS('Ex residentes'!$K:$K,'Ex residentes'!$AB:$AB,$A27,'Ex residentes'!$AA:$AA,E$4)</f>
        <v>2</v>
      </c>
      <c r="F28" s="189">
        <f>SUMIFS('Ex residentes'!$K:$K,'Ex residentes'!$AB:$AB,$A27,'Ex residentes'!$AA:$AA,F$4)</f>
        <v>5</v>
      </c>
      <c r="G28" s="189">
        <f>SUMIFS('Ex residentes'!$K:$K,'Ex residentes'!$AB:$AB,$A27,'Ex residentes'!$AA:$AA,G$4)</f>
        <v>2</v>
      </c>
      <c r="H28" s="189">
        <f>SUMIFS('Ex residentes'!$K:$K,'Ex residentes'!$AB:$AB,$A27,'Ex residentes'!$AA:$AA,H$4)</f>
        <v>0</v>
      </c>
      <c r="I28" s="189">
        <f>SUMIFS('Ex residentes'!$K:$K,'Ex residentes'!$AB:$AB,$A27,'Ex residentes'!$AA:$AA,I$4)</f>
        <v>1</v>
      </c>
      <c r="J28" s="189">
        <f>SUMIFS('Ex residentes'!$K:$K,'Ex residentes'!$AB:$AB,$A27,'Ex residentes'!$AA:$AA,J$4)</f>
        <v>5</v>
      </c>
      <c r="K28" s="189">
        <f>SUMIFS('Ex residentes'!$K:$K,'Ex residentes'!$AB:$AB,$A27,'Ex residentes'!$AA:$AA,K$4)</f>
        <v>3</v>
      </c>
      <c r="L28" s="189">
        <f>SUMIFS('Ex residentes'!$K:$K,'Ex residentes'!$AB:$AB,$A27,'Ex residentes'!$AA:$AA,L$4)</f>
        <v>2</v>
      </c>
      <c r="M28" s="189">
        <f>SUMIFS('Ex residentes'!$K:$K,'Ex residentes'!$AB:$AB,$A27,'Ex residentes'!$AA:$AA,M$4)</f>
        <v>0</v>
      </c>
      <c r="N28" s="201">
        <f>SUMIFS('Ex residentes'!$K:$K,'Ex residentes'!$AB:$AB,$A27,'Ex residentes'!$AA:$AA,N$4)</f>
        <v>4</v>
      </c>
      <c r="O28" s="202">
        <f>SUM(C28:N28)</f>
        <v>29</v>
      </c>
      <c r="P28" s="203">
        <f t="shared" si="7"/>
        <v>2.4166666666666665</v>
      </c>
    </row>
    <row r="29" spans="1:17" ht="13.8" thickBot="1">
      <c r="A29" s="217"/>
      <c r="B29" s="204" t="s">
        <v>1745</v>
      </c>
      <c r="C29" s="205">
        <f>N26+C27-C28</f>
        <v>79</v>
      </c>
      <c r="D29" s="205">
        <f t="shared" ref="D29:N29" si="8">C29+D27-D28</f>
        <v>79</v>
      </c>
      <c r="E29" s="205">
        <f t="shared" si="8"/>
        <v>83</v>
      </c>
      <c r="F29" s="205">
        <f t="shared" si="8"/>
        <v>82</v>
      </c>
      <c r="G29" s="205">
        <f t="shared" si="8"/>
        <v>83</v>
      </c>
      <c r="H29" s="205">
        <f t="shared" si="8"/>
        <v>87</v>
      </c>
      <c r="I29" s="205">
        <f t="shared" si="8"/>
        <v>89</v>
      </c>
      <c r="J29" s="205">
        <f t="shared" si="8"/>
        <v>87</v>
      </c>
      <c r="K29" s="205">
        <f t="shared" si="8"/>
        <v>94</v>
      </c>
      <c r="L29" s="205">
        <f t="shared" si="8"/>
        <v>92</v>
      </c>
      <c r="M29" s="205">
        <f t="shared" si="8"/>
        <v>97</v>
      </c>
      <c r="N29" s="205">
        <f t="shared" si="8"/>
        <v>97</v>
      </c>
      <c r="O29" s="206">
        <f>O27-O28</f>
        <v>17</v>
      </c>
      <c r="P29" s="207">
        <f t="shared" si="7"/>
        <v>87.416666666666671</v>
      </c>
      <c r="Q29" s="208">
        <f>P29/P26 -1</f>
        <v>0.15783664459161151</v>
      </c>
    </row>
    <row r="30" spans="1:17">
      <c r="A30" s="215">
        <v>2023</v>
      </c>
      <c r="B30" s="196" t="s">
        <v>1743</v>
      </c>
      <c r="C30" s="209">
        <f>SUMIFS(Lista!$K:$K,Lista!$O:$O,$A30,Lista!$N:$N,C$4)+SUMIFS('Ex residentes'!$K:$K,'Ex residentes'!$O:$O,$A30,'Ex residentes'!$N:$N,C$4)</f>
        <v>1</v>
      </c>
      <c r="D30" s="209">
        <f>SUMIFS(Lista!$K:$K,Lista!$O:$O,$A30,Lista!$N:$N,D$4)+SUMIFS('Ex residentes'!$K:$K,'Ex residentes'!$O:$O,$A30,'Ex residentes'!$N:$N,D$4)</f>
        <v>2</v>
      </c>
      <c r="E30" s="209">
        <f>SUMIFS(Lista!$K:$K,Lista!$O:$O,$A30,Lista!$N:$N,E$4)+SUMIFS('Ex residentes'!$K:$K,'Ex residentes'!$O:$O,$A30,'Ex residentes'!$N:$N,E$4)</f>
        <v>1</v>
      </c>
      <c r="F30" s="209">
        <f>SUMIFS(Lista!$K:$K,Lista!$O:$O,$A30,Lista!$N:$N,F$4)+SUMIFS('Ex residentes'!$K:$K,'Ex residentes'!$O:$O,$A30,'Ex residentes'!$N:$N,F$4)</f>
        <v>3</v>
      </c>
      <c r="G30" s="209">
        <f>SUMIFS(Lista!$K:$K,Lista!$O:$O,$A30,Lista!$N:$N,G$4)+SUMIFS('Ex residentes'!$K:$K,'Ex residentes'!$O:$O,$A30,'Ex residentes'!$N:$N,G$4)</f>
        <v>0</v>
      </c>
      <c r="H30" s="209">
        <f>SUMIFS(Lista!$K:$K,Lista!$O:$O,$A30,Lista!$N:$N,H$4)+SUMIFS('Ex residentes'!$K:$K,'Ex residentes'!$O:$O,$A30,'Ex residentes'!$N:$N,H$4)</f>
        <v>0</v>
      </c>
      <c r="I30" s="209">
        <f>SUMIFS(Lista!$K:$K,Lista!$O:$O,$A30,Lista!$N:$N,I$4)+SUMIFS('Ex residentes'!$K:$K,'Ex residentes'!$O:$O,$A30,'Ex residentes'!$N:$N,I$4)</f>
        <v>1</v>
      </c>
      <c r="J30" s="209">
        <f>SUMIFS(Lista!$K:$K,Lista!$O:$O,$A30,Lista!$N:$N,J$4)+SUMIFS('Ex residentes'!$K:$K,'Ex residentes'!$O:$O,$A30,'Ex residentes'!$N:$N,J$4)</f>
        <v>4</v>
      </c>
      <c r="K30" s="209">
        <f>SUMIFS(Lista!$K:$K,Lista!$O:$O,$A30,Lista!$N:$N,K$4)+SUMIFS('Ex residentes'!$K:$K,'Ex residentes'!$O:$O,$A30,'Ex residentes'!$N:$N,K$4)</f>
        <v>2</v>
      </c>
      <c r="L30" s="209">
        <f>SUMIFS(Lista!$K:$K,Lista!$O:$O,$A30,Lista!$N:$N,L$4)+SUMIFS('Ex residentes'!$K:$K,'Ex residentes'!$O:$O,$A30,'Ex residentes'!$N:$N,L$4)</f>
        <v>3</v>
      </c>
      <c r="M30" s="209">
        <f>SUMIFS(Lista!$K:$K,Lista!$O:$O,$A30,Lista!$N:$N,M$4)+SUMIFS('Ex residentes'!$K:$K,'Ex residentes'!$O:$O,$A30,'Ex residentes'!$N:$N,M$4)</f>
        <v>0</v>
      </c>
      <c r="N30" s="209">
        <f>SUMIFS(Lista!$K:$K,Lista!$O:$O,$A30,Lista!$N:$N,N$4)+SUMIFS('Ex residentes'!$K:$K,'Ex residentes'!$O:$O,$A30,'Ex residentes'!$N:$N,N$4)</f>
        <v>3</v>
      </c>
      <c r="O30" s="198">
        <f>SUM(C30:N30)</f>
        <v>20</v>
      </c>
      <c r="P30" s="199">
        <f t="shared" si="7"/>
        <v>1.6666666666666667</v>
      </c>
    </row>
    <row r="31" spans="1:17">
      <c r="A31" s="216"/>
      <c r="B31" s="200" t="s">
        <v>1744</v>
      </c>
      <c r="C31" s="210">
        <f>SUMIFS('Ex residentes'!$K:$K,'Ex residentes'!$AB:$AB,$A30,'Ex residentes'!$AA:$AA,C$4)</f>
        <v>3</v>
      </c>
      <c r="D31" s="210">
        <f>SUMIFS('Ex residentes'!$K:$K,'Ex residentes'!$AB:$AB,$A30,'Ex residentes'!$AA:$AA,D$4)</f>
        <v>2</v>
      </c>
      <c r="E31" s="210">
        <f>SUMIFS('Ex residentes'!$K:$K,'Ex residentes'!$AB:$AB,$A30,'Ex residentes'!$AA:$AA,E$4)</f>
        <v>1</v>
      </c>
      <c r="F31" s="210">
        <f>SUMIFS('Ex residentes'!$K:$K,'Ex residentes'!$AB:$AB,$A30,'Ex residentes'!$AA:$AA,F$4)</f>
        <v>2</v>
      </c>
      <c r="G31" s="210">
        <f>SUMIFS('Ex residentes'!$K:$K,'Ex residentes'!$AB:$AB,$A30,'Ex residentes'!$AA:$AA,G$4)</f>
        <v>10</v>
      </c>
      <c r="H31" s="210">
        <f>SUMIFS('Ex residentes'!$K:$K,'Ex residentes'!$AB:$AB,$A30,'Ex residentes'!$AA:$AA,H$4)</f>
        <v>6</v>
      </c>
      <c r="I31" s="210">
        <f>SUMIFS('Ex residentes'!$K:$K,'Ex residentes'!$AB:$AB,$A30,'Ex residentes'!$AA:$AA,I$4)</f>
        <v>2</v>
      </c>
      <c r="J31" s="210">
        <f>SUMIFS('Ex residentes'!$K:$K,'Ex residentes'!$AB:$AB,$A30,'Ex residentes'!$AA:$AA,J$4)</f>
        <v>3</v>
      </c>
      <c r="K31" s="210">
        <f>SUMIFS('Ex residentes'!$K:$K,'Ex residentes'!$AB:$AB,$A30,'Ex residentes'!$AA:$AA,K$4)</f>
        <v>7</v>
      </c>
      <c r="L31" s="210">
        <f>SUMIFS('Ex residentes'!$K:$K,'Ex residentes'!$AB:$AB,$A30,'Ex residentes'!$AA:$AA,L$4)</f>
        <v>2</v>
      </c>
      <c r="M31" s="210">
        <f>SUMIFS('Ex residentes'!$K:$K,'Ex residentes'!$AB:$AB,$A30,'Ex residentes'!$AA:$AA,M$4)</f>
        <v>3</v>
      </c>
      <c r="N31" s="211">
        <f>SUMIFS('Ex residentes'!$K:$K,'Ex residentes'!$AB:$AB,$A30,'Ex residentes'!$AA:$AA,N$4)</f>
        <v>3</v>
      </c>
      <c r="O31" s="202">
        <f>SUM(C31:N31)</f>
        <v>44</v>
      </c>
      <c r="P31" s="203">
        <f t="shared" si="7"/>
        <v>3.6666666666666665</v>
      </c>
    </row>
    <row r="32" spans="1:17" ht="13.8" thickBot="1">
      <c r="A32" s="217"/>
      <c r="B32" s="204" t="s">
        <v>1745</v>
      </c>
      <c r="C32" s="212">
        <f>N29+C30-C31</f>
        <v>95</v>
      </c>
      <c r="D32" s="212">
        <f t="shared" ref="D32:N32" si="9">C32+D30-D31</f>
        <v>95</v>
      </c>
      <c r="E32" s="212">
        <f t="shared" si="9"/>
        <v>95</v>
      </c>
      <c r="F32" s="212">
        <f t="shared" si="9"/>
        <v>96</v>
      </c>
      <c r="G32" s="212">
        <f t="shared" si="9"/>
        <v>86</v>
      </c>
      <c r="H32" s="212">
        <f t="shared" si="9"/>
        <v>80</v>
      </c>
      <c r="I32" s="212">
        <f t="shared" si="9"/>
        <v>79</v>
      </c>
      <c r="J32" s="212">
        <f t="shared" si="9"/>
        <v>80</v>
      </c>
      <c r="K32" s="212">
        <f t="shared" si="9"/>
        <v>75</v>
      </c>
      <c r="L32" s="212">
        <f t="shared" si="9"/>
        <v>76</v>
      </c>
      <c r="M32" s="212">
        <f t="shared" si="9"/>
        <v>73</v>
      </c>
      <c r="N32" s="212">
        <f t="shared" si="9"/>
        <v>73</v>
      </c>
      <c r="O32" s="206">
        <f>O30-O31</f>
        <v>-24</v>
      </c>
      <c r="P32" s="207">
        <f t="shared" si="7"/>
        <v>83.583333333333329</v>
      </c>
      <c r="Q32" s="208">
        <f>P32/P29 -1</f>
        <v>-4.3851286939942891E-2</v>
      </c>
    </row>
    <row r="33" spans="1:17">
      <c r="A33" s="215">
        <v>2024</v>
      </c>
      <c r="B33" s="196" t="s">
        <v>1743</v>
      </c>
      <c r="C33" s="197">
        <f>SUMIFS(Lista!$K:$K,Lista!$O:$O,$A33,Lista!$N:$N,C$4)+SUMIFS('Ex residentes'!$K:$K,'Ex residentes'!$O:$O,$A33,'Ex residentes'!$N:$N,C$4)</f>
        <v>0</v>
      </c>
      <c r="D33" s="197">
        <f>SUMIFS(Lista!$K:$K,Lista!$O:$O,$A33,Lista!$N:$N,D$4)+SUMIFS('Ex residentes'!$K:$K,'Ex residentes'!$O:$O,$A33,'Ex residentes'!$N:$N,D$4)</f>
        <v>5</v>
      </c>
      <c r="E33" s="197">
        <f>SUMIFS(Lista!$K:$K,Lista!$O:$O,$A33,Lista!$N:$N,E$4)+SUMIFS('Ex residentes'!$K:$K,'Ex residentes'!$O:$O,$A33,'Ex residentes'!$N:$N,E$4)</f>
        <v>2</v>
      </c>
      <c r="F33" s="197">
        <f>SUMIFS(Lista!$K:$K,Lista!$O:$O,$A33,Lista!$N:$N,F$4)+SUMIFS('Ex residentes'!$K:$K,'Ex residentes'!$O:$O,$A33,'Ex residentes'!$N:$N,F$4)</f>
        <v>0</v>
      </c>
      <c r="G33" s="197">
        <f>SUMIFS(Lista!$K:$K,Lista!$O:$O,$A33,Lista!$N:$N,G$4)+SUMIFS('Ex residentes'!$K:$K,'Ex residentes'!$O:$O,$A33,'Ex residentes'!$N:$N,G$4)</f>
        <v>2</v>
      </c>
      <c r="H33" s="197">
        <f>SUMIFS(Lista!$K:$K,Lista!$O:$O,$A33,Lista!$N:$N,H$4)+SUMIFS('Ex residentes'!$K:$K,'Ex residentes'!$O:$O,$A33,'Ex residentes'!$N:$N,H$4)</f>
        <v>4</v>
      </c>
      <c r="I33" s="197">
        <f>SUMIFS(Lista!$K:$K,Lista!$O:$O,$A33,Lista!$N:$N,I$4)+SUMIFS('Ex residentes'!$K:$K,'Ex residentes'!$O:$O,$A33,'Ex residentes'!$N:$N,I$4)</f>
        <v>1</v>
      </c>
      <c r="J33" s="197">
        <f>SUMIFS(Lista!$K:$K,Lista!$O:$O,$A33,Lista!$N:$N,J$4)+SUMIFS('Ex residentes'!$K:$K,'Ex residentes'!$O:$O,$A33,'Ex residentes'!$N:$N,J$4)</f>
        <v>4</v>
      </c>
      <c r="K33" s="197">
        <f>SUMIFS(Lista!$K:$K,Lista!$O:$O,$A33,Lista!$N:$N,K$4)+SUMIFS('Ex residentes'!$K:$K,'Ex residentes'!$O:$O,$A33,'Ex residentes'!$N:$N,K$4)</f>
        <v>0</v>
      </c>
      <c r="L33" s="197">
        <f>SUMIFS(Lista!$K:$K,Lista!$O:$O,$A33,Lista!$N:$N,L$4)+SUMIFS('Ex residentes'!$K:$K,'Ex residentes'!$O:$O,$A33,'Ex residentes'!$N:$N,L$4)</f>
        <v>3</v>
      </c>
      <c r="M33" s="197">
        <f>SUMIFS(Lista!$K:$K,Lista!$O:$O,$A33,Lista!$N:$N,M$4)+SUMIFS('Ex residentes'!$K:$K,'Ex residentes'!$O:$O,$A33,'Ex residentes'!$N:$N,M$4)</f>
        <v>0</v>
      </c>
      <c r="N33" s="197">
        <f>SUMIFS(Lista!$K:$K,Lista!$O:$O,$A33,Lista!$N:$N,N$4)+SUMIFS('Ex residentes'!$K:$K,'Ex residentes'!$O:$O,$A33,'Ex residentes'!$N:$N,N$4)</f>
        <v>5</v>
      </c>
      <c r="O33" s="198">
        <f>SUM(C33:N33)</f>
        <v>26</v>
      </c>
      <c r="P33" s="199">
        <f t="shared" si="7"/>
        <v>2.1666666666666665</v>
      </c>
    </row>
    <row r="34" spans="1:17">
      <c r="A34" s="216"/>
      <c r="B34" s="200" t="s">
        <v>1744</v>
      </c>
      <c r="C34" s="189">
        <f>SUMIFS('Ex residentes'!$K:$K,'Ex residentes'!$AB:$AB,$A33,'Ex residentes'!$AA:$AA,C$4)</f>
        <v>5</v>
      </c>
      <c r="D34" s="189">
        <f>SUMIFS('Ex residentes'!$K:$K,'Ex residentes'!$AB:$AB,$A33,'Ex residentes'!$AA:$AA,D$4)</f>
        <v>2</v>
      </c>
      <c r="E34" s="189">
        <f>SUMIFS('Ex residentes'!$K:$K,'Ex residentes'!$AB:$AB,$A33,'Ex residentes'!$AA:$AA,E$4)</f>
        <v>2</v>
      </c>
      <c r="F34" s="189">
        <f>SUMIFS('Ex residentes'!$K:$K,'Ex residentes'!$AB:$AB,$A33,'Ex residentes'!$AA:$AA,F$4)</f>
        <v>2</v>
      </c>
      <c r="G34" s="189">
        <f>SUMIFS('Ex residentes'!$K:$K,'Ex residentes'!$AB:$AB,$A33,'Ex residentes'!$AA:$AA,G$4)</f>
        <v>3</v>
      </c>
      <c r="H34" s="189">
        <f>SUMIFS('Ex residentes'!$K:$K,'Ex residentes'!$AB:$AB,$A33,'Ex residentes'!$AA:$AA,H$4)</f>
        <v>3</v>
      </c>
      <c r="I34" s="189">
        <f>SUMIFS('Ex residentes'!$K:$K,'Ex residentes'!$AB:$AB,$A33,'Ex residentes'!$AA:$AA,I$4)</f>
        <v>3</v>
      </c>
      <c r="J34" s="189">
        <f>SUMIFS('Ex residentes'!$K:$K,'Ex residentes'!$AB:$AB,$A33,'Ex residentes'!$AA:$AA,J$4)</f>
        <v>2</v>
      </c>
      <c r="K34" s="189">
        <f>SUMIFS('Ex residentes'!$K:$K,'Ex residentes'!$AB:$AB,$A33,'Ex residentes'!$AA:$AA,K$4)</f>
        <v>0</v>
      </c>
      <c r="L34" s="189">
        <f>SUMIFS('Ex residentes'!$K:$K,'Ex residentes'!$AB:$AB,$A33,'Ex residentes'!$AA:$AA,L$4)</f>
        <v>4</v>
      </c>
      <c r="M34" s="189">
        <f>SUMIFS('Ex residentes'!$K:$K,'Ex residentes'!$AB:$AB,$A33,'Ex residentes'!$AA:$AA,M$4)</f>
        <v>3</v>
      </c>
      <c r="N34" s="201">
        <f>SUMIFS('Ex residentes'!$K:$K,'Ex residentes'!$AB:$AB,$A33,'Ex residentes'!$AA:$AA,N$4)</f>
        <v>0</v>
      </c>
      <c r="O34" s="202">
        <f>SUM(C34:N34)</f>
        <v>29</v>
      </c>
      <c r="P34" s="203">
        <f t="shared" si="7"/>
        <v>2.4166666666666665</v>
      </c>
    </row>
    <row r="35" spans="1:17" ht="13.8" thickBot="1">
      <c r="A35" s="217"/>
      <c r="B35" s="204" t="s">
        <v>1745</v>
      </c>
      <c r="C35" s="205">
        <f>N32+C33-C34</f>
        <v>68</v>
      </c>
      <c r="D35" s="205">
        <f t="shared" ref="D35:N35" si="10">C35+D33-D34</f>
        <v>71</v>
      </c>
      <c r="E35" s="205">
        <f t="shared" si="10"/>
        <v>71</v>
      </c>
      <c r="F35" s="205">
        <f t="shared" si="10"/>
        <v>69</v>
      </c>
      <c r="G35" s="205">
        <f t="shared" si="10"/>
        <v>68</v>
      </c>
      <c r="H35" s="205">
        <f t="shared" si="10"/>
        <v>69</v>
      </c>
      <c r="I35" s="205">
        <f t="shared" si="10"/>
        <v>67</v>
      </c>
      <c r="J35" s="205">
        <f t="shared" si="10"/>
        <v>69</v>
      </c>
      <c r="K35" s="205">
        <f t="shared" si="10"/>
        <v>69</v>
      </c>
      <c r="L35" s="205">
        <f t="shared" si="10"/>
        <v>68</v>
      </c>
      <c r="M35" s="205">
        <f t="shared" si="10"/>
        <v>65</v>
      </c>
      <c r="N35" s="205">
        <f t="shared" si="10"/>
        <v>70</v>
      </c>
      <c r="O35" s="206">
        <f>O33-O34</f>
        <v>-3</v>
      </c>
      <c r="P35" s="207">
        <f t="shared" si="7"/>
        <v>68.666666666666671</v>
      </c>
      <c r="Q35" s="208">
        <f>P35/P32 -1</f>
        <v>-0.17846460618145554</v>
      </c>
    </row>
    <row r="36" spans="1:17">
      <c r="A36" s="215">
        <v>2025</v>
      </c>
      <c r="B36" s="196" t="s">
        <v>1743</v>
      </c>
      <c r="C36" s="197">
        <f>SUMIFS(Lista!$K:$K,Lista!$O:$O,$A36,Lista!$N:$N,C$4)+SUMIFS('Ex residentes'!$K:$K,'Ex residentes'!$O:$O,$A36,'Ex residentes'!$N:$N,C$4)</f>
        <v>3</v>
      </c>
      <c r="D36" s="197">
        <f>SUMIFS(Lista!$K:$K,Lista!$O:$O,$A36,Lista!$N:$N,D$4)+SUMIFS('Ex residentes'!$K:$K,'Ex residentes'!$O:$O,$A36,'Ex residentes'!$N:$N,D$4)</f>
        <v>3</v>
      </c>
      <c r="E36" s="197">
        <f>SUMIFS(Lista!$K:$K,Lista!$O:$O,$A36,Lista!$N:$N,E$4)+SUMIFS('Ex residentes'!$K:$K,'Ex residentes'!$O:$O,$A36,'Ex residentes'!$N:$N,E$4)</f>
        <v>1</v>
      </c>
      <c r="F36" s="197">
        <f>SUMIFS(Lista!$K:$K,Lista!$O:$O,$A36,Lista!$N:$N,F$4)+SUMIFS('Ex residentes'!$K:$K,'Ex residentes'!$O:$O,$A36,'Ex residentes'!$N:$N,F$4)</f>
        <v>1</v>
      </c>
      <c r="G36" s="197">
        <f>SUMIFS(Lista!$K:$K,Lista!$O:$O,$A36,Lista!$N:$N,G$4)+SUMIFS('Ex residentes'!$K:$K,'Ex residentes'!$O:$O,$A36,'Ex residentes'!$N:$N,G$4)</f>
        <v>4</v>
      </c>
      <c r="H36" s="197">
        <f>SUMIFS(Lista!$K:$K,Lista!$O:$O,$A36,Lista!$N:$N,H$4)+SUMIFS('Ex residentes'!$K:$K,'Ex residentes'!$O:$O,$A36,'Ex residentes'!$N:$N,H$4)</f>
        <v>1</v>
      </c>
      <c r="I36" s="197">
        <f>SUMIFS(Lista!$K:$K,Lista!$O:$O,$A36,Lista!$N:$N,I$4)+SUMIFS('Ex residentes'!$K:$K,'Ex residentes'!$O:$O,$A36,'Ex residentes'!$N:$N,I$4)</f>
        <v>2</v>
      </c>
      <c r="J36" s="197">
        <f>SUMIFS(Lista!$K:$K,Lista!$O:$O,$A36,Lista!$N:$N,J$4)+SUMIFS('Ex residentes'!$K:$K,'Ex residentes'!$O:$O,$A36,'Ex residentes'!$N:$N,J$4)</f>
        <v>0</v>
      </c>
      <c r="K36" s="197">
        <f>SUMIFS(Lista!$K:$K,Lista!$O:$O,$A36,Lista!$N:$N,K$4)+SUMIFS('Ex residentes'!$K:$K,'Ex residentes'!$O:$O,$A36,'Ex residentes'!$N:$N,K$4)</f>
        <v>2</v>
      </c>
      <c r="L36" s="197">
        <f>SUMIFS(Lista!$K:$K,Lista!$O:$O,$A36,Lista!$N:$N,L$4)+SUMIFS('Ex residentes'!$K:$K,'Ex residentes'!$O:$O,$A36,'Ex residentes'!$N:$N,L$4)</f>
        <v>1</v>
      </c>
      <c r="M36" s="197">
        <f>SUMIFS(Lista!$K:$K,Lista!$O:$O,$A36,Lista!$N:$N,M$4)+SUMIFS('Ex residentes'!$K:$K,'Ex residentes'!$O:$O,$A36,'Ex residentes'!$N:$N,M$4)</f>
        <v>1</v>
      </c>
      <c r="N36" s="197">
        <f>SUMIFS(Lista!$K:$K,Lista!$O:$O,$A36,Lista!$N:$N,N$4)+SUMIFS('Ex residentes'!$K:$K,'Ex residentes'!$O:$O,$A36,'Ex residentes'!$N:$N,N$4)</f>
        <v>6</v>
      </c>
      <c r="O36" s="198">
        <f>SUM(C36:N36)</f>
        <v>25</v>
      </c>
      <c r="P36" s="199">
        <f t="shared" ref="P36:P41" si="11">AVERAGE(C36:N36)</f>
        <v>2.0833333333333335</v>
      </c>
    </row>
    <row r="37" spans="1:17">
      <c r="A37" s="216"/>
      <c r="B37" s="200" t="s">
        <v>1744</v>
      </c>
      <c r="C37" s="189">
        <f>SUMIFS('Ex residentes'!$K:$K,'Ex residentes'!$AB:$AB,$A36,'Ex residentes'!$AA:$AA,C$4)</f>
        <v>3</v>
      </c>
      <c r="D37" s="189">
        <f>SUMIFS('Ex residentes'!$K:$K,'Ex residentes'!$AB:$AB,$A36,'Ex residentes'!$AA:$AA,D$4)</f>
        <v>1</v>
      </c>
      <c r="E37" s="189">
        <f>SUMIFS('Ex residentes'!$K:$K,'Ex residentes'!$AB:$AB,$A36,'Ex residentes'!$AA:$AA,E$4)</f>
        <v>0</v>
      </c>
      <c r="F37" s="189">
        <f>SUMIFS('Ex residentes'!$K:$K,'Ex residentes'!$AB:$AB,$A36,'Ex residentes'!$AA:$AA,F$4)</f>
        <v>4</v>
      </c>
      <c r="G37" s="189">
        <f>SUMIFS('Ex residentes'!$K:$K,'Ex residentes'!$AB:$AB,$A36,'Ex residentes'!$AA:$AA,G$4)</f>
        <v>2</v>
      </c>
      <c r="H37" s="189">
        <f>SUMIFS('Ex residentes'!$K:$K,'Ex residentes'!$AB:$AB,$A36,'Ex residentes'!$AA:$AA,H$4)</f>
        <v>3</v>
      </c>
      <c r="I37" s="189">
        <f>SUMIFS('Ex residentes'!$K:$K,'Ex residentes'!$AB:$AB,$A36,'Ex residentes'!$AA:$AA,I$4)</f>
        <v>2</v>
      </c>
      <c r="J37" s="189">
        <f>SUMIFS('Ex residentes'!$K:$K,'Ex residentes'!$AB:$AB,$A36,'Ex residentes'!$AA:$AA,J$4)</f>
        <v>1</v>
      </c>
      <c r="K37" s="189">
        <f>SUMIFS('Ex residentes'!$K:$K,'Ex residentes'!$AB:$AB,$A36,'Ex residentes'!$AA:$AA,K$4)</f>
        <v>3</v>
      </c>
      <c r="L37" s="189">
        <f>SUMIFS('Ex residentes'!$K:$K,'Ex residentes'!$AB:$AB,$A36,'Ex residentes'!$AA:$AA,L$4)</f>
        <v>1</v>
      </c>
      <c r="M37" s="189">
        <f>SUMIFS('Ex residentes'!$K:$K,'Ex residentes'!$AB:$AB,$A36,'Ex residentes'!$AA:$AA,M$4)</f>
        <v>1</v>
      </c>
      <c r="N37" s="201">
        <f>SUMIFS('Ex residentes'!$K:$K,'Ex residentes'!$AB:$AB,$A36,'Ex residentes'!$AA:$AA,N$4)</f>
        <v>3</v>
      </c>
      <c r="O37" s="202">
        <f>SUM(C37:N37)</f>
        <v>24</v>
      </c>
      <c r="P37" s="203">
        <f t="shared" si="11"/>
        <v>2</v>
      </c>
    </row>
    <row r="38" spans="1:17" ht="13.8" thickBot="1">
      <c r="A38" s="217"/>
      <c r="B38" s="204" t="s">
        <v>1745</v>
      </c>
      <c r="C38" s="205">
        <f>N35+C36-C37</f>
        <v>70</v>
      </c>
      <c r="D38" s="205">
        <f t="shared" ref="D38:N38" si="12">C38+D36-D37</f>
        <v>72</v>
      </c>
      <c r="E38" s="205">
        <f t="shared" si="12"/>
        <v>73</v>
      </c>
      <c r="F38" s="205">
        <f t="shared" si="12"/>
        <v>70</v>
      </c>
      <c r="G38" s="205">
        <f t="shared" si="12"/>
        <v>72</v>
      </c>
      <c r="H38" s="205">
        <f t="shared" si="12"/>
        <v>70</v>
      </c>
      <c r="I38" s="205">
        <f t="shared" si="12"/>
        <v>70</v>
      </c>
      <c r="J38" s="205">
        <f t="shared" si="12"/>
        <v>69</v>
      </c>
      <c r="K38" s="205">
        <f t="shared" si="12"/>
        <v>68</v>
      </c>
      <c r="L38" s="205">
        <f t="shared" si="12"/>
        <v>68</v>
      </c>
      <c r="M38" s="205">
        <f t="shared" si="12"/>
        <v>68</v>
      </c>
      <c r="N38" s="205">
        <f t="shared" si="12"/>
        <v>71</v>
      </c>
      <c r="O38" s="206">
        <f>O36-O37</f>
        <v>1</v>
      </c>
      <c r="P38" s="207">
        <f>AVERAGE(C38:N38)</f>
        <v>70.083333333333329</v>
      </c>
      <c r="Q38" s="208">
        <f>P38/P35 -1</f>
        <v>2.0631067961164984E-2</v>
      </c>
    </row>
    <row r="39" spans="1:17">
      <c r="A39" s="215">
        <v>2026</v>
      </c>
      <c r="B39" s="196" t="s">
        <v>1743</v>
      </c>
      <c r="C39" s="197">
        <f>SUMIFS(Lista!$K:$K,Lista!$O:$O,$A39,Lista!$N:$N,C$4)+SUMIFS('Ex residentes'!$K:$K,'Ex residentes'!$O:$O,$A39,'Ex residentes'!$N:$N,C$4)</f>
        <v>2</v>
      </c>
      <c r="D39" s="197">
        <f>SUMIFS(Lista!$K:$K,Lista!$O:$O,$A39,Lista!$N:$N,D$4)+SUMIFS('Ex residentes'!$K:$K,'Ex residentes'!$O:$O,$A39,'Ex residentes'!$N:$N,D$4)</f>
        <v>2</v>
      </c>
      <c r="E39" s="197">
        <f>SUMIFS(Lista!$K:$K,Lista!$O:$O,$A39,Lista!$N:$N,E$4)+SUMIFS('Ex residentes'!$K:$K,'Ex residentes'!$O:$O,$A39,'Ex residentes'!$N:$N,E$4)</f>
        <v>4</v>
      </c>
      <c r="F39" s="197">
        <f>SUMIFS(Lista!$K:$K,Lista!$O:$O,$A39,Lista!$N:$N,F$4)+SUMIFS('Ex residentes'!$K:$K,'Ex residentes'!$O:$O,$A39,'Ex residentes'!$N:$N,F$4)</f>
        <v>0</v>
      </c>
      <c r="G39" s="197">
        <f>SUMIFS(Lista!$K:$K,Lista!$O:$O,$A39,Lista!$N:$N,G$4)+SUMIFS('Ex residentes'!$K:$K,'Ex residentes'!$O:$O,$A39,'Ex residentes'!$N:$N,G$4)</f>
        <v>0</v>
      </c>
      <c r="H39" s="197">
        <f>SUMIFS(Lista!$K:$K,Lista!$O:$O,$A39,Lista!$N:$N,H$4)+SUMIFS('Ex residentes'!$K:$K,'Ex residentes'!$O:$O,$A39,'Ex residentes'!$N:$N,H$4)</f>
        <v>0</v>
      </c>
      <c r="I39" s="197">
        <f>SUMIFS(Lista!$K:$K,Lista!$O:$O,$A39,Lista!$N:$N,I$4)+SUMIFS('Ex residentes'!$K:$K,'Ex residentes'!$O:$O,$A39,'Ex residentes'!$N:$N,I$4)</f>
        <v>0</v>
      </c>
      <c r="J39" s="197">
        <f>SUMIFS(Lista!$K:$K,Lista!$O:$O,$A39,Lista!$N:$N,J$4)+SUMIFS('Ex residentes'!$K:$K,'Ex residentes'!$O:$O,$A39,'Ex residentes'!$N:$N,J$4)</f>
        <v>0</v>
      </c>
      <c r="K39" s="197">
        <f>SUMIFS(Lista!$K:$K,Lista!$O:$O,$A39,Lista!$N:$N,K$4)+SUMIFS('Ex residentes'!$K:$K,'Ex residentes'!$O:$O,$A39,'Ex residentes'!$N:$N,K$4)</f>
        <v>0</v>
      </c>
      <c r="L39" s="197">
        <f>SUMIFS(Lista!$K:$K,Lista!$O:$O,$A39,Lista!$N:$N,L$4)+SUMIFS('Ex residentes'!$K:$K,'Ex residentes'!$O:$O,$A39,'Ex residentes'!$N:$N,L$4)</f>
        <v>0</v>
      </c>
      <c r="M39" s="197">
        <f>SUMIFS(Lista!$K:$K,Lista!$O:$O,$A39,Lista!$N:$N,M$4)+SUMIFS('Ex residentes'!$K:$K,'Ex residentes'!$O:$O,$A39,'Ex residentes'!$N:$N,M$4)</f>
        <v>0</v>
      </c>
      <c r="N39" s="197">
        <f>SUMIFS(Lista!$K:$K,Lista!$O:$O,$A39,Lista!$N:$N,N$4)+SUMIFS('Ex residentes'!$K:$K,'Ex residentes'!$O:$O,$A39,'Ex residentes'!$N:$N,N$4)</f>
        <v>0</v>
      </c>
      <c r="O39" s="198">
        <f>SUM(C39:N39)</f>
        <v>8</v>
      </c>
      <c r="P39" s="199">
        <f t="shared" si="11"/>
        <v>0.66666666666666663</v>
      </c>
    </row>
    <row r="40" spans="1:17">
      <c r="A40" s="216"/>
      <c r="B40" s="200" t="s">
        <v>1744</v>
      </c>
      <c r="C40" s="189">
        <f>SUMIFS('Ex residentes'!$K:$K,'Ex residentes'!$AB:$AB,$A39,'Ex residentes'!$AA:$AA,C$4)</f>
        <v>1</v>
      </c>
      <c r="D40" s="189">
        <f>SUMIFS('Ex residentes'!$K:$K,'Ex residentes'!$AB:$AB,$A39,'Ex residentes'!$AA:$AA,D$4)</f>
        <v>2</v>
      </c>
      <c r="E40" s="189">
        <f>SUMIFS('Ex residentes'!$K:$K,'Ex residentes'!$AB:$AB,$A39,'Ex residentes'!$AA:$AA,E$4)</f>
        <v>4</v>
      </c>
      <c r="F40" s="189">
        <f>SUMIFS('Ex residentes'!$K:$K,'Ex residentes'!$AB:$AB,$A39,'Ex residentes'!$AA:$AA,F$4)</f>
        <v>1</v>
      </c>
      <c r="G40" s="189">
        <f>SUMIFS('Ex residentes'!$K:$K,'Ex residentes'!$AB:$AB,$A39,'Ex residentes'!$AA:$AA,G$4)</f>
        <v>0</v>
      </c>
      <c r="H40" s="189">
        <f>SUMIFS('Ex residentes'!$K:$K,'Ex residentes'!$AB:$AB,$A39,'Ex residentes'!$AA:$AA,H$4)</f>
        <v>0</v>
      </c>
      <c r="I40" s="189">
        <f>SUMIFS('Ex residentes'!$K:$K,'Ex residentes'!$AB:$AB,$A39,'Ex residentes'!$AA:$AA,I$4)</f>
        <v>0</v>
      </c>
      <c r="J40" s="189">
        <f>SUMIFS('Ex residentes'!$K:$K,'Ex residentes'!$AB:$AB,$A39,'Ex residentes'!$AA:$AA,J$4)</f>
        <v>0</v>
      </c>
      <c r="K40" s="189">
        <f>SUMIFS('Ex residentes'!$K:$K,'Ex residentes'!$AB:$AB,$A39,'Ex residentes'!$AA:$AA,K$4)</f>
        <v>0</v>
      </c>
      <c r="L40" s="189">
        <f>SUMIFS('Ex residentes'!$K:$K,'Ex residentes'!$AB:$AB,$A39,'Ex residentes'!$AA:$AA,L$4)</f>
        <v>0</v>
      </c>
      <c r="M40" s="189">
        <f>SUMIFS('Ex residentes'!$K:$K,'Ex residentes'!$AB:$AB,$A39,'Ex residentes'!$AA:$AA,M$4)</f>
        <v>0</v>
      </c>
      <c r="N40" s="201">
        <f>SUMIFS('Ex residentes'!$K:$K,'Ex residentes'!$AB:$AB,$A39,'Ex residentes'!$AA:$AA,N$4)</f>
        <v>0</v>
      </c>
      <c r="O40" s="202">
        <f>SUM(C40:N40)</f>
        <v>8</v>
      </c>
      <c r="P40" s="203">
        <f t="shared" si="11"/>
        <v>0.66666666666666663</v>
      </c>
    </row>
    <row r="41" spans="1:17" ht="13.8" thickBot="1">
      <c r="A41" s="217"/>
      <c r="B41" s="204" t="s">
        <v>1745</v>
      </c>
      <c r="C41" s="205">
        <f>N38+C39-C40</f>
        <v>72</v>
      </c>
      <c r="D41" s="205">
        <f t="shared" ref="D41:N41" si="13">C41+D39-D40</f>
        <v>72</v>
      </c>
      <c r="E41" s="205">
        <f t="shared" si="13"/>
        <v>72</v>
      </c>
      <c r="F41" s="205">
        <f t="shared" si="13"/>
        <v>71</v>
      </c>
      <c r="G41" s="205">
        <f t="shared" si="13"/>
        <v>71</v>
      </c>
      <c r="H41" s="205">
        <f t="shared" si="13"/>
        <v>71</v>
      </c>
      <c r="I41" s="205">
        <f t="shared" si="13"/>
        <v>71</v>
      </c>
      <c r="J41" s="205">
        <f t="shared" si="13"/>
        <v>71</v>
      </c>
      <c r="K41" s="205">
        <f t="shared" si="13"/>
        <v>71</v>
      </c>
      <c r="L41" s="205">
        <f t="shared" si="13"/>
        <v>71</v>
      </c>
      <c r="M41" s="205">
        <f t="shared" si="13"/>
        <v>71</v>
      </c>
      <c r="N41" s="205">
        <f t="shared" si="13"/>
        <v>71</v>
      </c>
      <c r="O41" s="206">
        <f>O39-O40</f>
        <v>0</v>
      </c>
      <c r="P41" s="207">
        <f t="shared" si="11"/>
        <v>71.25</v>
      </c>
      <c r="Q41" s="208">
        <f>P41/P38 -1</f>
        <v>1.6646848989298579E-2</v>
      </c>
    </row>
    <row r="42" spans="1:17">
      <c r="A42">
        <v>2021</v>
      </c>
      <c r="B42" s="4">
        <v>520.92999999999995</v>
      </c>
      <c r="C42" s="1">
        <f>C26*$B$42</f>
        <v>38027.89</v>
      </c>
      <c r="D42" s="1">
        <f t="shared" ref="D42:N42" si="14">D26*$B$42</f>
        <v>36986.03</v>
      </c>
      <c r="E42" s="1">
        <f t="shared" si="14"/>
        <v>36986.03</v>
      </c>
      <c r="F42" s="1">
        <f t="shared" si="14"/>
        <v>39069.749999999993</v>
      </c>
      <c r="G42" s="1">
        <f t="shared" si="14"/>
        <v>39069.749999999993</v>
      </c>
      <c r="H42" s="1">
        <f t="shared" si="14"/>
        <v>38548.82</v>
      </c>
      <c r="I42" s="1">
        <f t="shared" si="14"/>
        <v>38027.89</v>
      </c>
      <c r="J42" s="1">
        <f t="shared" si="14"/>
        <v>40632.539999999994</v>
      </c>
      <c r="K42" s="1">
        <f t="shared" si="14"/>
        <v>40111.609999999993</v>
      </c>
      <c r="L42" s="1">
        <f>L26*$B$42</f>
        <v>41674.399999999994</v>
      </c>
      <c r="M42" s="1">
        <f t="shared" si="14"/>
        <v>41153.469999999994</v>
      </c>
      <c r="N42" s="1">
        <f t="shared" si="14"/>
        <v>41674.399999999994</v>
      </c>
    </row>
    <row r="43" spans="1:17">
      <c r="A43">
        <v>2022</v>
      </c>
      <c r="B43" s="4">
        <v>600</v>
      </c>
      <c r="C43" s="1">
        <f>C29*$B$43</f>
        <v>47400</v>
      </c>
      <c r="D43" s="1">
        <f>D29*$B$43</f>
        <v>47400</v>
      </c>
      <c r="E43" s="1">
        <f>E29*$B$43</f>
        <v>49800</v>
      </c>
      <c r="F43" s="1">
        <f t="shared" ref="F43:N43" si="15">F29*$B$43</f>
        <v>49200</v>
      </c>
      <c r="G43" s="1">
        <f t="shared" si="15"/>
        <v>49800</v>
      </c>
      <c r="H43" s="1">
        <f t="shared" si="15"/>
        <v>52200</v>
      </c>
      <c r="I43" s="1">
        <f t="shared" si="15"/>
        <v>53400</v>
      </c>
      <c r="J43" s="1">
        <f t="shared" si="15"/>
        <v>52200</v>
      </c>
      <c r="K43" s="1">
        <f t="shared" si="15"/>
        <v>56400</v>
      </c>
      <c r="L43" s="1">
        <f t="shared" si="15"/>
        <v>55200</v>
      </c>
      <c r="M43" s="1">
        <f>M29*$B$43</f>
        <v>58200</v>
      </c>
      <c r="N43" s="1">
        <f t="shared" si="15"/>
        <v>58200</v>
      </c>
    </row>
    <row r="44" spans="1:17">
      <c r="A44">
        <v>2023</v>
      </c>
      <c r="B44">
        <v>600</v>
      </c>
      <c r="C44" s="1">
        <f>C32*$B$44</f>
        <v>57000</v>
      </c>
      <c r="D44" s="1">
        <f t="shared" ref="D44:N44" si="16">D32*$B$44</f>
        <v>57000</v>
      </c>
      <c r="E44" s="1">
        <f t="shared" si="16"/>
        <v>57000</v>
      </c>
      <c r="F44" s="1">
        <f t="shared" si="16"/>
        <v>57600</v>
      </c>
      <c r="G44" s="1">
        <f t="shared" si="16"/>
        <v>51600</v>
      </c>
      <c r="H44" s="1">
        <f t="shared" si="16"/>
        <v>48000</v>
      </c>
      <c r="I44" s="1">
        <f t="shared" si="16"/>
        <v>47400</v>
      </c>
      <c r="J44" s="1">
        <f t="shared" si="16"/>
        <v>48000</v>
      </c>
      <c r="K44" s="1">
        <f t="shared" si="16"/>
        <v>45000</v>
      </c>
      <c r="L44" s="1">
        <f t="shared" si="16"/>
        <v>45600</v>
      </c>
      <c r="M44" s="1">
        <f t="shared" si="16"/>
        <v>43800</v>
      </c>
      <c r="N44" s="1">
        <f t="shared" si="16"/>
        <v>43800</v>
      </c>
    </row>
    <row r="45" spans="1:17">
      <c r="A45">
        <v>2024</v>
      </c>
      <c r="B45">
        <v>685</v>
      </c>
      <c r="C45" s="1">
        <f>C35*$B$45</f>
        <v>46580</v>
      </c>
      <c r="D45" s="1">
        <f t="shared" ref="D45:N45" si="17">D35*$B$45</f>
        <v>48635</v>
      </c>
      <c r="E45" s="1">
        <f t="shared" si="17"/>
        <v>48635</v>
      </c>
      <c r="F45" s="1">
        <f t="shared" si="17"/>
        <v>47265</v>
      </c>
      <c r="G45" s="1">
        <f t="shared" si="17"/>
        <v>46580</v>
      </c>
      <c r="H45" s="1">
        <f t="shared" si="17"/>
        <v>47265</v>
      </c>
      <c r="I45" s="1">
        <f t="shared" si="17"/>
        <v>45895</v>
      </c>
      <c r="J45" s="1">
        <f t="shared" si="17"/>
        <v>47265</v>
      </c>
      <c r="K45" s="1">
        <f t="shared" si="17"/>
        <v>47265</v>
      </c>
      <c r="L45" s="1">
        <f t="shared" si="17"/>
        <v>46580</v>
      </c>
      <c r="M45" s="1">
        <f t="shared" si="17"/>
        <v>44525</v>
      </c>
      <c r="N45" s="1">
        <f t="shared" si="17"/>
        <v>47950</v>
      </c>
    </row>
    <row r="46" spans="1:17">
      <c r="A46">
        <v>2025</v>
      </c>
      <c r="B46" s="1">
        <v>750</v>
      </c>
      <c r="C46" s="1">
        <f>C38*$B$46</f>
        <v>52500</v>
      </c>
      <c r="D46" s="1">
        <f t="shared" ref="D46:M46" si="18">D38*$B$46</f>
        <v>54000</v>
      </c>
      <c r="E46" s="1">
        <f t="shared" si="18"/>
        <v>54750</v>
      </c>
      <c r="F46" s="1">
        <f t="shared" si="18"/>
        <v>52500</v>
      </c>
      <c r="G46" s="1">
        <f t="shared" si="18"/>
        <v>54000</v>
      </c>
      <c r="H46" s="1">
        <f t="shared" si="18"/>
        <v>52500</v>
      </c>
      <c r="I46" s="1">
        <f t="shared" si="18"/>
        <v>52500</v>
      </c>
      <c r="J46" s="1">
        <f>J38*$B$46</f>
        <v>51750</v>
      </c>
      <c r="K46" s="1">
        <f t="shared" si="18"/>
        <v>51000</v>
      </c>
      <c r="L46" s="1">
        <f t="shared" si="18"/>
        <v>51000</v>
      </c>
      <c r="M46" s="1">
        <f t="shared" si="18"/>
        <v>51000</v>
      </c>
      <c r="N46" s="1">
        <f>N38*$B$46</f>
        <v>53250</v>
      </c>
    </row>
    <row r="47" spans="1:17">
      <c r="A47">
        <v>2026</v>
      </c>
      <c r="B47" s="1">
        <f>Lista!Y1</f>
        <v>765.1627832159628</v>
      </c>
      <c r="C47" s="1">
        <f>C41*$B$46</f>
        <v>54000</v>
      </c>
      <c r="D47" s="1">
        <f t="shared" ref="D47:N47" si="19">D41*$B$46</f>
        <v>54000</v>
      </c>
      <c r="E47" s="1">
        <f t="shared" si="19"/>
        <v>54000</v>
      </c>
      <c r="F47" s="1">
        <f t="shared" si="19"/>
        <v>53250</v>
      </c>
      <c r="G47" s="1">
        <f t="shared" si="19"/>
        <v>53250</v>
      </c>
      <c r="H47" s="1">
        <f t="shared" si="19"/>
        <v>53250</v>
      </c>
      <c r="I47" s="1">
        <f t="shared" si="19"/>
        <v>53250</v>
      </c>
      <c r="J47" s="1">
        <f t="shared" si="19"/>
        <v>53250</v>
      </c>
      <c r="K47" s="1">
        <f t="shared" si="19"/>
        <v>53250</v>
      </c>
      <c r="L47" s="1">
        <f t="shared" si="19"/>
        <v>53250</v>
      </c>
      <c r="M47" s="1">
        <f t="shared" si="19"/>
        <v>53250</v>
      </c>
      <c r="N47" s="1">
        <f t="shared" si="19"/>
        <v>53250</v>
      </c>
    </row>
  </sheetData>
  <mergeCells count="10">
    <mergeCell ref="A39:A41"/>
    <mergeCell ref="A36:A38"/>
    <mergeCell ref="A33:A35"/>
    <mergeCell ref="A30:A32"/>
    <mergeCell ref="A12:A14"/>
    <mergeCell ref="A15:A17"/>
    <mergeCell ref="A18:A20"/>
    <mergeCell ref="A21:A23"/>
    <mergeCell ref="A24:A26"/>
    <mergeCell ref="A27:A29"/>
  </mergeCells>
  <phoneticPr fontId="17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C13:N13 C16:N16 C19:O19 C22:N22 O14 O17 O20 O23 O26 O29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00CB-E020-42CB-A7B9-865302AD3413}">
  <dimension ref="A1:O6"/>
  <sheetViews>
    <sheetView tabSelected="1" zoomScale="85" zoomScaleNormal="85" workbookViewId="0">
      <selection activeCell="F19" sqref="F19"/>
    </sheetView>
  </sheetViews>
  <sheetFormatPr defaultRowHeight="14.4"/>
  <cols>
    <col min="1" max="1" width="2.77734375" style="218" bestFit="1" customWidth="1"/>
    <col min="2" max="2" width="33.33203125" style="218" bestFit="1" customWidth="1"/>
    <col min="3" max="3" width="13.88671875" style="218" bestFit="1" customWidth="1"/>
    <col min="4" max="4" width="27.109375" style="218" bestFit="1" customWidth="1"/>
    <col min="5" max="5" width="14.44140625" style="218" bestFit="1" customWidth="1"/>
    <col min="6" max="6" width="31.6640625" style="218" bestFit="1" customWidth="1"/>
    <col min="7" max="7" width="19.33203125" style="218" bestFit="1" customWidth="1"/>
    <col min="8" max="8" width="11.77734375" style="223" bestFit="1" customWidth="1"/>
    <col min="9" max="9" width="15" style="218" customWidth="1"/>
    <col min="10" max="10" width="13.33203125" style="218" customWidth="1"/>
    <col min="11" max="11" width="16.5546875" style="218" customWidth="1"/>
    <col min="12" max="12" width="8.44140625" style="218" customWidth="1"/>
    <col min="13" max="13" width="6" style="218" customWidth="1"/>
    <col min="14" max="14" width="26.109375" style="218" customWidth="1"/>
    <col min="15" max="15" width="50.77734375" style="218" bestFit="1" customWidth="1"/>
    <col min="16" max="16384" width="8.88671875" style="218"/>
  </cols>
  <sheetData>
    <row r="1" spans="1:15">
      <c r="A1" s="221" t="s">
        <v>2788</v>
      </c>
      <c r="B1" s="221" t="s">
        <v>2791</v>
      </c>
      <c r="C1" s="221" t="s">
        <v>2792</v>
      </c>
      <c r="D1" s="221" t="s">
        <v>2793</v>
      </c>
      <c r="E1" s="221" t="s">
        <v>2794</v>
      </c>
      <c r="F1" s="221" t="s">
        <v>2795</v>
      </c>
      <c r="G1" s="221" t="s">
        <v>2796</v>
      </c>
      <c r="H1" s="222" t="s">
        <v>2797</v>
      </c>
      <c r="I1" s="221" t="s">
        <v>2798</v>
      </c>
      <c r="J1" s="221" t="s">
        <v>2801</v>
      </c>
      <c r="K1" s="221" t="s">
        <v>2799</v>
      </c>
      <c r="L1" s="221" t="s">
        <v>2790</v>
      </c>
      <c r="M1" s="221" t="s">
        <v>2800</v>
      </c>
      <c r="N1" s="221" t="s">
        <v>2802</v>
      </c>
      <c r="O1" s="221" t="s">
        <v>2803</v>
      </c>
    </row>
    <row r="2" spans="1:15">
      <c r="A2" s="218">
        <v>1</v>
      </c>
      <c r="B2" s="218" t="str">
        <f>Lista!A2</f>
        <v>ANA PAULA DE OLIVEIRA VIEIRA</v>
      </c>
      <c r="C2" s="218" t="str">
        <f>SUBSTITUTE(SUBSTITUTE(SUBSTITUTE(Lista!C2,".",""),"-",""),"/","")</f>
        <v>04248650681</v>
      </c>
      <c r="D2" s="218" t="str">
        <f>Lista!I2</f>
        <v>apovieira@yahoo.com</v>
      </c>
      <c r="E2" s="218" t="str">
        <f>Lista!D2</f>
        <v>11 3763-3068</v>
      </c>
      <c r="F2" s="218" t="str">
        <f>Lista!J2</f>
        <v>LUNA</v>
      </c>
      <c r="G2" s="218" t="s">
        <v>2789</v>
      </c>
      <c r="H2" s="223">
        <f>Lista!V2</f>
        <v>892.28224999999998</v>
      </c>
      <c r="I2" s="218" t="str">
        <f>Lista!G2</f>
        <v>São Paulo</v>
      </c>
      <c r="J2" s="219">
        <v>46113</v>
      </c>
      <c r="K2" s="220">
        <v>46137</v>
      </c>
      <c r="N2" s="18" t="s">
        <v>2804</v>
      </c>
      <c r="O2" s="219" t="str">
        <f>"Hospedagem de cão "&amp;F2</f>
        <v>Hospedagem de cão LUNA</v>
      </c>
    </row>
    <row r="3" spans="1:15">
      <c r="A3" s="218">
        <v>2</v>
      </c>
      <c r="B3" s="218" t="str">
        <f>Lista!A3</f>
        <v>NEIVA DOURADO MARTINS MENDES</v>
      </c>
      <c r="C3" s="218" t="str">
        <f>SUBSTITUTE(SUBSTITUTE(SUBSTITUTE(Lista!C3,".",""),"-",""),"/","")</f>
        <v>03028310880</v>
      </c>
      <c r="D3" s="218" t="str">
        <f>Lista!I3</f>
        <v>neiva.mendes@uol.com.br</v>
      </c>
      <c r="E3" s="218" t="str">
        <f>Lista!D3</f>
        <v xml:space="preserve">11 4121-7832     </v>
      </c>
      <c r="F3" s="218" t="str">
        <f>Lista!J3</f>
        <v>BELINHA , FAROFA,  PIPOCA E NINA</v>
      </c>
      <c r="G3" s="218" t="s">
        <v>2789</v>
      </c>
      <c r="H3" s="223">
        <f>Lista!V3</f>
        <v>2890.8491499999996</v>
      </c>
      <c r="I3" s="218" t="str">
        <f>Lista!G3</f>
        <v>SÃO BERNARDO DO CAMPO</v>
      </c>
      <c r="J3" s="219">
        <v>46113</v>
      </c>
      <c r="K3" s="220">
        <v>46137</v>
      </c>
      <c r="N3" s="18" t="s">
        <v>2804</v>
      </c>
      <c r="O3" s="219" t="str">
        <f t="shared" ref="O3:O6" si="0">"Hospedagem de cão "&amp;F3</f>
        <v>Hospedagem de cão BELINHA , FAROFA,  PIPOCA E NINA</v>
      </c>
    </row>
    <row r="4" spans="1:15">
      <c r="A4" s="218">
        <v>3</v>
      </c>
      <c r="B4" s="218" t="str">
        <f>Lista!A4</f>
        <v>KARINA ROLIM PEREIRA DOS SANTOS</v>
      </c>
      <c r="C4" s="218" t="str">
        <f>SUBSTITUTE(SUBSTITUTE(SUBSTITUTE(Lista!C4,".",""),"-",""),"/","")</f>
        <v>31677156856</v>
      </c>
      <c r="D4" s="218" t="str">
        <f>Lista!I4</f>
        <v xml:space="preserve">karinarolim@hotmail.com </v>
      </c>
      <c r="E4" s="218" t="str">
        <f>Lista!D4</f>
        <v xml:space="preserve">11 2309-9402 </v>
      </c>
      <c r="F4" s="218" t="str">
        <f>Lista!J4</f>
        <v>VALENTINO</v>
      </c>
      <c r="G4" s="218" t="s">
        <v>2789</v>
      </c>
      <c r="H4" s="223">
        <f>Lista!V4</f>
        <v>805.92750000000001</v>
      </c>
      <c r="I4" s="218" t="str">
        <f>Lista!G4</f>
        <v>São Paulo</v>
      </c>
      <c r="J4" s="219">
        <v>46113</v>
      </c>
      <c r="K4" s="220">
        <v>46137</v>
      </c>
      <c r="N4" s="18" t="s">
        <v>2804</v>
      </c>
      <c r="O4" s="219" t="str">
        <f t="shared" si="0"/>
        <v>Hospedagem de cão VALENTINO</v>
      </c>
    </row>
    <row r="5" spans="1:15">
      <c r="A5" s="218">
        <v>4</v>
      </c>
      <c r="B5" s="218" t="str">
        <f>Lista!A5</f>
        <v>BEATRIZ MOURA XAVIER GARCIA</v>
      </c>
      <c r="C5" s="218" t="str">
        <f>SUBSTITUTE(SUBSTITUTE(SUBSTITUTE(Lista!C5,".",""),"-",""),"/","")</f>
        <v>52437214844</v>
      </c>
      <c r="D5" s="218" t="str">
        <f>Lista!I5</f>
        <v xml:space="preserve"> biamxgarcia@gmail.com</v>
      </c>
      <c r="E5" s="218" t="str">
        <f>Lista!D5</f>
        <v>11 98688-2273</v>
      </c>
      <c r="F5" s="218" t="str">
        <f>Lista!J5</f>
        <v>DUDA E FILO</v>
      </c>
      <c r="G5" s="218" t="s">
        <v>2789</v>
      </c>
      <c r="H5" s="223">
        <f>Lista!V5</f>
        <v>1531.26225</v>
      </c>
      <c r="I5" s="218" t="str">
        <f>Lista!G5</f>
        <v>São Paulo</v>
      </c>
      <c r="J5" s="219">
        <v>46113</v>
      </c>
      <c r="K5" s="220">
        <v>46137</v>
      </c>
      <c r="N5" s="18" t="s">
        <v>2804</v>
      </c>
      <c r="O5" s="219" t="str">
        <f t="shared" si="0"/>
        <v>Hospedagem de cão DUDA E FILO</v>
      </c>
    </row>
    <row r="6" spans="1:15">
      <c r="A6" s="218">
        <v>5</v>
      </c>
      <c r="B6" s="218" t="str">
        <f>Lista!A6</f>
        <v>SAMANTHA SARAIVA</v>
      </c>
      <c r="C6" s="218" t="str">
        <f>SUBSTITUTE(SUBSTITUTE(SUBSTITUTE(Lista!C6,".",""),"-",""),"/","")</f>
        <v>01175077682</v>
      </c>
      <c r="D6" s="218" t="str">
        <f>Lista!I6</f>
        <v>samantha.saraiva@gmail.com</v>
      </c>
      <c r="E6" s="218" t="str">
        <f>Lista!D6</f>
        <v>11 942492977</v>
      </c>
      <c r="F6" s="218" t="str">
        <f>Lista!J6</f>
        <v>VIVIAN</v>
      </c>
      <c r="G6" s="218" t="s">
        <v>2789</v>
      </c>
      <c r="H6" s="223">
        <f>Lista!V6</f>
        <v>905.53699999999992</v>
      </c>
      <c r="I6" s="218" t="str">
        <f>Lista!G6</f>
        <v>São Paulo</v>
      </c>
      <c r="J6" s="219">
        <v>46113</v>
      </c>
      <c r="K6" s="220">
        <v>46137</v>
      </c>
      <c r="N6" s="18" t="s">
        <v>2804</v>
      </c>
      <c r="O6" s="219" t="str">
        <f t="shared" si="0"/>
        <v>Hospedagem de cão VIVIAN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08B8F7-B737-488E-B401-BEDC96279B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Valor por dia de pagamento</vt:lpstr>
      <vt:lpstr>Lista</vt:lpstr>
      <vt:lpstr>Ex residentes</vt:lpstr>
      <vt:lpstr>Total de cães por mês</vt:lpstr>
      <vt:lpstr>BASE_NF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</dc:creator>
  <cp:lastModifiedBy>JOAO C B SANTOS</cp:lastModifiedBy>
  <cp:lastPrinted>2021-12-13T17:02:15Z</cp:lastPrinted>
  <dcterms:created xsi:type="dcterms:W3CDTF">2009-08-04T19:26:54Z</dcterms:created>
  <dcterms:modified xsi:type="dcterms:W3CDTF">2026-04-25T16:03:42Z</dcterms:modified>
</cp:coreProperties>
</file>